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<sst xmlns="http://schemas.openxmlformats.org/spreadsheetml/2006/main">
  <si>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</si>
  <si>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</si>
  <si>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</si>
  <si>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</si>
  <si>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</si>
  <si>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</si>
  <si>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</si>
  <si>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</si>
  <si>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</si>
  <si>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</si>
  <si>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</si>
  <si>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</si>
  <si>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</si>
  <si>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</si>
  <si>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</si>
  <si>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</si>
  <si>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</si>
  <si>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</si>
  <si>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</si>
  <si>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</si>
  <si>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</si>
  <si>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</si>
  <si>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</si>
  <si>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</si>
  <si>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</si>
  <si>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</si>
  <si>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</si>
  <si>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</si>
  <si>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</si>
  <si>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</si>
  <si>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</si>
  <si>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</si>
  <si>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</si>
  <si>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</si>
  <si>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</si>
  <si>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</si>
  <si>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</si>
  <si>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</si>
  <si>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</si>
  <si>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</si>
  <si>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</si>
  <si>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</si>
  <si>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</si>
  <si>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</si>
  <si>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</si>
  <si>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</si>
  <si>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</si>
  <si>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</si>
  <si>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</si>
  <si>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</si>
  <si>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</si>
  <si>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</si>
  <si>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</si>
  <si>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</si>
  <si>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</si>
  <si>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</si>
  <si>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</si>
  <si>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</si>
  <si>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</si>
  <si>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</si>
  <si>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</si>
  <si>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</si>
  <si>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</si>
  <si>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</si>
  <si>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</si>
  <si>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</si>
  <si>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</si>
  <si>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</si>
  <si>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</si>
  <si>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</si>
  <si>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</si>
  <si>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</si>
  <si>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</si>
  <si>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</si>
  <si>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</si>
  <si>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</si>
  <si>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</si>
  <si>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</si>
  <si>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</si>
  <si>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</si>
  <si>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</si>
  <si>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</si>
  <si>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</si>
  <si>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</si>
  <si>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</si>
  <si>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</si>
  <si>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</si>
  <si>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</si>
  <si>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</si>
  <si>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</si>
  <si>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</si>
  <si>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</si>
  <si>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</si>
  <si>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</si>
  <si>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</si>
  <si>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</si>
  <si>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</si>
  <si>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</si>
  <si>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</si>
  <si>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</si>
  <si>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</si>
  <si>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</si>
  <si>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</si>
  <si>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</si>
  <si>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</si>
  <si>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</si>
  <si>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</si>
  <si>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</si>
  <si>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</si>
  <si>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</si>
  <si>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</si>
  <si>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</si>
  <si>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</si>
  <si>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</si>
  <si>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</si>
  <si>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</si>
  <si>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</si>
  <si>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</si>
  <si>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</si>
  <si>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</si>
  <si>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</si>
  <si>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</si>
  <si>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</si>
  <si>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</si>
  <si>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</si>
  <si>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</si>
  <si>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</si>
  <si>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</si>
  <si>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</si>
  <si>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</si>
  <si>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</si>
  <si>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</si>
  <si>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</si>
  <si>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</si>
  <si>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</si>
  <si>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</si>
  <si>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</si>
  <si>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</si>
  <si>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</si>
  <si>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</si>
  <si>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</si>
  <si>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</si>
  <si>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</si>
  <si>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</si>
  <si>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</si>
  <si>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</si>
  <si>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</si>
  <si>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</si>
  <si>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</si>
  <si>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</si>
  <si>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</si>
  <si>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</si>
  <si>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</si>
  <si>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</si>
  <si>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</si>
  <si>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</si>
  <si>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</si>
  <si>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</si>
  <si>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</si>
  <si>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</si>
  <si>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</si>
  <si>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</si>
  <si>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</si>
  <si>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</si>
  <si>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</si>
  <si>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</si>
  <si>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</si>
  <si>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</si>
  <si>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</si>
  <si>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</si>
  <si>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</si>
  <si>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</si>
  <si>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</si>
  <si>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</si>
  <si>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</si>
  <si>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</si>
  <si>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</si>
  <si>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</si>
  <si>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</si>
  <si>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</si>
  <si>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</si>
  <si>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</si>
  <si>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</si>
  <si>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</si>
  <si>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</si>
  <si>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</si>
  <si>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</si>
  <si>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</si>
  <si>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</si>
  <si>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</si>
  <si>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</si>
  <si>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</si>
  <si>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</si>
  <si>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</si>
  <si>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</si>
  <si>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</si>
  <si>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</si>
  <si>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</si>
  <si>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</si>
  <si>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</si>
  <si>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</si>
  <si>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</si>
  <si>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</si>
  <si>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</si>
  <si>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</si>
  <si>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</si>
  <si>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</si>
  <si>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</si>
  <si>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</si>
  <si>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</si>
  <si>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</si>
  <si>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</si>
  <si>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</si>
  <si>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</si>
  <si>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</si>
  <si>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</si>
  <si>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</si>
  <si>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</si>
  <si>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</si>
  <si>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</si>
  <si>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</si>
  <si>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</si>
  <si>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</si>
  <si>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</si>
  <si>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</si>
  <si>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</si>
  <si>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</si>
  <si>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</si>
  <si>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</si>
  <si>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</si>
  <si>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</si>
  <si>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</si>
  <si>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</si>
  <si>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</si>
  <si>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</si>
  <si>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</si>
  <si>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</si>
  <si>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</si>
  <si>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</si>
  <si>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</si>
  <si>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</si>
  <si>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</si>
  <si>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</si>
  <si>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</si>
  <si>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</si>
  <si>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</si>
  <si>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</si>
  <si>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</si>
  <si>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</si>
  <si>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</si>
  <si>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</si>
  <si>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</si>
  <si>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</si>
  <si>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</si>
  <si>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</si>
  <si>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</si>
  <si>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</si>
  <si>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</si>
  <si>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</si>
  <si>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</si>
  <si>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</si>
  <si>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</si>
  <si>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</si>
  <si>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</si>
  <si>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</si>
  <si>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</si>
  <si>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</si>
  <si>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</si>
  <si>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</si>
  <si>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</si>
  <si>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</si>
  <si>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</si>
  <si>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</si>
  <si>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</si>
  <si>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</si>
  <si>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</si>
  <si>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</si>
  <si>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</si>
  <si>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</si>
  <si>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</si>
  <si>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</si>
  <si>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</si>
  <si>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</si>
  <si>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</si>
  <si>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</si>
  <si>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</si>
  <si>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</si>
  <si>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</si>
  <si>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</si>
  <si>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</si>
  <si>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</si>
  <si>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</si>
  <si>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</si>
  <si>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</si>
  <si>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</si>
  <si>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</si>
  <si>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</si>
  <si>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</si>
  <si>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</si>
  <si>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</si>
  <si>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</si>
  <si>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</si>
  <si>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</si>
  <si>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</si>
  <si>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</si>
  <si>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</si>
  <si>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</si>
  <si>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</si>
  <si>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</si>
  <si>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</si>
  <si>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</si>
  <si>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</si>
  <si>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</si>
  <si>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</si>
  <si>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</si>
  <si>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</si>
  <si>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</si>
  <si>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</si>
  <si>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</si>
  <si>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</si>
  <si>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</si>
  <si>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</si>
  <si>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</si>
  <si>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</si>
  <si>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</si>
  <si>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</si>
  <si>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</si>
  <si>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</si>
  <si>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</si>
  <si>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</si>
  <si>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</si>
  <si>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</si>
  <si>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</si>
  <si>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</si>
  <si>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</si>
  <si>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</si>
  <si>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</si>
  <si>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</si>
  <si>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</si>
  <si>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</si>
  <si>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</si>
  <si>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</si>
  <si>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</si>
  <si>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</si>
  <si>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</si>
  <si>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</si>
  <si>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</si>
  <si>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</si>
  <si>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</si>
  <si>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</si>
  <si>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</si>
  <si>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</si>
  <si>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</si>
  <si>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</si>
  <si>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</si>
  <si>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</si>
  <si>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</si>
  <si>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</si>
  <si>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</si>
  <si>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</si>
  <si>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</si>
  <si>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</si>
  <si>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</si>
  <si>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</si>
  <si>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</si>
  <si>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</si>
  <si>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</si>
  <si>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</si>
  <si>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</si>
  <si>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</si>
  <si>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</si>
  <si>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</si>
  <si>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</si>
  <si>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</si>
  <si>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</si>
  <si>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</si>
  <si>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</si>
  <si>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</si>
  <si>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</si>
  <si>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</si>
  <si>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</si>
  <si>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</si>
  <si>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</si>
  <si>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</si>
  <si>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</si>
  <si>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</si>
  <si>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</si>
  <si>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</si>
  <si>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</si>
  <si>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</si>
  <si>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</si>
  <si>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</si>
  <si>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</si>
  <si>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</si>
  <si>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</si>
  <si>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</si>
  <si>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</si>
  <si>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</si>
  <si>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</si>
  <si>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</si>
  <si>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</si>
  <si>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</si>
  <si>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</si>
  <si>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</si>
  <si>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</si>
  <si>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</si>
  <si>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</si>
  <si>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</si>
  <si>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</si>
  <si>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</si>
  <si>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</si>
  <si>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</si>
  <si>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</si>
  <si>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</si>
  <si>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</si>
  <si>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</si>
  <si>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</si>
  <si>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</si>
  <si>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</si>
  <si>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</si>
  <si>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</si>
  <si>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</si>
  <si>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</si>
  <si>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</si>
  <si>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</si>
  <si>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</si>
  <si>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</si>
  <si>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</si>
  <si>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</si>
  <si>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</si>
  <si>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</si>
  <si>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</si>
  <si>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</si>
  <si>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</si>
  <si>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</si>
  <si>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</si>
  <si>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</si>
  <si>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</si>
  <si>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</si>
  <si>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</si>
  <si>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</si>
  <si>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</si>
  <si>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</si>
  <si>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</si>
  <si>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</si>
  <si>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</si>
  <si>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</si>
  <si>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</si>
  <si>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</si>
  <si>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</si>
  <si>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</si>
  <si>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</si>
  <si>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</si>
  <si>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</si>
  <si>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</si>
  <si>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</si>
  <si>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</si>
  <si>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</si>
  <si>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</si>
  <si>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</si>
  <si>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</si>
  <si>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</si>
  <si>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</si>
  <si>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</si>
  <si>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</si>
  <si>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</si>
  <si>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</si>
  <si>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</si>
  <si>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</si>
  <si>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</si>
  <si>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</si>
  <si>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</si>
  <si>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</si>
  <si>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</si>
  <si>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</si>
  <si>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</si>
  <si>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</si>
  <si>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</si>
  <si>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</si>
  <si>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</si>
  <si>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</si>
  <si>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</si>
  <si>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Nguyễn Quang Hải</t>
  </si>
  <si>
    <t xml:space="preserve">INFINITE PRIME</t>
  </si>
  <si>
    <t xml:space="preserve">Việt Nam</t>
  </si>
  <si>
    <t xml:space="preserve">Lúcio</t>
  </si>
  <si>
    <t xml:space="preserve">J. Stam</t>
  </si>
  <si>
    <t xml:space="preserve">Marquinhos</t>
  </si>
  <si>
    <t xml:space="preserve">Đỗ Hùng Dũng</t>
  </si>
  <si>
    <t xml:space="preserve">C. Marchisio</t>
  </si>
  <si>
    <t xml:space="preserve">Zé Roberto</t>
  </si>
  <si>
    <t xml:space="preserve">Neymar Jr</t>
  </si>
  <si>
    <t xml:space="preserve">Roy Makaay</t>
  </si>
  <si>
    <t xml:space="preserve">Iván Zamorano</t>
  </si>
  <si>
    <t xml:space="preserve">Chile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</si>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</sst>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164" fontId="3" fillId="10" borderId="1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39999961853027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hidden="1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hidden="1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 hidden="1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 hidden="1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 hidden="1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 hidden="1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 hidden="1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 hidden="1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 hidden="1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 hidden="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 hidden="1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 hidden="1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 hidden="1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 hidden="1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 hidden="1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 hidden="1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 hidden="1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 hidden="1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 hidden="1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 hidden="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 hidden="1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 hidden="1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 hidden="1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 hidden="1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 hidden="1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 hidden="1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 hidden="1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 hidden="1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 hidden="1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 hidden="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 hidden="1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 hidden="1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 hidden="1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 hidden="1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 hidden="1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 hidden="1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 hidden="1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 hidden="1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 hidden="1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 hidden="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 hidden="1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 hidden="1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 hidden="1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 hidden="1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 hidden="1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 hidden="1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 hidden="1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 hidden="1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 hidden="1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 hidden="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 hidden="1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 hidden="1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 hidden="1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 hidden="1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 hidden="1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 hidden="1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 hidden="1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 hidden="1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 hidden="1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 hidden="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 hidden="1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 hidden="1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 hidden="1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 hidden="1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 hidden="1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 hidden="1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 hidden="1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 hidden="1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 hidden="1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 hidden="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 hidden="1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 hidden="1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 hidden="1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 hidden="1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 hidden="1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 hidden="1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 hidden="1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 hidden="1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 hidden="1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 hidden="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 hidden="1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 hidden="1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 hidden="1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 hidden="1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 hidden="1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 hidden="1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 hidden="1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 hidden="1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 hidden="1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 hidden="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 hidden="1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 hidden="1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 hidden="1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 hidden="1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 hidden="1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 hidden="1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 hidden="1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 hidden="1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 hidden="1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 hidden="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 hidden="1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 hidden="1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 hidden="1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 hidden="1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 hidden="1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 hidden="1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 hidden="1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 hidden="1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 hidden="1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 hidden="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 hidden="1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 hidden="1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 hidden="1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 hidden="1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hidden="1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hidden="1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hidden="1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hidden="1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hidden="1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hidden="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hidden="1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hidden="1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hidden="1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hidden="1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hidden="1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hidden="1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hidden="1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hidden="1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 hidden="1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hidden="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 hidden="1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hidden="1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hidden="1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hidden="1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hidden="1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 hidden="1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 hidden="1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 hidden="1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 hidden="1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 hidden="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 hidden="1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 hidden="1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 hidden="1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 hidden="1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 hidden="1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 hidden="1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 hidden="1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 hidden="1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 hidden="1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 hidden="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 hidden="1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 hidden="1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 hidden="1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 hidden="1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 hidden="1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 hidden="1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 hidden="1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 hidden="1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 hidden="1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 hidden="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 hidden="1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 hidden="1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 hidden="1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 hidden="1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 hidden="1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 hidden="1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 hidden="1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 hidden="1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 hidden="1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 hidden="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 hidden="1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 hidden="1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 hidden="1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 hidden="1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 hidden="1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 hidden="1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 hidden="1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 hidden="1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 hidden="1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 hidden="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 hidden="1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 hidden="1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 hidden="1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 hidden="1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 hidden="1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 hidden="1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 hidden="1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 hidden="1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 hidden="1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 hidden="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hidden="1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hidden="1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hidden="1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hidden="1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 hidden="1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 hidden="1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 hidden="1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 hidden="1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 hidden="1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 hidden="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 hidden="1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 hidden="1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 hidden="1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 hidden="1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 hidden="1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 hidden="1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 hidden="1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 hidden="1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 hidden="1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 hidden="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 hidden="1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 hidden="1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 hidden="1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 hidden="1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 hidden="1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hidden="1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hidden="1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hidden="1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hidden="1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hidden="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hidden="1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hidden="1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 hidden="1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 hidden="1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 hidden="1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 hidden="1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 hidden="1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 hidden="1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 hidden="1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 hidden="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 hidden="1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hidden="1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hidden="1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hidden="1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hidden="1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hidden="1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hidden="1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hidden="1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 hidden="1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 hidden="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hidden="1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hidden="1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hidden="1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hidden="1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hidden="1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hidden="1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hidden="1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hidden="1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hidden="1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hidden="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hidden="1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hidden="1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hidden="1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 hidden="1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 hidden="1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hidden="1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hidden="1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hidden="1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 hidden="1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hidden="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hidden="1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hidden="1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 hidden="1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 hidden="1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 hidden="1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 hidden="1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 hidden="1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 hidden="1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 hidden="1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 hidden="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 hidden="1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 hidden="1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hidden="1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hidden="1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hidden="1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hidden="1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hidden="1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hidden="1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hidden="1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hidden="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hidden="1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hidden="1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hidden="1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hidden="1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hidden="1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hidden="1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hidden="1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hidden="1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 hidden="1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 hidden="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 hidden="1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 hidden="1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 hidden="1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 hidden="1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 hidden="1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 hidden="1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 hidden="1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 hidden="1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 hidden="1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 hidden="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 hidden="1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 hidden="1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 hidden="1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 hidden="1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 hidden="1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 hidden="1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 hidden="1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 hidden="1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 hidden="1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 hidden="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 hidden="1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2.799999237060547" customHeight="1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 t="n">
        <f t="shared" ref="I313:I344" si="183">$E313+0</f>
        <v>124</v>
      </c>
      <c r="J313" s="14">
        <v>0</v>
      </c>
      <c r="K313" s="5" t="n">
        <f t="shared" ref="K313:K344" si="184">$E313+1</f>
        <v>125</v>
      </c>
      <c r="L313" s="14">
        <v>0</v>
      </c>
      <c r="M313" s="3" t="n">
        <f t="shared" ref="M313:M344" si="185">$E313+2</f>
        <v>126</v>
      </c>
      <c r="N313" s="14">
        <v>0</v>
      </c>
      <c r="O313" s="5" t="n">
        <f t="shared" ref="O313:O344" si="186">$E313+4</f>
        <v>128</v>
      </c>
      <c r="P313" s="14">
        <v>0</v>
      </c>
      <c r="Q313" s="3" t="n">
        <f t="shared" ref="Q313:Q344" si="187">$E313+6</f>
        <v>130</v>
      </c>
      <c r="R313" s="14">
        <v>0</v>
      </c>
      <c r="S313" s="5" t="n">
        <f t="shared" ref="S313:S344" si="188">$E313+8</f>
        <v>132</v>
      </c>
      <c r="T313" s="14">
        <v>0</v>
      </c>
      <c r="U313" s="3" t="n">
        <f t="shared" ref="U313:U344" si="189">$E313+11</f>
        <v>135</v>
      </c>
      <c r="V313" s="14">
        <v>0</v>
      </c>
      <c r="W313" s="5" t="n">
        <f t="shared" ref="W313:W344" si="190">$E313+15</f>
        <v>139</v>
      </c>
      <c r="X313" s="14">
        <v>0</v>
      </c>
      <c r="Y313" s="3" t="n">
        <f t="shared" ref="Y313:Y344" si="191">$E313+17</f>
        <v>141</v>
      </c>
      <c r="Z313" s="14">
        <v>0</v>
      </c>
      <c r="AA313" s="5" t="n">
        <f t="shared" ref="AA313:AA344" si="192">$E313+19</f>
        <v>143</v>
      </c>
      <c r="AB313" s="14">
        <v>0</v>
      </c>
      <c r="AC313" s="3" t="n">
        <f t="shared" ref="AC313:AC344" si="193">$E313+21</f>
        <v>145</v>
      </c>
      <c r="AD313" s="14">
        <v>0</v>
      </c>
      <c r="AE313" s="5" t="n">
        <f t="shared" ref="AE313:AE344" si="194">$E313+24</f>
        <v>148</v>
      </c>
      <c r="AF313" s="14">
        <v>0</v>
      </c>
      <c r="AG313" s="3" t="n">
        <f t="shared" ref="AG313:AG344" si="195">$E313+27</f>
        <v>151</v>
      </c>
      <c r="AH313" s="14">
        <v>0</v>
      </c>
    </row>
    <row r="314" ht="28.049999237060547" customHeight="1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ht="28.049999237060547" customHeight="1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ht="28.049999237060547" customHeight="1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ht="28.049999237060547" customHeight="1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ht="28.049999237060547" customHeight="1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ht="28.049999237060547" customHeight="1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ht="28.049999237060547" customHeight="1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ht="28.049999237060547" customHeight="1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ht="28.049999237060547" customHeight="1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ht="28.049999237060547" customHeight="1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ht="28.049999237060547" customHeight="1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ht="28.049999237060547" customHeight="1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ht="28.049999237060547" customHeight="1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ht="28.049999237060547" customHeight="1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ht="28.049999237060547" customHeight="1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ht="28.049999237060547" customHeight="1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ht="28.049999237060547" customHeight="1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ht="28.049999237060547" customHeight="1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ht="28.049999237060547" customHeight="1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ht="28.049999237060547" customHeight="1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ht="28.049999237060547" customHeight="1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ht="28.049999237060547" customHeight="1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ht="28.049999237060547" customHeight="1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ht="28.049999237060547" customHeight="1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ht="28.049999237060547" customHeight="1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ht="28.049999237060547" customHeight="1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ht="28.049999237060547" customHeight="1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ht="28.049999237060547" customHeight="1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ht="28.049999237060547" customHeight="1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ht="28.049999237060547" customHeight="1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ht="28.049999237060547" customHeight="1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ht="28.049999237060547" customHeight="1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 t="n">
        <f t="shared" ref="I345:I372" si="196">$E345+0</f>
        <v>129</v>
      </c>
      <c r="J345" s="14">
        <v>3650000000</v>
      </c>
      <c r="K345" s="5" t="n">
        <f t="shared" ref="K345:K372" si="197">$E345+1</f>
        <v>130</v>
      </c>
      <c r="L345" s="14"/>
      <c r="M345" s="3" t="n">
        <f t="shared" ref="M345:M372" si="198">$E345+2</f>
        <v>131</v>
      </c>
      <c r="N345" s="14"/>
      <c r="O345" s="5" t="n">
        <f t="shared" ref="O345:O372" si="199">$E345+4</f>
        <v>133</v>
      </c>
      <c r="P345" s="14"/>
      <c r="Q345" s="3" t="n">
        <f t="shared" ref="Q345:Q372" si="200">$E345+6</f>
        <v>135</v>
      </c>
      <c r="R345" s="14"/>
      <c r="S345" s="5" t="n">
        <f t="shared" ref="S345:S372" si="201">$E345+8</f>
        <v>137</v>
      </c>
      <c r="T345" s="14"/>
      <c r="U345" s="3" t="n">
        <f t="shared" ref="U345:U372" si="202">$E345+11</f>
        <v>140</v>
      </c>
      <c r="V345" s="14"/>
      <c r="W345" s="5" t="n">
        <f t="shared" ref="W345:W372" si="203">$E345+15</f>
        <v>144</v>
      </c>
      <c r="X345" s="14"/>
      <c r="Y345" s="3" t="n">
        <f t="shared" ref="Y345:Y372" si="204">$E345+17</f>
        <v>146</v>
      </c>
      <c r="Z345" s="14"/>
      <c r="AA345" s="5" t="n">
        <f t="shared" ref="AA345:AA372" si="205">$E345+19</f>
        <v>148</v>
      </c>
      <c r="AB345" s="14"/>
      <c r="AC345" s="3" t="n">
        <f t="shared" ref="AC345:AC372" si="206">$E345+21</f>
        <v>150</v>
      </c>
      <c r="AD345" s="14"/>
      <c r="AE345" s="5" t="n">
        <f t="shared" ref="AE345:AE372" si="207">$E345+24</f>
        <v>153</v>
      </c>
      <c r="AF345" s="14"/>
      <c r="AG345" s="3" t="n">
        <f t="shared" ref="AG345:AG372" si="208">$E345+27</f>
        <v>156</v>
      </c>
      <c r="AH345" s="14"/>
    </row>
    <row r="346" ht="28.049999237060547" customHeight="1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ht="28.049999237060547" customHeight="1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ht="28.049999237060547" customHeight="1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ht="28.049999237060547" customHeight="1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ht="28.049999237060547" customHeight="1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ht="28.049999237060547" customHeight="1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ht="28.049999237060547" customHeight="1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ht="28.049999237060547" customHeight="1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ht="28.049999237060547" customHeight="1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ht="28.049999237060547" customHeight="1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ht="28.049999237060547" customHeight="1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ht="28.049999237060547" customHeight="1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ht="28.049999237060547" customHeight="1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ht="28.049999237060547" customHeight="1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ht="28.049999237060547" customHeight="1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ht="28.049999237060547" customHeight="1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ht="28.049999237060547" customHeight="1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ht="28.049999237060547" customHeight="1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ht="28.049999237060547" customHeight="1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ht="28.049999237060547" customHeight="1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ht="28.049999237060547" customHeight="1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ht="28.049999237060547" customHeight="1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ht="28.049999237060547" customHeight="1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ht="28.049999237060547" customHeight="1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ht="28.049999237060547" customHeight="1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ht="28.049999237060547" customHeight="1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ht="28.049999237060547" customHeight="1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ht="28" customHeight="1">
      <c r="A373" s="2" t="n">
        <v>383</v>
      </c>
      <c r="B373" s="16" t="str">
        <v>Đỗ Hùng Dũng</v>
      </c>
      <c r="C373" s="16" t="str">
        <v>VIETNAM</v>
      </c>
      <c r="D373" s="2" t="str">
        <v>CM</v>
      </c>
      <c r="E373" s="2" t="n">
        <v>105</v>
      </c>
      <c r="F373" s="2" t="str">
        <v>Việt Nam</v>
      </c>
      <c r="G373" s="2" t="str">
        <v>Việt Nam</v>
      </c>
      <c r="H373" s="2" t="n">
        <v>23</v>
      </c>
      <c r="I373" s="3" t="n">
        <f>$E373+0</f>
        <v>105</v>
      </c>
      <c r="J373" s="17">
        <v>789000</v>
      </c>
      <c r="L373" s="17"/>
      <c r="M373" s="3" t="n">
        <f>$E373+2</f>
        <v>107</v>
      </c>
      <c r="N373" s="17"/>
      <c r="O373" s="5" t="n">
        <f>$E373+4</f>
        <v>109</v>
      </c>
      <c r="P373" s="17"/>
      <c r="Q373" s="3" t="n">
        <f>$E373+6</f>
        <v>111</v>
      </c>
      <c r="R373" s="17"/>
      <c r="S373" s="5" t="n">
        <f>$E373+8</f>
        <v>113</v>
      </c>
      <c r="T373" s="17"/>
      <c r="U373" s="3" t="n">
        <f>$E373+11</f>
        <v>116</v>
      </c>
      <c r="V373" s="17"/>
      <c r="W373" s="5" t="n">
        <f>$E373+15</f>
        <v>120</v>
      </c>
      <c r="X373" s="17"/>
      <c r="Y373" s="3" t="n">
        <f>$E373+17</f>
        <v>122</v>
      </c>
      <c r="Z373" s="17"/>
      <c r="AA373" s="5" t="n">
        <f>$E373+19</f>
        <v>124</v>
      </c>
      <c r="AB373" s="17"/>
      <c r="AC373" s="3" t="n">
        <f>$E373+21</f>
        <v>126</v>
      </c>
      <c r="AD373" s="17"/>
      <c r="AE373" s="5" t="n">
        <f>$E373+24</f>
        <v>129</v>
      </c>
      <c r="AF373" s="17"/>
      <c r="AG373" s="3" t="n">
        <f>$E373+27</f>
        <v>132</v>
      </c>
      <c r="AH373" s="17"/>
    </row>
    <row r="374" ht="28" customHeight="1">
      <c r="A374" s="2" t="n">
        <v>384</v>
      </c>
      <c r="B374" s="16" t="str">
        <v>Đỗ Hoàng Hên</v>
      </c>
      <c r="C374" s="16" t="str">
        <v>VIETNAM</v>
      </c>
      <c r="D374" s="2" t="str">
        <v>RW</v>
      </c>
      <c r="E374" s="2" t="n">
        <v>119</v>
      </c>
      <c r="F374" s="2" t="str">
        <v>Việt Nam</v>
      </c>
      <c r="G374" s="2" t="str">
        <v>Việt Nam</v>
      </c>
      <c r="H374" s="2" t="n">
        <v>29</v>
      </c>
      <c r="I374" s="3" t="n">
        <f>$E374+0</f>
        <v>119</v>
      </c>
      <c r="J374" s="17">
        <v>11300000</v>
      </c>
      <c r="L374" s="17"/>
      <c r="M374" s="3" t="n">
        <f>$E374+2</f>
        <v>121</v>
      </c>
      <c r="N374" s="17"/>
      <c r="O374" s="5" t="n">
        <f>$E374+4</f>
        <v>123</v>
      </c>
      <c r="P374" s="17"/>
      <c r="Q374" s="3" t="n">
        <f>$E374+6</f>
        <v>125</v>
      </c>
      <c r="R374" s="17"/>
      <c r="S374" s="5" t="n">
        <f>$E374+8</f>
        <v>127</v>
      </c>
      <c r="T374" s="17"/>
      <c r="U374" s="3" t="n">
        <f>$E374+11</f>
        <v>130</v>
      </c>
      <c r="V374" s="17"/>
      <c r="W374" s="5" t="n">
        <f>$E374+15</f>
        <v>134</v>
      </c>
      <c r="X374" s="17"/>
      <c r="Y374" s="3" t="n">
        <f>$E374+17</f>
        <v>136</v>
      </c>
      <c r="Z374" s="17"/>
      <c r="AA374" s="5" t="n">
        <f>$E374+19</f>
        <v>138</v>
      </c>
      <c r="AB374" s="17"/>
      <c r="AC374" s="3" t="n">
        <f>$E374+21</f>
        <v>140</v>
      </c>
      <c r="AD374" s="17"/>
      <c r="AE374" s="5" t="n">
        <f>$E374+24</f>
        <v>143</v>
      </c>
      <c r="AF374" s="17"/>
      <c r="AG374" s="3" t="n">
        <f>$E374+27</f>
        <v>146</v>
      </c>
      <c r="AH374" s="17"/>
    </row>
    <row r="375" ht="28" customHeight="1">
      <c r="A375" s="2" t="n">
        <v>385</v>
      </c>
      <c r="B375" s="16" t="str">
        <v>Đỗ Duy Mạnh</v>
      </c>
      <c r="C375" s="16" t="str">
        <v>VIETNAM</v>
      </c>
      <c r="D375" s="2" t="str">
        <v>CB</v>
      </c>
      <c r="E375" s="2" t="n">
        <v>115</v>
      </c>
      <c r="F375" s="2" t="str">
        <v>Việt Nam</v>
      </c>
      <c r="G375" s="2" t="str">
        <v>Việt Nam</v>
      </c>
      <c r="H375" s="2" t="n">
        <v>26</v>
      </c>
      <c r="I375" s="3" t="n">
        <f>$E375+0</f>
        <v>115</v>
      </c>
      <c r="J375" s="17">
        <v>915000</v>
      </c>
      <c r="L375" s="17"/>
      <c r="M375" s="3" t="n">
        <f>$E375+2</f>
        <v>117</v>
      </c>
      <c r="N375" s="17"/>
      <c r="O375" s="5" t="n">
        <f>$E375+4</f>
        <v>119</v>
      </c>
      <c r="P375" s="17"/>
      <c r="Q375" s="3" t="n">
        <f>$E375+6</f>
        <v>121</v>
      </c>
      <c r="R375" s="17"/>
      <c r="S375" s="5" t="n">
        <f>$E375+8</f>
        <v>123</v>
      </c>
      <c r="T375" s="17"/>
      <c r="U375" s="3" t="n">
        <f>$E375+11</f>
        <v>126</v>
      </c>
      <c r="V375" s="17"/>
      <c r="W375" s="5" t="n">
        <f>$E375+15</f>
        <v>130</v>
      </c>
      <c r="X375" s="17"/>
      <c r="Y375" s="3" t="n">
        <f>$E375+17</f>
        <v>132</v>
      </c>
      <c r="Z375" s="17"/>
      <c r="AA375" s="5" t="n">
        <f>$E375+19</f>
        <v>134</v>
      </c>
      <c r="AB375" s="17"/>
      <c r="AC375" s="3" t="n">
        <f>$E375+21</f>
        <v>136</v>
      </c>
      <c r="AD375" s="17"/>
      <c r="AE375" s="5" t="n">
        <f>$E375+24</f>
        <v>139</v>
      </c>
      <c r="AF375" s="17"/>
      <c r="AG375" s="3" t="n">
        <f>$E375+27</f>
        <v>142</v>
      </c>
      <c r="AH375" s="17"/>
    </row>
    <row r="376" ht="28" customHeight="1">
      <c r="A376" s="2" t="n">
        <v>386</v>
      </c>
      <c r="B376" s="16" t="str">
        <v>Đặng Văn Lâm</v>
      </c>
      <c r="C376" s="16" t="str">
        <v>VIETNAM</v>
      </c>
      <c r="D376" s="2" t="str">
        <v>GK</v>
      </c>
      <c r="E376" s="2" t="n">
        <v>109</v>
      </c>
      <c r="F376" s="2" t="str">
        <v>Việt Nam</v>
      </c>
      <c r="G376" s="2" t="str">
        <v>Việt Nam</v>
      </c>
      <c r="H376" s="2" t="n">
        <v>20</v>
      </c>
      <c r="I376" s="3" t="n">
        <f>$E376+0</f>
        <v>109</v>
      </c>
      <c r="J376" s="17">
        <v>2970000</v>
      </c>
      <c r="L376" s="17"/>
      <c r="M376" s="3" t="n">
        <f>$E376+2</f>
        <v>111</v>
      </c>
      <c r="N376" s="17"/>
      <c r="O376" s="5" t="n">
        <f>$E376+4</f>
        <v>113</v>
      </c>
      <c r="P376" s="17"/>
      <c r="Q376" s="3" t="n">
        <f>$E376+6</f>
        <v>115</v>
      </c>
      <c r="R376" s="17"/>
      <c r="S376" s="5" t="n">
        <f>$E376+8</f>
        <v>117</v>
      </c>
      <c r="T376" s="17"/>
      <c r="U376" s="3" t="n">
        <f>$E376+11</f>
        <v>120</v>
      </c>
      <c r="V376" s="17"/>
      <c r="W376" s="5" t="n">
        <f>$E376+15</f>
        <v>124</v>
      </c>
      <c r="X376" s="17"/>
      <c r="Y376" s="3" t="n">
        <f>$E376+17</f>
        <v>126</v>
      </c>
      <c r="Z376" s="17"/>
      <c r="AA376" s="5" t="n">
        <f>$E376+19</f>
        <v>128</v>
      </c>
      <c r="AB376" s="17"/>
      <c r="AC376" s="3" t="n">
        <f>$E376+21</f>
        <v>130</v>
      </c>
      <c r="AD376" s="17"/>
      <c r="AE376" s="5" t="n">
        <f>$E376+24</f>
        <v>133</v>
      </c>
      <c r="AF376" s="17"/>
      <c r="AG376" s="3" t="n">
        <f>$E376+27</f>
        <v>136</v>
      </c>
      <c r="AH376" s="17"/>
    </row>
    <row r="377" ht="28" customHeight="1">
      <c r="A377" s="2" t="n">
        <v>387</v>
      </c>
      <c r="B377" s="16" t="str">
        <v>Đoàn Văn Hậu</v>
      </c>
      <c r="C377" s="16" t="str">
        <v>VIETNAM</v>
      </c>
      <c r="D377" s="2" t="str">
        <v>CB</v>
      </c>
      <c r="E377" s="2" t="n">
        <v>114</v>
      </c>
      <c r="F377" s="2" t="str">
        <v>Việt Nam</v>
      </c>
      <c r="G377" s="2" t="str">
        <v>Việt Nam</v>
      </c>
      <c r="H377" s="2" t="n">
        <v>25</v>
      </c>
      <c r="I377" s="3" t="n">
        <f>$E377+0</f>
        <v>114</v>
      </c>
      <c r="J377" s="17">
        <v>672000</v>
      </c>
      <c r="L377" s="17"/>
      <c r="M377" s="3" t="n">
        <f>$E377+2</f>
        <v>116</v>
      </c>
      <c r="N377" s="17"/>
      <c r="O377" s="5" t="n">
        <f>$E377+4</f>
        <v>118</v>
      </c>
      <c r="P377" s="17"/>
      <c r="Q377" s="3" t="n">
        <f>$E377+6</f>
        <v>120</v>
      </c>
      <c r="R377" s="17"/>
      <c r="S377" s="5" t="n">
        <f>$E377+8</f>
        <v>122</v>
      </c>
      <c r="T377" s="17"/>
      <c r="U377" s="3" t="n">
        <f>$E377+11</f>
        <v>125</v>
      </c>
      <c r="V377" s="17"/>
      <c r="W377" s="5" t="n">
        <f>$E377+15</f>
        <v>129</v>
      </c>
      <c r="X377" s="17"/>
      <c r="Y377" s="3" t="n">
        <f>$E377+17</f>
        <v>131</v>
      </c>
      <c r="Z377" s="17"/>
      <c r="AA377" s="5" t="n">
        <f>$E377+19</f>
        <v>133</v>
      </c>
      <c r="AB377" s="17"/>
      <c r="AC377" s="3" t="n">
        <f>$E377+21</f>
        <v>135</v>
      </c>
      <c r="AD377" s="17"/>
      <c r="AE377" s="5" t="n">
        <f>$E377+24</f>
        <v>138</v>
      </c>
      <c r="AF377" s="17"/>
      <c r="AG377" s="3" t="n">
        <f>$E377+27</f>
        <v>141</v>
      </c>
      <c r="AH377" s="17"/>
    </row>
    <row r="378" ht="28" customHeight="1">
      <c r="A378" s="2" t="n">
        <v>388</v>
      </c>
      <c r="B378" s="16" t="str">
        <v>Vũ Văn Thanh</v>
      </c>
      <c r="C378" s="16" t="str">
        <v>VIETNAM</v>
      </c>
      <c r="D378" s="2" t="str">
        <v>RM</v>
      </c>
      <c r="E378" s="2" t="n">
        <v>111</v>
      </c>
      <c r="F378" s="2" t="str">
        <v>Việt Nam</v>
      </c>
      <c r="G378" s="2" t="str">
        <v>Việt Nam</v>
      </c>
      <c r="H378" s="2" t="n">
        <v>24</v>
      </c>
      <c r="I378" s="3" t="n">
        <f>$E378+0</f>
        <v>111</v>
      </c>
      <c r="J378" s="17">
        <v>1990000</v>
      </c>
      <c r="L378" s="17"/>
      <c r="M378" s="3" t="n">
        <f>$E378+2</f>
        <v>113</v>
      </c>
      <c r="N378" s="17"/>
      <c r="O378" s="5" t="n">
        <f>$E378+4</f>
        <v>115</v>
      </c>
      <c r="P378" s="17"/>
      <c r="Q378" s="3" t="n">
        <f>$E378+6</f>
        <v>117</v>
      </c>
      <c r="R378" s="17"/>
      <c r="S378" s="5" t="n">
        <f>$E378+8</f>
        <v>119</v>
      </c>
      <c r="T378" s="17"/>
      <c r="U378" s="3" t="n">
        <f>$E378+11</f>
        <v>122</v>
      </c>
      <c r="V378" s="17"/>
      <c r="W378" s="5" t="n">
        <f>$E378+15</f>
        <v>126</v>
      </c>
      <c r="X378" s="17"/>
      <c r="Y378" s="3" t="n">
        <f>$E378+17</f>
        <v>128</v>
      </c>
      <c r="Z378" s="17"/>
      <c r="AA378" s="5" t="n">
        <f>$E378+19</f>
        <v>130</v>
      </c>
      <c r="AB378" s="17"/>
      <c r="AC378" s="3" t="n">
        <f>$E378+21</f>
        <v>132</v>
      </c>
      <c r="AD378" s="17"/>
      <c r="AE378" s="5" t="n">
        <f>$E378+24</f>
        <v>135</v>
      </c>
      <c r="AF378" s="17"/>
      <c r="AG378" s="3" t="n">
        <f>$E378+27</f>
        <v>138</v>
      </c>
      <c r="AH378" s="17"/>
    </row>
    <row r="379" ht="28" customHeight="1">
      <c r="A379" s="2" t="n">
        <v>389</v>
      </c>
      <c r="B379" s="16" t="str">
        <v>Trần Đình Trọng</v>
      </c>
      <c r="C379" s="16" t="str">
        <v>VIETNAM</v>
      </c>
      <c r="D379" s="2" t="str">
        <v>CB</v>
      </c>
      <c r="E379" s="2" t="n">
        <v>116</v>
      </c>
      <c r="F379" s="2" t="str">
        <v>Việt Nam</v>
      </c>
      <c r="G379" s="2" t="str">
        <v>Việt Nam</v>
      </c>
      <c r="H379" s="2" t="n">
        <v>27</v>
      </c>
      <c r="I379" s="3" t="n">
        <f>$E379+0</f>
        <v>116</v>
      </c>
      <c r="J379" s="17">
        <v>825000</v>
      </c>
      <c r="L379" s="17"/>
      <c r="M379" s="3" t="n">
        <f>$E379+2</f>
        <v>118</v>
      </c>
      <c r="N379" s="17"/>
      <c r="O379" s="5" t="n">
        <f>$E379+4</f>
        <v>120</v>
      </c>
      <c r="P379" s="17"/>
      <c r="Q379" s="3" t="n">
        <f>$E379+6</f>
        <v>122</v>
      </c>
      <c r="R379" s="17"/>
      <c r="S379" s="5" t="n">
        <f>$E379+8</f>
        <v>124</v>
      </c>
      <c r="T379" s="17"/>
      <c r="U379" s="3" t="n">
        <f>$E379+11</f>
        <v>127</v>
      </c>
      <c r="V379" s="17"/>
      <c r="W379" s="5" t="n">
        <f>$E379+15</f>
        <v>131</v>
      </c>
      <c r="X379" s="17"/>
      <c r="Y379" s="3" t="n">
        <f>$E379+17</f>
        <v>133</v>
      </c>
      <c r="Z379" s="17"/>
      <c r="AA379" s="5" t="n">
        <f>$E379+19</f>
        <v>135</v>
      </c>
      <c r="AB379" s="17"/>
      <c r="AC379" s="3" t="n">
        <f>$E379+21</f>
        <v>137</v>
      </c>
      <c r="AD379" s="17"/>
      <c r="AE379" s="5" t="n">
        <f>$E379+24</f>
        <v>140</v>
      </c>
      <c r="AF379" s="17"/>
      <c r="AG379" s="3" t="n">
        <f>$E379+27</f>
        <v>143</v>
      </c>
      <c r="AH379" s="17"/>
    </row>
    <row r="380" ht="28" customHeight="1">
      <c r="A380" s="2" t="n">
        <v>390</v>
      </c>
      <c r="B380" s="16" t="str">
        <v>Trần Trung Kiên</v>
      </c>
      <c r="C380" s="16" t="str">
        <v>VIETNAM</v>
      </c>
      <c r="D380" s="2" t="str">
        <v>GK</v>
      </c>
      <c r="E380" s="2" t="n">
        <v>117</v>
      </c>
      <c r="F380" s="2" t="str">
        <v>Việt Nam</v>
      </c>
      <c r="G380" s="2" t="str">
        <v>Việt Nam</v>
      </c>
      <c r="H380" s="2" t="n">
        <v>25</v>
      </c>
      <c r="I380" s="3" t="n">
        <f>$E380+0</f>
        <v>117</v>
      </c>
      <c r="J380" s="17">
        <v>4670000</v>
      </c>
      <c r="L380" s="17"/>
      <c r="M380" s="3" t="n">
        <f>$E380+2</f>
        <v>119</v>
      </c>
      <c r="N380" s="17"/>
      <c r="O380" s="5" t="n">
        <f>$E380+4</f>
        <v>121</v>
      </c>
      <c r="P380" s="17"/>
      <c r="Q380" s="3" t="n">
        <f>$E380+6</f>
        <v>123</v>
      </c>
      <c r="R380" s="17"/>
      <c r="S380" s="5" t="n">
        <f>$E380+8</f>
        <v>125</v>
      </c>
      <c r="T380" s="17"/>
      <c r="U380" s="3" t="n">
        <f>$E380+11</f>
        <v>128</v>
      </c>
      <c r="V380" s="17"/>
      <c r="W380" s="5" t="n">
        <f>$E380+15</f>
        <v>132</v>
      </c>
      <c r="X380" s="17"/>
      <c r="Y380" s="3" t="n">
        <f>$E380+17</f>
        <v>134</v>
      </c>
      <c r="Z380" s="17"/>
      <c r="AA380" s="5" t="n">
        <f>$E380+19</f>
        <v>136</v>
      </c>
      <c r="AB380" s="17"/>
      <c r="AC380" s="3" t="n">
        <f>$E380+21</f>
        <v>138</v>
      </c>
      <c r="AD380" s="17"/>
      <c r="AE380" s="5" t="n">
        <f>$E380+24</f>
        <v>141</v>
      </c>
      <c r="AF380" s="17"/>
      <c r="AG380" s="3" t="n">
        <f>$E380+27</f>
        <v>144</v>
      </c>
      <c r="AH380" s="17"/>
    </row>
    <row r="381" ht="28" customHeight="1">
      <c r="A381" s="2" t="n">
        <v>391</v>
      </c>
      <c r="B381" s="16" t="str">
        <v>Quế Ngọc Hải</v>
      </c>
      <c r="C381" s="16" t="str">
        <v>VIETNAM</v>
      </c>
      <c r="D381" s="2" t="str">
        <v>CB</v>
      </c>
      <c r="E381" s="2" t="n">
        <v>116</v>
      </c>
      <c r="F381" s="2" t="str">
        <v>Việt Nam</v>
      </c>
      <c r="G381" s="2" t="str">
        <v>Việt Nam</v>
      </c>
      <c r="H381" s="2" t="n">
        <v>26</v>
      </c>
      <c r="I381" s="3" t="n">
        <f>$E381+0</f>
        <v>116</v>
      </c>
      <c r="J381" s="17">
        <v>576000</v>
      </c>
      <c r="L381" s="17"/>
      <c r="M381" s="3" t="n">
        <f>$E381+2</f>
        <v>118</v>
      </c>
      <c r="N381" s="17"/>
      <c r="O381" s="5" t="n">
        <f>$E381+4</f>
        <v>120</v>
      </c>
      <c r="P381" s="17"/>
      <c r="Q381" s="3" t="n">
        <f>$E381+6</f>
        <v>122</v>
      </c>
      <c r="R381" s="17"/>
      <c r="S381" s="5" t="n">
        <f>$E381+8</f>
        <v>124</v>
      </c>
      <c r="T381" s="17"/>
      <c r="U381" s="3" t="n">
        <f>$E381+11</f>
        <v>127</v>
      </c>
      <c r="V381" s="17"/>
      <c r="W381" s="5" t="n">
        <f>$E381+15</f>
        <v>131</v>
      </c>
      <c r="X381" s="17"/>
      <c r="Y381" s="3" t="n">
        <f>$E381+17</f>
        <v>133</v>
      </c>
      <c r="Z381" s="17"/>
      <c r="AA381" s="5" t="n">
        <f>$E381+19</f>
        <v>135</v>
      </c>
      <c r="AB381" s="17"/>
      <c r="AC381" s="3" t="n">
        <f>$E381+21</f>
        <v>137</v>
      </c>
      <c r="AD381" s="17"/>
      <c r="AE381" s="5" t="n">
        <f>$E381+24</f>
        <v>140</v>
      </c>
      <c r="AF381" s="17"/>
      <c r="AG381" s="3" t="n">
        <f>$E381+27</f>
        <v>143</v>
      </c>
      <c r="AH381" s="17"/>
    </row>
    <row r="382" ht="28" customHeight="1">
      <c r="A382" s="2" t="n">
        <v>392</v>
      </c>
      <c r="B382" s="16" t="str">
        <v>Phạm Đức Huy</v>
      </c>
      <c r="C382" s="16" t="str">
        <v>VIETNAM</v>
      </c>
      <c r="D382" s="2" t="str">
        <v>CDM</v>
      </c>
      <c r="E382" s="2" t="n">
        <v>113</v>
      </c>
      <c r="F382" s="2" t="str">
        <v>Việt Nam</v>
      </c>
      <c r="G382" s="2" t="str">
        <v>Việt Nam</v>
      </c>
      <c r="H382" s="2" t="n">
        <v>25</v>
      </c>
      <c r="I382" s="3" t="n">
        <f>$E382+0</f>
        <v>113</v>
      </c>
      <c r="J382" s="17">
        <v>636000</v>
      </c>
      <c r="L382" s="17"/>
      <c r="M382" s="3" t="n">
        <f>$E382+2</f>
        <v>115</v>
      </c>
      <c r="N382" s="17"/>
      <c r="O382" s="5" t="n">
        <f>$E382+4</f>
        <v>117</v>
      </c>
      <c r="P382" s="17"/>
      <c r="Q382" s="3" t="n">
        <f>$E382+6</f>
        <v>119</v>
      </c>
      <c r="R382" s="17"/>
      <c r="S382" s="5" t="n">
        <f>$E382+8</f>
        <v>121</v>
      </c>
      <c r="T382" s="17"/>
      <c r="U382" s="3" t="n">
        <f>$E382+11</f>
        <v>124</v>
      </c>
      <c r="V382" s="17"/>
      <c r="W382" s="5" t="n">
        <f>$E382+15</f>
        <v>128</v>
      </c>
      <c r="X382" s="17"/>
      <c r="Y382" s="3" t="n">
        <f>$E382+17</f>
        <v>130</v>
      </c>
      <c r="Z382" s="17"/>
      <c r="AA382" s="5" t="n">
        <f>$E382+19</f>
        <v>132</v>
      </c>
      <c r="AB382" s="17"/>
      <c r="AC382" s="3" t="n">
        <f>$E382+21</f>
        <v>134</v>
      </c>
      <c r="AD382" s="17"/>
      <c r="AE382" s="5" t="n">
        <f>$E382+24</f>
        <v>137</v>
      </c>
      <c r="AF382" s="17"/>
      <c r="AG382" s="3" t="n">
        <f>$E382+27</f>
        <v>140</v>
      </c>
      <c r="AH382" s="17"/>
    </row>
    <row r="383" ht="28" customHeight="1">
      <c r="A383" s="2" t="n">
        <v>393</v>
      </c>
      <c r="B383" s="16" t="str">
        <v>Phạm Xuân Mạnh</v>
      </c>
      <c r="C383" s="16" t="str">
        <v>VIETNAM</v>
      </c>
      <c r="D383" s="2" t="str">
        <v>RB</v>
      </c>
      <c r="E383" s="2" t="n">
        <v>113</v>
      </c>
      <c r="F383" s="2" t="str">
        <v>Việt Nam</v>
      </c>
      <c r="G383" s="2" t="str">
        <v>Việt Nam</v>
      </c>
      <c r="H383" s="2" t="n">
        <v>24</v>
      </c>
      <c r="I383" s="3" t="n">
        <f>$E383+0</f>
        <v>113</v>
      </c>
      <c r="J383" s="17">
        <v>35800000</v>
      </c>
      <c r="L383" s="17"/>
      <c r="M383" s="3" t="n">
        <f>$E383+2</f>
        <v>115</v>
      </c>
      <c r="N383" s="17"/>
      <c r="O383" s="5" t="n">
        <f>$E383+4</f>
        <v>117</v>
      </c>
      <c r="P383" s="17"/>
      <c r="Q383" s="3" t="n">
        <f>$E383+6</f>
        <v>119</v>
      </c>
      <c r="R383" s="17"/>
      <c r="S383" s="5" t="n">
        <f>$E383+8</f>
        <v>121</v>
      </c>
      <c r="T383" s="17"/>
      <c r="U383" s="3" t="n">
        <f>$E383+11</f>
        <v>124</v>
      </c>
      <c r="V383" s="17"/>
      <c r="W383" s="5" t="n">
        <f>$E383+15</f>
        <v>128</v>
      </c>
      <c r="X383" s="17"/>
      <c r="Y383" s="3" t="n">
        <f>$E383+17</f>
        <v>130</v>
      </c>
      <c r="Z383" s="17"/>
      <c r="AA383" s="5" t="n">
        <f>$E383+19</f>
        <v>132</v>
      </c>
      <c r="AB383" s="17"/>
      <c r="AC383" s="3" t="n">
        <f>$E383+21</f>
        <v>134</v>
      </c>
      <c r="AD383" s="17"/>
      <c r="AE383" s="5" t="n">
        <f>$E383+24</f>
        <v>137</v>
      </c>
      <c r="AF383" s="17"/>
      <c r="AG383" s="3" t="n">
        <f>$E383+27</f>
        <v>140</v>
      </c>
      <c r="AH383" s="17"/>
    </row>
    <row r="384" ht="28" customHeight="1">
      <c r="A384" s="2" t="n">
        <v>394</v>
      </c>
      <c r="B384" s="16" t="str">
        <v>Phạm Tuấn Hải</v>
      </c>
      <c r="C384" s="16" t="str">
        <v>VIETNAM</v>
      </c>
      <c r="D384" s="2" t="str">
        <v>LW</v>
      </c>
      <c r="E384" s="2" t="n">
        <v>116</v>
      </c>
      <c r="F384" s="2" t="str">
        <v>Việt Nam</v>
      </c>
      <c r="G384" s="2" t="str">
        <v>Việt Nam</v>
      </c>
      <c r="H384" s="2" t="n">
        <v>27</v>
      </c>
      <c r="I384" s="3" t="n">
        <f>$E384+0</f>
        <v>116</v>
      </c>
      <c r="J384" s="17">
        <v>682000</v>
      </c>
      <c r="L384" s="17"/>
      <c r="M384" s="3" t="n">
        <f>$E384+2</f>
        <v>118</v>
      </c>
      <c r="N384" s="17"/>
      <c r="O384" s="5" t="n">
        <f>$E384+4</f>
        <v>120</v>
      </c>
      <c r="P384" s="17"/>
      <c r="Q384" s="3" t="n">
        <f>$E384+6</f>
        <v>122</v>
      </c>
      <c r="R384" s="17"/>
      <c r="S384" s="5" t="n">
        <f>$E384+8</f>
        <v>124</v>
      </c>
      <c r="T384" s="17"/>
      <c r="U384" s="3" t="n">
        <f>$E384+11</f>
        <v>127</v>
      </c>
      <c r="V384" s="17"/>
      <c r="W384" s="5" t="n">
        <f>$E384+15</f>
        <v>131</v>
      </c>
      <c r="X384" s="17"/>
      <c r="Y384" s="3" t="n">
        <f>$E384+17</f>
        <v>133</v>
      </c>
      <c r="Z384" s="17"/>
      <c r="AA384" s="5" t="n">
        <f>$E384+19</f>
        <v>135</v>
      </c>
      <c r="AB384" s="17"/>
      <c r="AC384" s="3" t="n">
        <f>$E384+21</f>
        <v>137</v>
      </c>
      <c r="AD384" s="17"/>
      <c r="AE384" s="5" t="n">
        <f>$E384+24</f>
        <v>140</v>
      </c>
      <c r="AF384" s="17"/>
      <c r="AG384" s="3" t="n">
        <f>$E384+27</f>
        <v>143</v>
      </c>
      <c r="AH384" s="17"/>
    </row>
    <row r="385" ht="28" customHeight="1">
      <c r="A385" s="2" t="n">
        <v>395</v>
      </c>
      <c r="B385" s="16" t="str">
        <v>Phạm Thành Lương</v>
      </c>
      <c r="C385" s="16" t="str">
        <v>VIETNAM</v>
      </c>
      <c r="D385" s="2" t="str">
        <v>LW</v>
      </c>
      <c r="E385" s="2" t="n">
        <v>115</v>
      </c>
      <c r="F385" s="2" t="str">
        <v>Việt Nam</v>
      </c>
      <c r="G385" s="2" t="str">
        <v>Việt Nam</v>
      </c>
      <c r="H385" s="2" t="n">
        <v>26</v>
      </c>
      <c r="I385" s="3" t="n">
        <f>$E385+0</f>
        <v>115</v>
      </c>
      <c r="J385" s="17">
        <v>71300000</v>
      </c>
      <c r="L385" s="17"/>
      <c r="M385" s="3" t="n">
        <f>$E385+2</f>
        <v>117</v>
      </c>
      <c r="N385" s="17"/>
      <c r="O385" s="5" t="n">
        <f>$E385+4</f>
        <v>119</v>
      </c>
      <c r="P385" s="17"/>
      <c r="Q385" s="3" t="n">
        <f>$E385+6</f>
        <v>121</v>
      </c>
      <c r="R385" s="17"/>
      <c r="S385" s="5" t="n">
        <f>$E385+8</f>
        <v>123</v>
      </c>
      <c r="T385" s="17"/>
      <c r="U385" s="3" t="n">
        <f>$E385+11</f>
        <v>126</v>
      </c>
      <c r="V385" s="17"/>
      <c r="W385" s="5" t="n">
        <f>$E385+15</f>
        <v>130</v>
      </c>
      <c r="X385" s="17"/>
      <c r="Y385" s="3" t="n">
        <f>$E385+17</f>
        <v>132</v>
      </c>
      <c r="Z385" s="17"/>
      <c r="AA385" s="5" t="n">
        <f>$E385+19</f>
        <v>134</v>
      </c>
      <c r="AB385" s="17"/>
      <c r="AC385" s="3" t="n">
        <f>$E385+21</f>
        <v>136</v>
      </c>
      <c r="AD385" s="17"/>
      <c r="AE385" s="5" t="n">
        <f>$E385+24</f>
        <v>139</v>
      </c>
      <c r="AF385" s="17"/>
      <c r="AG385" s="3" t="n">
        <f>$E385+27</f>
        <v>142</v>
      </c>
      <c r="AH385" s="17"/>
    </row>
    <row r="386" ht="28" customHeight="1">
      <c r="A386" s="2" t="n">
        <v>396</v>
      </c>
      <c r="B386" s="16" t="str">
        <v>Phan Văn Đức</v>
      </c>
      <c r="C386" s="16" t="str">
        <v>VIETNAM</v>
      </c>
      <c r="D386" s="2" t="str">
        <v>RW</v>
      </c>
      <c r="E386" s="2" t="n">
        <v>108</v>
      </c>
      <c r="F386" s="2" t="str">
        <v>Việt Nam</v>
      </c>
      <c r="G386" s="2" t="str">
        <v>Việt Nam</v>
      </c>
      <c r="H386" s="2" t="n">
        <v>23</v>
      </c>
      <c r="I386" s="3" t="n">
        <f>$E386+0</f>
        <v>108</v>
      </c>
      <c r="J386" s="17">
        <v>96300</v>
      </c>
      <c r="L386" s="17"/>
      <c r="M386" s="3" t="n">
        <f>$E386+2</f>
        <v>110</v>
      </c>
      <c r="N386" s="17"/>
      <c r="O386" s="5" t="n">
        <f>$E386+4</f>
        <v>112</v>
      </c>
      <c r="P386" s="17"/>
      <c r="Q386" s="3" t="n">
        <f>$E386+6</f>
        <v>114</v>
      </c>
      <c r="R386" s="17"/>
      <c r="S386" s="5" t="n">
        <f>$E386+8</f>
        <v>116</v>
      </c>
      <c r="T386" s="17"/>
      <c r="U386" s="3" t="n">
        <f>$E386+11</f>
        <v>119</v>
      </c>
      <c r="V386" s="17"/>
      <c r="W386" s="5" t="n">
        <f>$E386+15</f>
        <v>123</v>
      </c>
      <c r="X386" s="17"/>
      <c r="Y386" s="3" t="n">
        <f>$E386+17</f>
        <v>125</v>
      </c>
      <c r="Z386" s="17"/>
      <c r="AA386" s="5" t="n">
        <f>$E386+19</f>
        <v>127</v>
      </c>
      <c r="AB386" s="17"/>
      <c r="AC386" s="3" t="n">
        <f>$E386+21</f>
        <v>129</v>
      </c>
      <c r="AD386" s="17"/>
      <c r="AE386" s="5" t="n">
        <f>$E386+24</f>
        <v>132</v>
      </c>
      <c r="AF386" s="17"/>
      <c r="AG386" s="3" t="n">
        <f>$E386+27</f>
        <v>135</v>
      </c>
      <c r="AH386" s="17"/>
    </row>
    <row r="387" ht="28" customHeight="1">
      <c r="A387" s="2" t="n">
        <v>397</v>
      </c>
      <c r="B387" s="16" t="str">
        <v>Phan Văn Tài Em</v>
      </c>
      <c r="C387" s="16" t="str">
        <v>VIETNAM</v>
      </c>
      <c r="D387" s="2" t="str">
        <v>CM</v>
      </c>
      <c r="E387" s="2" t="n">
        <v>114</v>
      </c>
      <c r="F387" s="2" t="str">
        <v>Việt Nam</v>
      </c>
      <c r="G387" s="2" t="str">
        <v>Việt Nam</v>
      </c>
      <c r="H387" s="2" t="n">
        <v>26</v>
      </c>
      <c r="I387" s="3" t="n">
        <f>$E387+0</f>
        <v>114</v>
      </c>
      <c r="J387" s="17">
        <v>17300000</v>
      </c>
      <c r="L387" s="17"/>
      <c r="M387" s="3" t="n">
        <f>$E387+2</f>
        <v>116</v>
      </c>
      <c r="N387" s="17"/>
      <c r="O387" s="5" t="n">
        <f>$E387+4</f>
        <v>118</v>
      </c>
      <c r="P387" s="17"/>
      <c r="Q387" s="3" t="n">
        <f>$E387+6</f>
        <v>120</v>
      </c>
      <c r="R387" s="17"/>
      <c r="S387" s="5" t="n">
        <f>$E387+8</f>
        <v>122</v>
      </c>
      <c r="T387" s="17"/>
      <c r="U387" s="3" t="n">
        <f>$E387+11</f>
        <v>125</v>
      </c>
      <c r="V387" s="17"/>
      <c r="W387" s="5" t="n">
        <f>$E387+15</f>
        <v>129</v>
      </c>
      <c r="X387" s="17"/>
      <c r="Y387" s="3" t="n">
        <f>$E387+17</f>
        <v>131</v>
      </c>
      <c r="Z387" s="17"/>
      <c r="AA387" s="5" t="n">
        <f>$E387+19</f>
        <v>133</v>
      </c>
      <c r="AB387" s="17"/>
      <c r="AC387" s="3" t="n">
        <f>$E387+21</f>
        <v>135</v>
      </c>
      <c r="AD387" s="17"/>
      <c r="AE387" s="5" t="n">
        <f>$E387+24</f>
        <v>138</v>
      </c>
      <c r="AF387" s="17"/>
      <c r="AG387" s="3" t="n">
        <f>$E387+27</f>
        <v>141</v>
      </c>
      <c r="AH387" s="17"/>
    </row>
    <row r="388" ht="28" customHeight="1">
      <c r="A388" s="2" t="n">
        <v>398</v>
      </c>
      <c r="B388" s="16" t="str">
        <v>Phan Tuấn Tài</v>
      </c>
      <c r="C388" s="16" t="str">
        <v>VIETNAM</v>
      </c>
      <c r="D388" s="2" t="str">
        <v>LB</v>
      </c>
      <c r="E388" s="2" t="n">
        <v>109</v>
      </c>
      <c r="F388" s="2" t="str">
        <v>Việt Nam</v>
      </c>
      <c r="G388" s="2" t="str">
        <v>Việt Nam</v>
      </c>
      <c r="H388" s="2" t="n">
        <v>22</v>
      </c>
      <c r="I388" s="3" t="n">
        <f>$E388+0</f>
        <v>109</v>
      </c>
      <c r="J388" s="17">
        <v>1480000</v>
      </c>
      <c r="L388" s="17"/>
      <c r="M388" s="3" t="n">
        <f>$E388+2</f>
        <v>111</v>
      </c>
      <c r="N388" s="17"/>
      <c r="O388" s="5" t="n">
        <f>$E388+4</f>
        <v>113</v>
      </c>
      <c r="P388" s="17"/>
      <c r="Q388" s="3" t="n">
        <f>$E388+6</f>
        <v>115</v>
      </c>
      <c r="R388" s="17"/>
      <c r="S388" s="5" t="n">
        <f>$E388+8</f>
        <v>117</v>
      </c>
      <c r="T388" s="17"/>
      <c r="U388" s="3" t="n">
        <f>$E388+11</f>
        <v>120</v>
      </c>
      <c r="V388" s="17"/>
      <c r="W388" s="5" t="n">
        <f>$E388+15</f>
        <v>124</v>
      </c>
      <c r="X388" s="17"/>
      <c r="Y388" s="3" t="n">
        <f>$E388+17</f>
        <v>126</v>
      </c>
      <c r="Z388" s="17"/>
      <c r="AA388" s="5" t="n">
        <f>$E388+19</f>
        <v>128</v>
      </c>
      <c r="AB388" s="17"/>
      <c r="AC388" s="3" t="n">
        <f>$E388+21</f>
        <v>130</v>
      </c>
      <c r="AD388" s="17"/>
      <c r="AE388" s="5" t="n">
        <f>$E388+24</f>
        <v>133</v>
      </c>
      <c r="AF388" s="17"/>
      <c r="AG388" s="3" t="n">
        <f>$E388+27</f>
        <v>136</v>
      </c>
      <c r="AH388" s="17"/>
    </row>
    <row r="389" ht="28" customHeight="1">
      <c r="A389" s="2" t="n">
        <v>399</v>
      </c>
      <c r="B389" s="16" t="str">
        <v>Nhâm Mạnh Dũng</v>
      </c>
      <c r="C389" s="16" t="str">
        <v>VIETNAM</v>
      </c>
      <c r="D389" s="2" t="str">
        <v>ST</v>
      </c>
      <c r="E389" s="2" t="n">
        <v>107</v>
      </c>
      <c r="F389" s="2" t="str">
        <v>Việt Nam</v>
      </c>
      <c r="G389" s="2" t="str">
        <v>Việt Nam</v>
      </c>
      <c r="H389" s="2" t="n">
        <v>21</v>
      </c>
      <c r="I389" s="3" t="n">
        <f>$E389+0</f>
        <v>107</v>
      </c>
      <c r="J389" s="17">
        <v>55600</v>
      </c>
      <c r="L389" s="17"/>
      <c r="M389" s="3" t="n">
        <f>$E389+2</f>
        <v>109</v>
      </c>
      <c r="N389" s="17"/>
      <c r="O389" s="5" t="n">
        <f>$E389+4</f>
        <v>111</v>
      </c>
      <c r="P389" s="17"/>
      <c r="Q389" s="3" t="n">
        <f>$E389+6</f>
        <v>113</v>
      </c>
      <c r="R389" s="17"/>
      <c r="S389" s="5" t="n">
        <f>$E389+8</f>
        <v>115</v>
      </c>
      <c r="T389" s="17"/>
      <c r="U389" s="3" t="n">
        <f>$E389+11</f>
        <v>118</v>
      </c>
      <c r="V389" s="17"/>
      <c r="W389" s="5" t="n">
        <f>$E389+15</f>
        <v>122</v>
      </c>
      <c r="X389" s="17"/>
      <c r="Y389" s="3" t="n">
        <f>$E389+17</f>
        <v>124</v>
      </c>
      <c r="Z389" s="17"/>
      <c r="AA389" s="5" t="n">
        <f>$E389+19</f>
        <v>126</v>
      </c>
      <c r="AB389" s="17"/>
      <c r="AC389" s="3" t="n">
        <f>$E389+21</f>
        <v>128</v>
      </c>
      <c r="AD389" s="17"/>
      <c r="AE389" s="5" t="n">
        <f>$E389+24</f>
        <v>131</v>
      </c>
      <c r="AF389" s="17"/>
      <c r="AG389" s="3" t="n">
        <f>$E389+27</f>
        <v>134</v>
      </c>
      <c r="AH389" s="17"/>
    </row>
    <row r="390" ht="28" customHeight="1">
      <c r="A390" s="2" t="n">
        <v>400</v>
      </c>
      <c r="B390" s="16" t="str">
        <v>Nguyễn Đình Bắc</v>
      </c>
      <c r="C390" s="16" t="str">
        <v>VIETNAM</v>
      </c>
      <c r="D390" s="2" t="str">
        <v>CF</v>
      </c>
      <c r="E390" s="2" t="n">
        <v>118</v>
      </c>
      <c r="F390" s="2" t="str">
        <v>Việt Nam</v>
      </c>
      <c r="G390" s="2" t="str">
        <v>Việt Nam</v>
      </c>
      <c r="H390" s="2" t="n">
        <v>28</v>
      </c>
      <c r="I390" s="3" t="n">
        <f>$E390+0</f>
        <v>118</v>
      </c>
      <c r="J390" s="17">
        <v>34000000</v>
      </c>
      <c r="L390" s="17"/>
      <c r="M390" s="3" t="n">
        <f>$E390+2</f>
        <v>120</v>
      </c>
      <c r="N390" s="17"/>
      <c r="O390" s="5" t="n">
        <f>$E390+4</f>
        <v>122</v>
      </c>
      <c r="P390" s="17"/>
      <c r="Q390" s="3" t="n">
        <f>$E390+6</f>
        <v>124</v>
      </c>
      <c r="R390" s="17"/>
      <c r="S390" s="5" t="n">
        <f>$E390+8</f>
        <v>126</v>
      </c>
      <c r="T390" s="17"/>
      <c r="U390" s="3" t="n">
        <f>$E390+11</f>
        <v>129</v>
      </c>
      <c r="V390" s="17"/>
      <c r="W390" s="5" t="n">
        <f>$E390+15</f>
        <v>133</v>
      </c>
      <c r="X390" s="17"/>
      <c r="Y390" s="3" t="n">
        <f>$E390+17</f>
        <v>135</v>
      </c>
      <c r="Z390" s="17"/>
      <c r="AA390" s="5" t="n">
        <f>$E390+19</f>
        <v>137</v>
      </c>
      <c r="AB390" s="17"/>
      <c r="AC390" s="3" t="n">
        <f>$E390+21</f>
        <v>139</v>
      </c>
      <c r="AD390" s="17"/>
      <c r="AE390" s="5" t="n">
        <f>$E390+24</f>
        <v>142</v>
      </c>
      <c r="AF390" s="17"/>
      <c r="AG390" s="3" t="n">
        <f>$E390+27</f>
        <v>145</v>
      </c>
      <c r="AH390" s="17"/>
    </row>
    <row r="391" ht="28" customHeight="1">
      <c r="A391" s="2" t="n">
        <v>401</v>
      </c>
      <c r="B391" s="16" t="str">
        <v>Nguyễn Xuân Son</v>
      </c>
      <c r="C391" s="16" t="str">
        <v>VIETNAM</v>
      </c>
      <c r="D391" s="2" t="str">
        <v>ST</v>
      </c>
      <c r="E391" s="2" t="n">
        <v>117</v>
      </c>
      <c r="F391" s="2" t="str">
        <v>Việt Nam</v>
      </c>
      <c r="G391" s="2" t="str">
        <v>Việt Nam</v>
      </c>
      <c r="H391" s="2" t="n">
        <v>27</v>
      </c>
      <c r="I391" s="3" t="n">
        <f>$E391+0</f>
        <v>117</v>
      </c>
      <c r="J391" s="17">
        <v>13400000</v>
      </c>
      <c r="L391" s="17"/>
      <c r="M391" s="3" t="n">
        <f>$E391+2</f>
        <v>119</v>
      </c>
      <c r="N391" s="17"/>
      <c r="O391" s="5" t="n">
        <f>$E391+4</f>
        <v>121</v>
      </c>
      <c r="P391" s="17"/>
      <c r="Q391" s="3" t="n">
        <f>$E391+6</f>
        <v>123</v>
      </c>
      <c r="R391" s="17"/>
      <c r="S391" s="5" t="n">
        <f>$E391+8</f>
        <v>125</v>
      </c>
      <c r="T391" s="17"/>
      <c r="U391" s="3" t="n">
        <f>$E391+11</f>
        <v>128</v>
      </c>
      <c r="V391" s="17"/>
      <c r="W391" s="5" t="n">
        <f>$E391+15</f>
        <v>132</v>
      </c>
      <c r="X391" s="17"/>
      <c r="Y391" s="3" t="n">
        <f>$E391+17</f>
        <v>134</v>
      </c>
      <c r="Z391" s="17"/>
      <c r="AA391" s="5" t="n">
        <f>$E391+19</f>
        <v>136</v>
      </c>
      <c r="AB391" s="17"/>
      <c r="AC391" s="3" t="n">
        <f>$E391+21</f>
        <v>138</v>
      </c>
      <c r="AD391" s="17"/>
      <c r="AE391" s="5" t="n">
        <f>$E391+24</f>
        <v>141</v>
      </c>
      <c r="AF391" s="17"/>
      <c r="AG391" s="3" t="n">
        <f>$E391+27</f>
        <v>144</v>
      </c>
      <c r="AH391" s="17"/>
    </row>
    <row r="392" ht="28" customHeight="1">
      <c r="A392" s="2" t="n">
        <v>402</v>
      </c>
      <c r="B392" s="16" t="str">
        <v>Nguyễn Văn Tùng</v>
      </c>
      <c r="C392" s="16" t="str">
        <v>VIETNAM</v>
      </c>
      <c r="D392" s="2" t="str">
        <v>ST</v>
      </c>
      <c r="E392" s="2" t="n">
        <v>110</v>
      </c>
      <c r="F392" s="2" t="str">
        <v>Việt Nam</v>
      </c>
      <c r="G392" s="2" t="str">
        <v>Việt Nam</v>
      </c>
      <c r="H392" s="2" t="n">
        <v>24</v>
      </c>
      <c r="I392" s="3" t="n">
        <f>$E392+0</f>
        <v>110</v>
      </c>
      <c r="J392" s="17">
        <v>108000</v>
      </c>
      <c r="L392" s="17"/>
      <c r="M392" s="3" t="n">
        <f>$E392+2</f>
        <v>112</v>
      </c>
      <c r="N392" s="17"/>
      <c r="O392" s="5" t="n">
        <f>$E392+4</f>
        <v>114</v>
      </c>
      <c r="P392" s="17"/>
      <c r="Q392" s="3" t="n">
        <f>$E392+6</f>
        <v>116</v>
      </c>
      <c r="R392" s="17"/>
      <c r="S392" s="5" t="n">
        <f>$E392+8</f>
        <v>118</v>
      </c>
      <c r="T392" s="17"/>
      <c r="U392" s="3" t="n">
        <f>$E392+11</f>
        <v>121</v>
      </c>
      <c r="V392" s="17"/>
      <c r="W392" s="5" t="n">
        <f>$E392+15</f>
        <v>125</v>
      </c>
      <c r="X392" s="17"/>
      <c r="Y392" s="3" t="n">
        <f>$E392+17</f>
        <v>127</v>
      </c>
      <c r="Z392" s="17"/>
      <c r="AA392" s="5" t="n">
        <f>$E392+19</f>
        <v>129</v>
      </c>
      <c r="AB392" s="17"/>
      <c r="AC392" s="3" t="n">
        <f>$E392+21</f>
        <v>131</v>
      </c>
      <c r="AD392" s="17"/>
      <c r="AE392" s="5" t="n">
        <f>$E392+24</f>
        <v>134</v>
      </c>
      <c r="AF392" s="17"/>
      <c r="AG392" s="3" t="n">
        <f>$E392+27</f>
        <v>137</v>
      </c>
      <c r="AH392" s="17"/>
    </row>
    <row r="393" ht="28" customHeight="1">
      <c r="A393" s="2" t="n">
        <v>403</v>
      </c>
      <c r="B393" s="16" t="str">
        <v>Nguyễn Văn Trường</v>
      </c>
      <c r="C393" s="16" t="str">
        <v>VIETNAM</v>
      </c>
      <c r="D393" s="2" t="str">
        <v>CAM</v>
      </c>
      <c r="E393" s="2" t="n">
        <v>112</v>
      </c>
      <c r="F393" s="2" t="str">
        <v>Việt Nam</v>
      </c>
      <c r="G393" s="2" t="str">
        <v>Việt Nam</v>
      </c>
      <c r="H393" s="2" t="n">
        <v>24</v>
      </c>
      <c r="I393" s="3" t="n">
        <f>$E393+0</f>
        <v>112</v>
      </c>
      <c r="J393" s="17">
        <v>427000</v>
      </c>
      <c r="L393" s="17"/>
      <c r="M393" s="3" t="n">
        <f>$E393+2</f>
        <v>114</v>
      </c>
      <c r="N393" s="17"/>
      <c r="O393" s="5" t="n">
        <f>$E393+4</f>
        <v>116</v>
      </c>
      <c r="P393" s="17"/>
      <c r="Q393" s="3" t="n">
        <f>$E393+6</f>
        <v>118</v>
      </c>
      <c r="R393" s="17"/>
      <c r="S393" s="5" t="n">
        <f>$E393+8</f>
        <v>120</v>
      </c>
      <c r="T393" s="17"/>
      <c r="U393" s="3" t="n">
        <f>$E393+11</f>
        <v>123</v>
      </c>
      <c r="V393" s="17"/>
      <c r="W393" s="5" t="n">
        <f>$E393+15</f>
        <v>127</v>
      </c>
      <c r="X393" s="17"/>
      <c r="Y393" s="3" t="n">
        <f>$E393+17</f>
        <v>129</v>
      </c>
      <c r="Z393" s="17"/>
      <c r="AA393" s="5" t="n">
        <f>$E393+19</f>
        <v>131</v>
      </c>
      <c r="AB393" s="17"/>
      <c r="AC393" s="3" t="n">
        <f>$E393+21</f>
        <v>133</v>
      </c>
      <c r="AD393" s="17"/>
      <c r="AE393" s="5" t="n">
        <f>$E393+24</f>
        <v>136</v>
      </c>
      <c r="AF393" s="17"/>
      <c r="AG393" s="3" t="n">
        <f>$E393+27</f>
        <v>139</v>
      </c>
      <c r="AH393" s="17"/>
    </row>
    <row r="394" ht="28" customHeight="1">
      <c r="A394" s="2" t="n">
        <v>404</v>
      </c>
      <c r="B394" s="16" t="str">
        <v>Nguyễn Văn Toản</v>
      </c>
      <c r="C394" s="16" t="str">
        <v>VIETNAM</v>
      </c>
      <c r="D394" s="2" t="str">
        <v>GK</v>
      </c>
      <c r="E394" s="2" t="n">
        <v>107</v>
      </c>
      <c r="F394" s="2" t="str">
        <v>Việt Nam</v>
      </c>
      <c r="G394" s="2" t="str">
        <v>Việt Nam</v>
      </c>
      <c r="H394" s="2" t="n">
        <v>18</v>
      </c>
      <c r="I394" s="3" t="n">
        <f>$E394+0</f>
        <v>107</v>
      </c>
      <c r="J394" s="17">
        <v>52100</v>
      </c>
      <c r="L394" s="17"/>
      <c r="M394" s="3" t="n">
        <f>$E394+2</f>
        <v>109</v>
      </c>
      <c r="N394" s="17"/>
      <c r="O394" s="5" t="n">
        <f>$E394+4</f>
        <v>111</v>
      </c>
      <c r="P394" s="17"/>
      <c r="Q394" s="3" t="n">
        <f>$E394+6</f>
        <v>113</v>
      </c>
      <c r="R394" s="17"/>
      <c r="S394" s="5" t="n">
        <f>$E394+8</f>
        <v>115</v>
      </c>
      <c r="T394" s="17"/>
      <c r="U394" s="3" t="n">
        <f>$E394+11</f>
        <v>118</v>
      </c>
      <c r="V394" s="17"/>
      <c r="W394" s="5" t="n">
        <f>$E394+15</f>
        <v>122</v>
      </c>
      <c r="X394" s="17"/>
      <c r="Y394" s="3" t="n">
        <f>$E394+17</f>
        <v>124</v>
      </c>
      <c r="Z394" s="17"/>
      <c r="AA394" s="5" t="n">
        <f>$E394+19</f>
        <v>126</v>
      </c>
      <c r="AB394" s="17"/>
      <c r="AC394" s="3" t="n">
        <f>$E394+21</f>
        <v>128</v>
      </c>
      <c r="AD394" s="17"/>
      <c r="AE394" s="5" t="n">
        <f>$E394+24</f>
        <v>131</v>
      </c>
      <c r="AF394" s="17"/>
      <c r="AG394" s="3" t="n">
        <f>$E394+27</f>
        <v>134</v>
      </c>
      <c r="AH394" s="17"/>
    </row>
    <row r="395" ht="28" customHeight="1">
      <c r="A395" s="2" t="n">
        <v>405</v>
      </c>
      <c r="B395" s="16" t="str">
        <v>Nguyễn Văn Quyết</v>
      </c>
      <c r="C395" s="16" t="str">
        <v>VIETNAM</v>
      </c>
      <c r="D395" s="2" t="str">
        <v>CF</v>
      </c>
      <c r="E395" s="2" t="n">
        <v>112</v>
      </c>
      <c r="F395" s="2" t="str">
        <v>Việt Nam</v>
      </c>
      <c r="G395" s="2" t="str">
        <v>Việt Nam</v>
      </c>
      <c r="H395" s="2" t="n">
        <v>25</v>
      </c>
      <c r="I395" s="3" t="n">
        <f>$E395+0</f>
        <v>112</v>
      </c>
      <c r="J395" s="17">
        <v>247000</v>
      </c>
      <c r="L395" s="17"/>
      <c r="M395" s="3" t="n">
        <f>$E395+2</f>
        <v>114</v>
      </c>
      <c r="N395" s="17"/>
      <c r="O395" s="5" t="n">
        <f>$E395+4</f>
        <v>116</v>
      </c>
      <c r="P395" s="17"/>
      <c r="Q395" s="3" t="n">
        <f>$E395+6</f>
        <v>118</v>
      </c>
      <c r="R395" s="17"/>
      <c r="S395" s="5" t="n">
        <f>$E395+8</f>
        <v>120</v>
      </c>
      <c r="T395" s="17"/>
      <c r="U395" s="3" t="n">
        <f>$E395+11</f>
        <v>123</v>
      </c>
      <c r="V395" s="17"/>
      <c r="W395" s="5" t="n">
        <f>$E395+15</f>
        <v>127</v>
      </c>
      <c r="X395" s="17"/>
      <c r="Y395" s="3" t="n">
        <f>$E395+17</f>
        <v>129</v>
      </c>
      <c r="Z395" s="17"/>
      <c r="AA395" s="5" t="n">
        <f>$E395+19</f>
        <v>131</v>
      </c>
      <c r="AB395" s="17"/>
      <c r="AC395" s="3" t="n">
        <f>$E395+21</f>
        <v>133</v>
      </c>
      <c r="AD395" s="17"/>
      <c r="AE395" s="5" t="n">
        <f>$E395+24</f>
        <v>136</v>
      </c>
      <c r="AF395" s="17"/>
      <c r="AG395" s="3" t="n">
        <f>$E395+27</f>
        <v>139</v>
      </c>
      <c r="AH395" s="17"/>
    </row>
    <row r="396" ht="28" customHeight="1">
      <c r="A396" s="2" t="n">
        <v>406</v>
      </c>
      <c r="B396" s="16" t="str">
        <v>Nguyễn Trọng Hoàng</v>
      </c>
      <c r="C396" s="16" t="str">
        <v>VIETNAM</v>
      </c>
      <c r="D396" s="2" t="str">
        <v>RM</v>
      </c>
      <c r="E396" s="2" t="n">
        <v>111</v>
      </c>
      <c r="F396" s="2" t="str">
        <v>Việt Nam</v>
      </c>
      <c r="G396" s="2" t="str">
        <v>Việt Nam</v>
      </c>
      <c r="H396" s="2" t="n">
        <v>24</v>
      </c>
      <c r="I396" s="3" t="n">
        <f>$E396+0</f>
        <v>111</v>
      </c>
      <c r="J396" s="17">
        <v>972000</v>
      </c>
      <c r="L396" s="17"/>
      <c r="M396" s="3" t="n">
        <f>$E396+2</f>
        <v>113</v>
      </c>
      <c r="N396" s="17"/>
      <c r="O396" s="5" t="n">
        <f>$E396+4</f>
        <v>115</v>
      </c>
      <c r="P396" s="17"/>
      <c r="Q396" s="3" t="n">
        <f>$E396+6</f>
        <v>117</v>
      </c>
      <c r="R396" s="17"/>
      <c r="S396" s="5" t="n">
        <f>$E396+8</f>
        <v>119</v>
      </c>
      <c r="T396" s="17"/>
      <c r="U396" s="3" t="n">
        <f>$E396+11</f>
        <v>122</v>
      </c>
      <c r="V396" s="17"/>
      <c r="W396" s="5" t="n">
        <f>$E396+15</f>
        <v>126</v>
      </c>
      <c r="X396" s="17"/>
      <c r="Y396" s="3" t="n">
        <f>$E396+17</f>
        <v>128</v>
      </c>
      <c r="Z396" s="17"/>
      <c r="AA396" s="5" t="n">
        <f>$E396+19</f>
        <v>130</v>
      </c>
      <c r="AB396" s="17"/>
      <c r="AC396" s="3" t="n">
        <f>$E396+21</f>
        <v>132</v>
      </c>
      <c r="AD396" s="17"/>
      <c r="AE396" s="5" t="n">
        <f>$E396+24</f>
        <v>135</v>
      </c>
      <c r="AF396" s="17"/>
      <c r="AG396" s="3" t="n">
        <f>$E396+27</f>
        <v>138</v>
      </c>
      <c r="AH396" s="17"/>
    </row>
    <row r="397" ht="28" customHeight="1">
      <c r="A397" s="2" t="n">
        <v>407</v>
      </c>
      <c r="B397" s="16" t="str">
        <v>Nguyễn Tiến Linh</v>
      </c>
      <c r="C397" s="16" t="str">
        <v>VIETNAM</v>
      </c>
      <c r="D397" s="2" t="str">
        <v>ST</v>
      </c>
      <c r="E397" s="2" t="n">
        <v>115</v>
      </c>
      <c r="F397" s="2" t="str">
        <v>Việt Nam</v>
      </c>
      <c r="G397" s="2" t="str">
        <v>Việt Nam</v>
      </c>
      <c r="H397" s="2" t="n">
        <v>26</v>
      </c>
      <c r="I397" s="3" t="n">
        <f>$E397+0</f>
        <v>115</v>
      </c>
      <c r="J397" s="17">
        <v>18400000</v>
      </c>
      <c r="L397" s="17"/>
      <c r="M397" s="3" t="n">
        <f>$E397+2</f>
        <v>117</v>
      </c>
      <c r="N397" s="17"/>
      <c r="O397" s="5" t="n">
        <f>$E397+4</f>
        <v>119</v>
      </c>
      <c r="P397" s="17"/>
      <c r="Q397" s="3" t="n">
        <f>$E397+6</f>
        <v>121</v>
      </c>
      <c r="R397" s="17"/>
      <c r="S397" s="5" t="n">
        <f>$E397+8</f>
        <v>123</v>
      </c>
      <c r="T397" s="17"/>
      <c r="U397" s="3" t="n">
        <f>$E397+11</f>
        <v>126</v>
      </c>
      <c r="V397" s="17"/>
      <c r="W397" s="5" t="n">
        <f>$E397+15</f>
        <v>130</v>
      </c>
      <c r="X397" s="17"/>
      <c r="Y397" s="3" t="n">
        <f>$E397+17</f>
        <v>132</v>
      </c>
      <c r="Z397" s="17"/>
      <c r="AA397" s="5" t="n">
        <f>$E397+19</f>
        <v>134</v>
      </c>
      <c r="AB397" s="17"/>
      <c r="AC397" s="3" t="n">
        <f>$E397+21</f>
        <v>136</v>
      </c>
      <c r="AD397" s="17"/>
      <c r="AE397" s="5" t="n">
        <f>$E397+24</f>
        <v>139</v>
      </c>
      <c r="AF397" s="17"/>
      <c r="AG397" s="3" t="n">
        <f>$E397+27</f>
        <v>142</v>
      </c>
      <c r="AH397" s="17"/>
    </row>
    <row r="398" ht="28" customHeight="1">
      <c r="A398" s="2" t="n">
        <v>408</v>
      </c>
      <c r="B398" s="16" t="str">
        <v>Nguyễn Thành Chung</v>
      </c>
      <c r="C398" s="16" t="str">
        <v>VIETNAM</v>
      </c>
      <c r="D398" s="2" t="str">
        <v>CB</v>
      </c>
      <c r="E398" s="2" t="n">
        <v>110</v>
      </c>
      <c r="F398" s="2" t="str">
        <v>Việt Nam</v>
      </c>
      <c r="G398" s="2" t="str">
        <v>Việt Nam</v>
      </c>
      <c r="H398" s="2" t="n">
        <v>23</v>
      </c>
      <c r="I398" s="3" t="n">
        <f>$E398+0</f>
        <v>110</v>
      </c>
      <c r="J398" s="17">
        <v>606000</v>
      </c>
      <c r="L398" s="17"/>
      <c r="M398" s="3" t="n">
        <f>$E398+2</f>
        <v>112</v>
      </c>
      <c r="N398" s="17"/>
      <c r="O398" s="5" t="n">
        <f>$E398+4</f>
        <v>114</v>
      </c>
      <c r="P398" s="17"/>
      <c r="Q398" s="3" t="n">
        <f>$E398+6</f>
        <v>116</v>
      </c>
      <c r="R398" s="17"/>
      <c r="S398" s="5" t="n">
        <f>$E398+8</f>
        <v>118</v>
      </c>
      <c r="T398" s="17"/>
      <c r="U398" s="3" t="n">
        <f>$E398+11</f>
        <v>121</v>
      </c>
      <c r="V398" s="17"/>
      <c r="W398" s="5" t="n">
        <f>$E398+15</f>
        <v>125</v>
      </c>
      <c r="X398" s="17"/>
      <c r="Y398" s="3" t="n">
        <f>$E398+17</f>
        <v>127</v>
      </c>
      <c r="Z398" s="17"/>
      <c r="AA398" s="5" t="n">
        <f>$E398+19</f>
        <v>129</v>
      </c>
      <c r="AB398" s="17"/>
      <c r="AC398" s="3" t="n">
        <f>$E398+21</f>
        <v>131</v>
      </c>
      <c r="AD398" s="17"/>
      <c r="AE398" s="5" t="n">
        <f>$E398+24</f>
        <v>134</v>
      </c>
      <c r="AF398" s="17"/>
      <c r="AG398" s="3" t="n">
        <f>$E398+27</f>
        <v>137</v>
      </c>
      <c r="AH398" s="17"/>
    </row>
    <row r="399" ht="28" customHeight="1">
      <c r="A399" s="2" t="n">
        <v>409</v>
      </c>
      <c r="B399" s="16" t="str">
        <v>Nguyễn Thanh Bình</v>
      </c>
      <c r="C399" s="16" t="str">
        <v>VIETNAM</v>
      </c>
      <c r="D399" s="2" t="str">
        <v>CB</v>
      </c>
      <c r="E399" s="2" t="n">
        <v>111</v>
      </c>
      <c r="F399" s="2" t="str">
        <v>Việt Nam</v>
      </c>
      <c r="G399" s="2" t="str">
        <v>Việt Nam</v>
      </c>
      <c r="H399" s="2" t="n">
        <v>23</v>
      </c>
      <c r="I399" s="3" t="n">
        <f>$E399+0</f>
        <v>111</v>
      </c>
      <c r="J399" s="17">
        <v>166000</v>
      </c>
      <c r="L399" s="17"/>
      <c r="M399" s="3" t="n">
        <f>$E399+2</f>
        <v>113</v>
      </c>
      <c r="N399" s="17"/>
      <c r="O399" s="5" t="n">
        <f>$E399+4</f>
        <v>115</v>
      </c>
      <c r="P399" s="17"/>
      <c r="Q399" s="3" t="n">
        <f>$E399+6</f>
        <v>117</v>
      </c>
      <c r="R399" s="17"/>
      <c r="S399" s="5" t="n">
        <f>$E399+8</f>
        <v>119</v>
      </c>
      <c r="T399" s="17"/>
      <c r="U399" s="3" t="n">
        <f>$E399+11</f>
        <v>122</v>
      </c>
      <c r="V399" s="17"/>
      <c r="W399" s="5" t="n">
        <f>$E399+15</f>
        <v>126</v>
      </c>
      <c r="X399" s="17"/>
      <c r="Y399" s="3" t="n">
        <f>$E399+17</f>
        <v>128</v>
      </c>
      <c r="Z399" s="17"/>
      <c r="AA399" s="5" t="n">
        <f>$E399+19</f>
        <v>130</v>
      </c>
      <c r="AB399" s="17"/>
      <c r="AC399" s="3" t="n">
        <f>$E399+21</f>
        <v>132</v>
      </c>
      <c r="AD399" s="17"/>
      <c r="AE399" s="5" t="n">
        <f>$E399+24</f>
        <v>135</v>
      </c>
      <c r="AF399" s="17"/>
      <c r="AG399" s="3" t="n">
        <f>$E399+27</f>
        <v>138</v>
      </c>
      <c r="AH399" s="17"/>
    </row>
    <row r="400" ht="28" customHeight="1">
      <c r="A400" s="2" t="n">
        <v>410</v>
      </c>
      <c r="B400" s="16" t="str">
        <v>Nguyễn Quốc Việt</v>
      </c>
      <c r="C400" s="16" t="str">
        <v>VIETNAM</v>
      </c>
      <c r="D400" s="2" t="str">
        <v>ST</v>
      </c>
      <c r="E400" s="2" t="n">
        <v>112</v>
      </c>
      <c r="F400" s="2" t="str">
        <v>Việt Nam</v>
      </c>
      <c r="G400" s="2" t="str">
        <v>Việt Nam</v>
      </c>
      <c r="H400" s="2" t="n">
        <v>24</v>
      </c>
      <c r="I400" s="3" t="n">
        <f>$E400+0</f>
        <v>112</v>
      </c>
      <c r="J400" s="17">
        <v>147000</v>
      </c>
      <c r="L400" s="17"/>
      <c r="M400" s="3" t="n">
        <f>$E400+2</f>
        <v>114</v>
      </c>
      <c r="N400" s="17"/>
      <c r="O400" s="5" t="n">
        <f>$E400+4</f>
        <v>116</v>
      </c>
      <c r="P400" s="17"/>
      <c r="Q400" s="3" t="n">
        <f>$E400+6</f>
        <v>118</v>
      </c>
      <c r="R400" s="17"/>
      <c r="S400" s="5" t="n">
        <f>$E400+8</f>
        <v>120</v>
      </c>
      <c r="T400" s="17"/>
      <c r="U400" s="3" t="n">
        <f>$E400+11</f>
        <v>123</v>
      </c>
      <c r="V400" s="17"/>
      <c r="W400" s="5" t="n">
        <f>$E400+15</f>
        <v>127</v>
      </c>
      <c r="X400" s="17"/>
      <c r="Y400" s="3" t="n">
        <f>$E400+17</f>
        <v>129</v>
      </c>
      <c r="Z400" s="17"/>
      <c r="AA400" s="5" t="n">
        <f>$E400+19</f>
        <v>131</v>
      </c>
      <c r="AB400" s="17"/>
      <c r="AC400" s="3" t="n">
        <f>$E400+21</f>
        <v>133</v>
      </c>
      <c r="AD400" s="17"/>
      <c r="AE400" s="5" t="n">
        <f>$E400+24</f>
        <v>136</v>
      </c>
      <c r="AF400" s="17"/>
      <c r="AG400" s="3" t="n">
        <f>$E400+27</f>
        <v>139</v>
      </c>
      <c r="AH400" s="17"/>
    </row>
    <row r="401" ht="28" customHeight="1">
      <c r="A401" s="2" t="n">
        <v>411</v>
      </c>
      <c r="B401" s="16" t="str">
        <v>Nguyễn Quang Hải</v>
      </c>
      <c r="C401" s="16" t="str">
        <v>VIETNAM</v>
      </c>
      <c r="D401" s="2" t="str">
        <v>CAM</v>
      </c>
      <c r="E401" s="2" t="n">
        <v>118</v>
      </c>
      <c r="F401" s="2" t="str">
        <v>Việt Nam</v>
      </c>
      <c r="G401" s="2" t="str">
        <v>Việt Nam</v>
      </c>
      <c r="H401" s="2" t="n">
        <v>28</v>
      </c>
      <c r="I401" s="3" t="n">
        <f>$E401+0</f>
        <v>118</v>
      </c>
      <c r="J401" s="17">
        <v>20700000</v>
      </c>
      <c r="L401" s="17"/>
      <c r="M401" s="3" t="n">
        <f>$E401+2</f>
        <v>120</v>
      </c>
      <c r="N401" s="17"/>
      <c r="O401" s="5" t="n">
        <f>$E401+4</f>
        <v>122</v>
      </c>
      <c r="P401" s="17"/>
      <c r="Q401" s="3" t="n">
        <f>$E401+6</f>
        <v>124</v>
      </c>
      <c r="R401" s="17"/>
      <c r="S401" s="5" t="n">
        <f>$E401+8</f>
        <v>126</v>
      </c>
      <c r="T401" s="17"/>
      <c r="U401" s="3" t="n">
        <f>$E401+11</f>
        <v>129</v>
      </c>
      <c r="V401" s="17"/>
      <c r="W401" s="5" t="n">
        <f>$E401+15</f>
        <v>133</v>
      </c>
      <c r="X401" s="17"/>
      <c r="Y401" s="3" t="n">
        <f>$E401+17</f>
        <v>135</v>
      </c>
      <c r="Z401" s="17"/>
      <c r="AA401" s="5" t="n">
        <f>$E401+19</f>
        <v>137</v>
      </c>
      <c r="AB401" s="17"/>
      <c r="AC401" s="3" t="n">
        <f>$E401+21</f>
        <v>139</v>
      </c>
      <c r="AD401" s="17"/>
      <c r="AE401" s="5" t="n">
        <f>$E401+24</f>
        <v>142</v>
      </c>
      <c r="AF401" s="17"/>
      <c r="AG401" s="3" t="n">
        <f>$E401+27</f>
        <v>145</v>
      </c>
      <c r="AH401" s="17"/>
    </row>
    <row r="402" ht="28" customHeight="1">
      <c r="A402" s="2" t="n">
        <v>412</v>
      </c>
      <c r="B402" s="16" t="str">
        <v>Nguyễn Minh Phương</v>
      </c>
      <c r="C402" s="16" t="str">
        <v>VIETNAM</v>
      </c>
      <c r="D402" s="2" t="str">
        <v>CAM</v>
      </c>
      <c r="E402" s="2" t="n">
        <v>116</v>
      </c>
      <c r="F402" s="2" t="str">
        <v>Việt Nam</v>
      </c>
      <c r="G402" s="2" t="str">
        <v>Việt Nam</v>
      </c>
      <c r="H402" s="2" t="n">
        <v>27</v>
      </c>
      <c r="I402" s="3" t="n">
        <f>$E402+0</f>
        <v>116</v>
      </c>
      <c r="J402" s="17">
        <v>9780000</v>
      </c>
      <c r="L402" s="17"/>
      <c r="M402" s="3" t="n">
        <f>$E402+2</f>
        <v>118</v>
      </c>
      <c r="N402" s="17"/>
      <c r="O402" s="5" t="n">
        <f>$E402+4</f>
        <v>120</v>
      </c>
      <c r="P402" s="17"/>
      <c r="Q402" s="3" t="n">
        <f>$E402+6</f>
        <v>122</v>
      </c>
      <c r="R402" s="17"/>
      <c r="S402" s="5" t="n">
        <f>$E402+8</f>
        <v>124</v>
      </c>
      <c r="T402" s="17"/>
      <c r="U402" s="3" t="n">
        <f>$E402+11</f>
        <v>127</v>
      </c>
      <c r="V402" s="17"/>
      <c r="W402" s="5" t="n">
        <f>$E402+15</f>
        <v>131</v>
      </c>
      <c r="X402" s="17"/>
      <c r="Y402" s="3" t="n">
        <f>$E402+17</f>
        <v>133</v>
      </c>
      <c r="Z402" s="17"/>
      <c r="AA402" s="5" t="n">
        <f>$E402+19</f>
        <v>135</v>
      </c>
      <c r="AB402" s="17"/>
      <c r="AC402" s="3" t="n">
        <f>$E402+21</f>
        <v>137</v>
      </c>
      <c r="AD402" s="17"/>
      <c r="AE402" s="5" t="n">
        <f>$E402+24</f>
        <v>140</v>
      </c>
      <c r="AF402" s="17"/>
      <c r="AG402" s="3" t="n">
        <f>$E402+27</f>
        <v>143</v>
      </c>
      <c r="AH402" s="17"/>
    </row>
    <row r="403" ht="28" customHeight="1">
      <c r="A403" s="2" t="n">
        <v>413</v>
      </c>
      <c r="B403" s="16" t="str">
        <v>Nguyễn Hồng Sơn</v>
      </c>
      <c r="C403" s="16" t="str">
        <v>VIETNAM</v>
      </c>
      <c r="D403" s="2" t="str">
        <v>CAM</v>
      </c>
      <c r="E403" s="2" t="n">
        <v>116</v>
      </c>
      <c r="F403" s="2" t="str">
        <v>Việt Nam</v>
      </c>
      <c r="G403" s="2" t="str">
        <v>Việt Nam</v>
      </c>
      <c r="H403" s="2" t="n">
        <v>26</v>
      </c>
      <c r="I403" s="3" t="n">
        <f>$E403+0</f>
        <v>116</v>
      </c>
      <c r="J403" s="17">
        <v>56300000</v>
      </c>
      <c r="L403" s="17"/>
      <c r="M403" s="3" t="n">
        <f>$E403+2</f>
        <v>118</v>
      </c>
      <c r="N403" s="17"/>
      <c r="O403" s="5" t="n">
        <f>$E403+4</f>
        <v>120</v>
      </c>
      <c r="P403" s="17"/>
      <c r="Q403" s="3" t="n">
        <f>$E403+6</f>
        <v>122</v>
      </c>
      <c r="R403" s="17"/>
      <c r="S403" s="5" t="n">
        <f>$E403+8</f>
        <v>124</v>
      </c>
      <c r="T403" s="17"/>
      <c r="U403" s="3" t="n">
        <f>$E403+11</f>
        <v>127</v>
      </c>
      <c r="V403" s="17"/>
      <c r="W403" s="5" t="n">
        <f>$E403+15</f>
        <v>131</v>
      </c>
      <c r="X403" s="17"/>
      <c r="Y403" s="3" t="n">
        <f>$E403+17</f>
        <v>133</v>
      </c>
      <c r="Z403" s="17"/>
      <c r="AA403" s="5" t="n">
        <f>$E403+19</f>
        <v>135</v>
      </c>
      <c r="AB403" s="17"/>
      <c r="AC403" s="3" t="n">
        <f>$E403+21</f>
        <v>137</v>
      </c>
      <c r="AD403" s="17"/>
      <c r="AE403" s="5" t="n">
        <f>$E403+24</f>
        <v>140</v>
      </c>
      <c r="AF403" s="17"/>
      <c r="AG403" s="3" t="n">
        <f>$E403+27</f>
        <v>143</v>
      </c>
      <c r="AH403" s="17"/>
    </row>
    <row r="404" ht="28" customHeight="1">
      <c r="A404" s="2" t="n">
        <v>414</v>
      </c>
      <c r="B404" s="16" t="str">
        <v>Nguyễn Hoàng Đức</v>
      </c>
      <c r="C404" s="16" t="str">
        <v>VIETNAM</v>
      </c>
      <c r="D404" s="2" t="str">
        <v>CM</v>
      </c>
      <c r="E404" s="2" t="n">
        <v>119</v>
      </c>
      <c r="F404" s="2" t="str">
        <v>Việt Nam</v>
      </c>
      <c r="G404" s="2" t="str">
        <v>Việt Nam</v>
      </c>
      <c r="H404" s="2" t="n">
        <v>28</v>
      </c>
      <c r="I404" s="3" t="n">
        <f>$E404+0</f>
        <v>119</v>
      </c>
      <c r="J404" s="17">
        <v>33400000</v>
      </c>
      <c r="L404" s="17"/>
      <c r="M404" s="3" t="n">
        <f>$E404+2</f>
        <v>121</v>
      </c>
      <c r="N404" s="17"/>
      <c r="O404" s="5" t="n">
        <f>$E404+4</f>
        <v>123</v>
      </c>
      <c r="P404" s="17"/>
      <c r="Q404" s="3" t="n">
        <f>$E404+6</f>
        <v>125</v>
      </c>
      <c r="R404" s="17"/>
      <c r="S404" s="5" t="n">
        <f>$E404+8</f>
        <v>127</v>
      </c>
      <c r="T404" s="17"/>
      <c r="U404" s="3" t="n">
        <f>$E404+11</f>
        <v>130</v>
      </c>
      <c r="V404" s="17"/>
      <c r="W404" s="5" t="n">
        <f>$E404+15</f>
        <v>134</v>
      </c>
      <c r="X404" s="17"/>
      <c r="Y404" s="3" t="n">
        <f>$E404+17</f>
        <v>136</v>
      </c>
      <c r="Z404" s="17"/>
      <c r="AA404" s="5" t="n">
        <f>$E404+19</f>
        <v>138</v>
      </c>
      <c r="AB404" s="17"/>
      <c r="AC404" s="3" t="n">
        <f>$E404+21</f>
        <v>140</v>
      </c>
      <c r="AD404" s="17"/>
      <c r="AE404" s="5" t="n">
        <f>$E404+24</f>
        <v>143</v>
      </c>
      <c r="AF404" s="17"/>
      <c r="AG404" s="3" t="n">
        <f>$E404+27</f>
        <v>146</v>
      </c>
      <c r="AH404" s="17"/>
    </row>
    <row r="405" ht="28" customHeight="1">
      <c r="A405" s="2" t="n">
        <v>415</v>
      </c>
      <c r="B405" s="16" t="str">
        <v>Nguyễn Hai Long</v>
      </c>
      <c r="C405" s="16" t="str">
        <v>VIETNAM</v>
      </c>
      <c r="D405" s="2" t="str">
        <v>RW</v>
      </c>
      <c r="E405" s="2" t="n">
        <v>117</v>
      </c>
      <c r="F405" s="2" t="str">
        <v>Việt Nam</v>
      </c>
      <c r="G405" s="2" t="str">
        <v>Việt Nam</v>
      </c>
      <c r="H405" s="2" t="n">
        <v>28</v>
      </c>
      <c r="I405" s="3" t="n">
        <f>$E405+0</f>
        <v>117</v>
      </c>
      <c r="J405" s="17">
        <v>4140000</v>
      </c>
      <c r="L405" s="17"/>
      <c r="M405" s="3" t="n">
        <f>$E405+2</f>
        <v>119</v>
      </c>
      <c r="N405" s="17"/>
      <c r="O405" s="5" t="n">
        <f>$E405+4</f>
        <v>121</v>
      </c>
      <c r="P405" s="17"/>
      <c r="Q405" s="3" t="n">
        <f>$E405+6</f>
        <v>123</v>
      </c>
      <c r="R405" s="17"/>
      <c r="S405" s="5" t="n">
        <f>$E405+8</f>
        <v>125</v>
      </c>
      <c r="T405" s="17"/>
      <c r="U405" s="3" t="n">
        <f>$E405+11</f>
        <v>128</v>
      </c>
      <c r="V405" s="17"/>
      <c r="W405" s="5" t="n">
        <f>$E405+15</f>
        <v>132</v>
      </c>
      <c r="X405" s="17"/>
      <c r="Y405" s="3" t="n">
        <f>$E405+17</f>
        <v>134</v>
      </c>
      <c r="Z405" s="17"/>
      <c r="AA405" s="5" t="n">
        <f>$E405+19</f>
        <v>136</v>
      </c>
      <c r="AB405" s="17"/>
      <c r="AC405" s="3" t="n">
        <f>$E405+21</f>
        <v>138</v>
      </c>
      <c r="AD405" s="17"/>
      <c r="AE405" s="5" t="n">
        <f>$E405+24</f>
        <v>141</v>
      </c>
      <c r="AF405" s="17"/>
      <c r="AG405" s="3" t="n">
        <f>$E405+27</f>
        <v>144</v>
      </c>
      <c r="AH405" s="17"/>
    </row>
    <row r="406" ht="28" customHeight="1">
      <c r="A406" s="2" t="n">
        <v>416</v>
      </c>
      <c r="B406" s="16" t="str">
        <v>Nguyễn Công Phượng</v>
      </c>
      <c r="C406" s="16" t="str">
        <v>VIETNAM</v>
      </c>
      <c r="D406" s="2" t="str">
        <v>RW</v>
      </c>
      <c r="E406" s="2" t="n">
        <v>109</v>
      </c>
      <c r="F406" s="2" t="str">
        <v>Việt Nam</v>
      </c>
      <c r="G406" s="2" t="str">
        <v>Việt Nam</v>
      </c>
      <c r="H406" s="2" t="n">
        <v>23</v>
      </c>
      <c r="I406" s="3" t="n">
        <f>$E406+0</f>
        <v>109</v>
      </c>
      <c r="J406" s="17">
        <v>3740000</v>
      </c>
      <c r="L406" s="17"/>
      <c r="M406" s="3" t="n">
        <f>$E406+2</f>
        <v>111</v>
      </c>
      <c r="N406" s="17"/>
      <c r="O406" s="5" t="n">
        <f>$E406+4</f>
        <v>113</v>
      </c>
      <c r="P406" s="17"/>
      <c r="Q406" s="3" t="n">
        <f>$E406+6</f>
        <v>115</v>
      </c>
      <c r="R406" s="17"/>
      <c r="S406" s="5" t="n">
        <f>$E406+8</f>
        <v>117</v>
      </c>
      <c r="T406" s="17"/>
      <c r="U406" s="3" t="n">
        <f>$E406+11</f>
        <v>120</v>
      </c>
      <c r="V406" s="17"/>
      <c r="W406" s="5" t="n">
        <f>$E406+15</f>
        <v>124</v>
      </c>
      <c r="X406" s="17"/>
      <c r="Y406" s="3" t="n">
        <f>$E406+17</f>
        <v>126</v>
      </c>
      <c r="Z406" s="17"/>
      <c r="AA406" s="5" t="n">
        <f>$E406+19</f>
        <v>128</v>
      </c>
      <c r="AB406" s="17"/>
      <c r="AC406" s="3" t="n">
        <f>$E406+21</f>
        <v>130</v>
      </c>
      <c r="AD406" s="17"/>
      <c r="AE406" s="5" t="n">
        <f>$E406+24</f>
        <v>133</v>
      </c>
      <c r="AF406" s="17"/>
      <c r="AG406" s="3" t="n">
        <f>$E406+27</f>
        <v>136</v>
      </c>
      <c r="AH406" s="17"/>
    </row>
    <row r="407" ht="28" customHeight="1">
      <c r="A407" s="2" t="n">
        <v>417</v>
      </c>
      <c r="B407" s="16" t="str">
        <v>Nguyễn Anh Đức</v>
      </c>
      <c r="C407" s="16" t="str">
        <v>VIETNAM</v>
      </c>
      <c r="D407" s="2" t="str">
        <v>ST</v>
      </c>
      <c r="E407" s="2" t="n">
        <v>115</v>
      </c>
      <c r="F407" s="2" t="str">
        <v>Việt Nam</v>
      </c>
      <c r="G407" s="2" t="str">
        <v>Việt Nam</v>
      </c>
      <c r="H407" s="2" t="n">
        <v>26</v>
      </c>
      <c r="I407" s="3" t="n">
        <f>$E407+0</f>
        <v>115</v>
      </c>
      <c r="J407" s="17">
        <v>11900000</v>
      </c>
      <c r="L407" s="17"/>
      <c r="M407" s="3" t="n">
        <f>$E407+2</f>
        <v>117</v>
      </c>
      <c r="N407" s="17"/>
      <c r="O407" s="5" t="n">
        <f>$E407+4</f>
        <v>119</v>
      </c>
      <c r="P407" s="17"/>
      <c r="Q407" s="3" t="n">
        <f>$E407+6</f>
        <v>121</v>
      </c>
      <c r="R407" s="17"/>
      <c r="S407" s="5" t="n">
        <f>$E407+8</f>
        <v>123</v>
      </c>
      <c r="T407" s="17"/>
      <c r="U407" s="3" t="n">
        <f>$E407+11</f>
        <v>126</v>
      </c>
      <c r="V407" s="17"/>
      <c r="W407" s="5" t="n">
        <f>$E407+15</f>
        <v>130</v>
      </c>
      <c r="X407" s="17"/>
      <c r="Y407" s="3" t="n">
        <f>$E407+17</f>
        <v>132</v>
      </c>
      <c r="Z407" s="17"/>
      <c r="AA407" s="5" t="n">
        <f>$E407+19</f>
        <v>134</v>
      </c>
      <c r="AB407" s="17"/>
      <c r="AC407" s="3" t="n">
        <f>$E407+21</f>
        <v>136</v>
      </c>
      <c r="AD407" s="17"/>
      <c r="AE407" s="5" t="n">
        <f>$E407+24</f>
        <v>139</v>
      </c>
      <c r="AF407" s="17"/>
      <c r="AG407" s="3" t="n">
        <f>$E407+27</f>
        <v>142</v>
      </c>
      <c r="AH407" s="17"/>
    </row>
    <row r="408" ht="28" customHeight="1">
      <c r="A408" s="2" t="n">
        <v>418</v>
      </c>
      <c r="B408" s="16" t="str">
        <v>Lương Xuân Trường</v>
      </c>
      <c r="C408" s="16" t="str">
        <v>VIETNAM</v>
      </c>
      <c r="D408" s="2" t="str">
        <v>CM</v>
      </c>
      <c r="E408" s="2" t="n">
        <v>110</v>
      </c>
      <c r="F408" s="2" t="str">
        <v>Việt Nam</v>
      </c>
      <c r="G408" s="2" t="str">
        <v>Việt Nam</v>
      </c>
      <c r="H408" s="2" t="n">
        <v>24</v>
      </c>
      <c r="I408" s="3" t="n">
        <f>$E408+0</f>
        <v>110</v>
      </c>
      <c r="J408" s="17">
        <v>601000</v>
      </c>
      <c r="L408" s="17"/>
      <c r="M408" s="3" t="n">
        <f>$E408+2</f>
        <v>112</v>
      </c>
      <c r="N408" s="17"/>
      <c r="O408" s="5" t="n">
        <f>$E408+4</f>
        <v>114</v>
      </c>
      <c r="P408" s="17"/>
      <c r="Q408" s="3" t="n">
        <f>$E408+6</f>
        <v>116</v>
      </c>
      <c r="R408" s="17"/>
      <c r="S408" s="5" t="n">
        <f>$E408+8</f>
        <v>118</v>
      </c>
      <c r="T408" s="17"/>
      <c r="U408" s="3" t="n">
        <f>$E408+11</f>
        <v>121</v>
      </c>
      <c r="V408" s="17"/>
      <c r="W408" s="5" t="n">
        <f>$E408+15</f>
        <v>125</v>
      </c>
      <c r="X408" s="17"/>
      <c r="Y408" s="3" t="n">
        <f>$E408+17</f>
        <v>127</v>
      </c>
      <c r="Z408" s="17"/>
      <c r="AA408" s="5" t="n">
        <f>$E408+19</f>
        <v>129</v>
      </c>
      <c r="AB408" s="17"/>
      <c r="AC408" s="3" t="n">
        <f>$E408+21</f>
        <v>131</v>
      </c>
      <c r="AD408" s="17"/>
      <c r="AE408" s="5" t="n">
        <f>$E408+24</f>
        <v>134</v>
      </c>
      <c r="AF408" s="17"/>
      <c r="AG408" s="3" t="n">
        <f>$E408+27</f>
        <v>137</v>
      </c>
      <c r="AH408" s="17"/>
    </row>
    <row r="409" ht="28" customHeight="1">
      <c r="A409" s="2" t="n">
        <v>419</v>
      </c>
      <c r="B409" s="16" t="str">
        <v>Lê Viktor</v>
      </c>
      <c r="C409" s="16" t="str">
        <v>VIETNAM</v>
      </c>
      <c r="D409" s="2" t="str">
        <v>LW</v>
      </c>
      <c r="E409" s="2" t="n">
        <v>113</v>
      </c>
      <c r="F409" s="2" t="str">
        <v>Việt Nam</v>
      </c>
      <c r="G409" s="2" t="str">
        <v>Việt Nam</v>
      </c>
      <c r="H409" s="2" t="n">
        <v>24</v>
      </c>
      <c r="I409" s="3" t="n">
        <f>$E409+0</f>
        <v>113</v>
      </c>
      <c r="J409" s="17">
        <v>402000</v>
      </c>
      <c r="L409" s="17"/>
      <c r="M409" s="3" t="n">
        <f>$E409+2</f>
        <v>115</v>
      </c>
      <c r="N409" s="17"/>
      <c r="O409" s="5" t="n">
        <f>$E409+4</f>
        <v>117</v>
      </c>
      <c r="P409" s="17"/>
      <c r="Q409" s="3" t="n">
        <f>$E409+6</f>
        <v>119</v>
      </c>
      <c r="R409" s="17"/>
      <c r="S409" s="5" t="n">
        <f>$E409+8</f>
        <v>121</v>
      </c>
      <c r="T409" s="17"/>
      <c r="U409" s="3" t="n">
        <f>$E409+11</f>
        <v>124</v>
      </c>
      <c r="V409" s="17"/>
      <c r="W409" s="5" t="n">
        <f>$E409+15</f>
        <v>128</v>
      </c>
      <c r="X409" s="17"/>
      <c r="Y409" s="3" t="n">
        <f>$E409+17</f>
        <v>130</v>
      </c>
      <c r="Z409" s="17"/>
      <c r="AA409" s="5" t="n">
        <f>$E409+19</f>
        <v>132</v>
      </c>
      <c r="AB409" s="17"/>
      <c r="AC409" s="3" t="n">
        <f>$E409+21</f>
        <v>134</v>
      </c>
      <c r="AD409" s="17"/>
      <c r="AE409" s="5" t="n">
        <f>$E409+24</f>
        <v>137</v>
      </c>
      <c r="AF409" s="17"/>
      <c r="AG409" s="3" t="n">
        <f>$E409+27</f>
        <v>140</v>
      </c>
      <c r="AH409" s="17"/>
    </row>
    <row r="410" ht="28" customHeight="1">
      <c r="A410" s="2" t="n">
        <v>420</v>
      </c>
      <c r="B410" s="16" t="str">
        <v>Lê Phước Tứ</v>
      </c>
      <c r="C410" s="16" t="str">
        <v>VIETNAM</v>
      </c>
      <c r="D410" s="2" t="str">
        <v>CB</v>
      </c>
      <c r="E410" s="2" t="n">
        <v>113</v>
      </c>
      <c r="F410" s="2" t="str">
        <v>Việt Nam</v>
      </c>
      <c r="G410" s="2" t="str">
        <v>Việt Nam</v>
      </c>
      <c r="H410" s="2" t="n">
        <v>24</v>
      </c>
      <c r="I410" s="3" t="n">
        <f>$E410+0</f>
        <v>113</v>
      </c>
      <c r="J410" s="17">
        <v>618000</v>
      </c>
      <c r="L410" s="17"/>
      <c r="M410" s="3" t="n">
        <f>$E410+2</f>
        <v>115</v>
      </c>
      <c r="N410" s="17"/>
      <c r="O410" s="5" t="n">
        <f>$E410+4</f>
        <v>117</v>
      </c>
      <c r="P410" s="17"/>
      <c r="Q410" s="3" t="n">
        <f>$E410+6</f>
        <v>119</v>
      </c>
      <c r="R410" s="17"/>
      <c r="S410" s="5" t="n">
        <f>$E410+8</f>
        <v>121</v>
      </c>
      <c r="T410" s="17"/>
      <c r="U410" s="3" t="n">
        <f>$E410+11</f>
        <v>124</v>
      </c>
      <c r="V410" s="17"/>
      <c r="W410" s="5" t="n">
        <f>$E410+15</f>
        <v>128</v>
      </c>
      <c r="X410" s="17"/>
      <c r="Y410" s="3" t="n">
        <f>$E410+17</f>
        <v>130</v>
      </c>
      <c r="Z410" s="17"/>
      <c r="AA410" s="5" t="n">
        <f>$E410+19</f>
        <v>132</v>
      </c>
      <c r="AB410" s="17"/>
      <c r="AC410" s="3" t="n">
        <f>$E410+21</f>
        <v>134</v>
      </c>
      <c r="AD410" s="17"/>
      <c r="AE410" s="5" t="n">
        <f>$E410+24</f>
        <v>137</v>
      </c>
      <c r="AF410" s="17"/>
      <c r="AG410" s="3" t="n">
        <f>$E410+27</f>
        <v>140</v>
      </c>
      <c r="AH410" s="17"/>
    </row>
    <row r="411" ht="28" customHeight="1">
      <c r="A411" s="2" t="n">
        <v>421</v>
      </c>
      <c r="B411" s="16" t="str">
        <v>Lê Huỳnh Đức</v>
      </c>
      <c r="C411" s="16" t="str">
        <v>VIETNAM</v>
      </c>
      <c r="D411" s="2" t="str">
        <v>ST</v>
      </c>
      <c r="E411" s="2" t="n">
        <v>118</v>
      </c>
      <c r="F411" s="2" t="str">
        <v>Việt Nam</v>
      </c>
      <c r="G411" s="2" t="str">
        <v>Việt Nam</v>
      </c>
      <c r="H411" s="2" t="n">
        <v>28</v>
      </c>
      <c r="I411" s="3" t="n">
        <f>$E411+0</f>
        <v>118</v>
      </c>
      <c r="J411" s="17">
        <v>25100000</v>
      </c>
      <c r="L411" s="17"/>
      <c r="M411" s="3" t="n">
        <f>$E411+2</f>
        <v>120</v>
      </c>
      <c r="N411" s="17"/>
      <c r="O411" s="5" t="n">
        <f>$E411+4</f>
        <v>122</v>
      </c>
      <c r="P411" s="17"/>
      <c r="Q411" s="3" t="n">
        <f>$E411+6</f>
        <v>124</v>
      </c>
      <c r="R411" s="17"/>
      <c r="S411" s="5" t="n">
        <f>$E411+8</f>
        <v>126</v>
      </c>
      <c r="T411" s="17"/>
      <c r="U411" s="3" t="n">
        <f>$E411+11</f>
        <v>129</v>
      </c>
      <c r="V411" s="17"/>
      <c r="W411" s="5" t="n">
        <f>$E411+15</f>
        <v>133</v>
      </c>
      <c r="X411" s="17"/>
      <c r="Y411" s="3" t="n">
        <f>$E411+17</f>
        <v>135</v>
      </c>
      <c r="Z411" s="17"/>
      <c r="AA411" s="5" t="n">
        <f>$E411+19</f>
        <v>137</v>
      </c>
      <c r="AB411" s="17"/>
      <c r="AC411" s="3" t="n">
        <f>$E411+21</f>
        <v>139</v>
      </c>
      <c r="AD411" s="17"/>
      <c r="AE411" s="5" t="n">
        <f>$E411+24</f>
        <v>142</v>
      </c>
      <c r="AF411" s="17"/>
      <c r="AG411" s="3" t="n">
        <f>$E411+27</f>
        <v>145</v>
      </c>
      <c r="AH411" s="17"/>
    </row>
    <row r="412" ht="28" customHeight="1">
      <c r="A412" s="2" t="n">
        <v>422</v>
      </c>
      <c r="B412" s="16" t="str">
        <v>Lê Công Vinh</v>
      </c>
      <c r="C412" s="16" t="str">
        <v>VIETNAM</v>
      </c>
      <c r="D412" s="2" t="str">
        <v>ST</v>
      </c>
      <c r="E412" s="2" t="n">
        <v>117</v>
      </c>
      <c r="F412" s="2" t="str">
        <v>Việt Nam</v>
      </c>
      <c r="G412" s="2" t="str">
        <v>Việt Nam</v>
      </c>
      <c r="H412" s="2" t="n">
        <v>27</v>
      </c>
      <c r="I412" s="3" t="n">
        <f>$E412+0</f>
        <v>117</v>
      </c>
      <c r="J412" s="17">
        <v>5480000</v>
      </c>
      <c r="L412" s="17"/>
      <c r="M412" s="3" t="n">
        <f>$E412+2</f>
        <v>119</v>
      </c>
      <c r="N412" s="17"/>
      <c r="O412" s="5" t="n">
        <f>$E412+4</f>
        <v>121</v>
      </c>
      <c r="P412" s="17"/>
      <c r="Q412" s="3" t="n">
        <f>$E412+6</f>
        <v>123</v>
      </c>
      <c r="R412" s="17"/>
      <c r="S412" s="5" t="n">
        <f>$E412+8</f>
        <v>125</v>
      </c>
      <c r="T412" s="17"/>
      <c r="U412" s="3" t="n">
        <f>$E412+11</f>
        <v>128</v>
      </c>
      <c r="V412" s="17"/>
      <c r="W412" s="5" t="n">
        <f>$E412+15</f>
        <v>132</v>
      </c>
      <c r="X412" s="17"/>
      <c r="Y412" s="3" t="n">
        <f>$E412+17</f>
        <v>134</v>
      </c>
      <c r="Z412" s="17"/>
      <c r="AA412" s="5" t="n">
        <f>$E412+19</f>
        <v>136</v>
      </c>
      <c r="AB412" s="17"/>
      <c r="AC412" s="3" t="n">
        <f>$E412+21</f>
        <v>138</v>
      </c>
      <c r="AD412" s="17"/>
      <c r="AE412" s="5" t="n">
        <f>$E412+24</f>
        <v>141</v>
      </c>
      <c r="AF412" s="17"/>
      <c r="AG412" s="3" t="n">
        <f>$E412+27</f>
        <v>144</v>
      </c>
      <c r="AH412" s="17"/>
    </row>
    <row r="413" ht="28" customHeight="1">
      <c r="A413" s="2" t="n">
        <v>423</v>
      </c>
      <c r="B413" s="16" t="str">
        <v>Nguyễn Quang Hải</v>
      </c>
      <c r="C413" s="16" t="str">
        <v>PRIME</v>
      </c>
      <c r="D413" s="2" t="str">
        <v>RW</v>
      </c>
      <c r="E413" s="2" t="n">
        <v>119</v>
      </c>
      <c r="F413" s="2" t="str">
        <v>Việt Nam</v>
      </c>
      <c r="G413" s="2" t="str">
        <v>Việt Nam</v>
      </c>
      <c r="H413" s="2" t="n">
        <v>30</v>
      </c>
      <c r="I413" s="3" t="n">
        <f>$E413+0</f>
        <v>119</v>
      </c>
      <c r="J413" s="17"/>
      <c r="K413" s="5" t="n">
        <f>$E413+1</f>
        <v>120</v>
      </c>
      <c r="L413" s="17"/>
      <c r="M413" s="3" t="n">
        <f>$E413+2</f>
        <v>121</v>
      </c>
      <c r="N413" s="17"/>
      <c r="O413" s="5" t="n">
        <f>$E413+4</f>
        <v>123</v>
      </c>
      <c r="P413" s="17"/>
      <c r="Q413" s="3" t="n">
        <f>$E413+6</f>
        <v>125</v>
      </c>
      <c r="R413" s="17"/>
      <c r="S413" s="5" t="n">
        <f>$E413+8</f>
        <v>127</v>
      </c>
      <c r="T413" s="17"/>
      <c r="U413" s="3" t="n">
        <f>$E413+11</f>
        <v>130</v>
      </c>
      <c r="V413" s="17"/>
      <c r="W413" s="5" t="n">
        <f>$E413+15</f>
        <v>134</v>
      </c>
      <c r="X413" s="17"/>
      <c r="Y413" s="3" t="n">
        <f>$E413+17</f>
        <v>136</v>
      </c>
      <c r="Z413" s="17"/>
      <c r="AA413" s="5" t="n">
        <f>$E413+19</f>
        <v>138</v>
      </c>
      <c r="AB413" s="17"/>
      <c r="AC413" s="3" t="n">
        <f>$E413+21</f>
        <v>140</v>
      </c>
      <c r="AD413" s="17"/>
      <c r="AE413" s="5" t="n">
        <f>$E413+24</f>
        <v>143</v>
      </c>
      <c r="AF413" s="17"/>
      <c r="AG413" s="3" t="n">
        <f>$E413+27</f>
        <v>146</v>
      </c>
      <c r="AH413" s="17"/>
    </row>
    <row r="414" ht="28" customHeight="1">
      <c r="A414" s="2" t="n">
        <v>424</v>
      </c>
      <c r="B414" s="16" t="str">
        <v>L. Suárez</v>
      </c>
      <c r="C414" s="16" t="str">
        <v>PRIME</v>
      </c>
      <c r="D414" s="2" t="str">
        <v>ST</v>
      </c>
      <c r="E414" s="2" t="n">
        <v>125</v>
      </c>
      <c r="F414" s="2" t="str">
        <v>Uruguay</v>
      </c>
      <c r="G414" s="2" t="str">
        <v>Inter Miami</v>
      </c>
      <c r="H414" s="2" t="n">
        <v>34</v>
      </c>
      <c r="I414" s="3" t="n">
        <f>$E414+0</f>
        <v>125</v>
      </c>
      <c r="J414" s="17">
        <v>6200000000</v>
      </c>
      <c r="L414" s="17"/>
      <c r="M414" s="3" t="n">
        <f>$E414+2</f>
        <v>127</v>
      </c>
      <c r="N414" s="17"/>
      <c r="O414" s="5" t="n">
        <f>$E414+4</f>
        <v>129</v>
      </c>
      <c r="P414" s="17"/>
      <c r="Q414" s="3" t="n">
        <f>$E414+6</f>
        <v>131</v>
      </c>
      <c r="R414" s="17"/>
      <c r="S414" s="5" t="n">
        <f>$E414+8</f>
        <v>133</v>
      </c>
      <c r="T414" s="17"/>
      <c r="U414" s="3" t="n">
        <f>$E414+11</f>
        <v>136</v>
      </c>
      <c r="V414" s="17"/>
      <c r="W414" s="5" t="n">
        <f>$E414+15</f>
        <v>140</v>
      </c>
      <c r="X414" s="17"/>
      <c r="Y414" s="3" t="n">
        <f>$E414+17</f>
        <v>142</v>
      </c>
      <c r="Z414" s="17"/>
      <c r="AA414" s="5" t="n">
        <f>$E414+19</f>
        <v>144</v>
      </c>
      <c r="AB414" s="17"/>
      <c r="AC414" s="3" t="n">
        <f>$E414+21</f>
        <v>146</v>
      </c>
      <c r="AD414" s="17"/>
      <c r="AE414" s="5" t="n">
        <f>$E414+24</f>
        <v>149</v>
      </c>
      <c r="AF414" s="17"/>
      <c r="AG414" s="3" t="n">
        <f>$E414+27</f>
        <v>152</v>
      </c>
      <c r="AH414" s="17"/>
    </row>
    <row r="415" ht="28" customHeight="1">
      <c r="A415" s="2" t="n">
        <v>425</v>
      </c>
      <c r="B415" s="16" t="str">
        <v>Maicon</v>
      </c>
      <c r="C415" s="16" t="str">
        <v>PRIME</v>
      </c>
      <c r="D415" s="2" t="str">
        <v>RB</v>
      </c>
      <c r="E415" s="2" t="n">
        <v>124</v>
      </c>
      <c r="F415" s="2" t="str">
        <v>Brazil</v>
      </c>
      <c r="G415" s="2" t="str">
        <v>Inter</v>
      </c>
      <c r="H415" s="2" t="n">
        <v>31</v>
      </c>
      <c r="I415" s="3" t="n">
        <f>$E415+0</f>
        <v>124</v>
      </c>
      <c r="J415" s="17">
        <v>1480000000</v>
      </c>
      <c r="L415" s="17"/>
      <c r="M415" s="3" t="n">
        <f>$E415+2</f>
        <v>126</v>
      </c>
      <c r="N415" s="17"/>
      <c r="O415" s="5" t="n">
        <f>$E415+4</f>
        <v>128</v>
      </c>
      <c r="P415" s="17"/>
      <c r="Q415" s="3" t="n">
        <f>$E415+6</f>
        <v>130</v>
      </c>
      <c r="R415" s="17"/>
      <c r="S415" s="5" t="n">
        <f>$E415+8</f>
        <v>132</v>
      </c>
      <c r="T415" s="17"/>
      <c r="U415" s="3" t="n">
        <f>$E415+11</f>
        <v>135</v>
      </c>
      <c r="V415" s="17"/>
      <c r="W415" s="5" t="n">
        <f>$E415+15</f>
        <v>139</v>
      </c>
      <c r="X415" s="17"/>
      <c r="Y415" s="3" t="n">
        <f>$E415+17</f>
        <v>141</v>
      </c>
      <c r="Z415" s="17"/>
      <c r="AA415" s="5" t="n">
        <f>$E415+19</f>
        <v>143</v>
      </c>
      <c r="AB415" s="17"/>
      <c r="AC415" s="3" t="n">
        <f>$E415+21</f>
        <v>145</v>
      </c>
      <c r="AD415" s="17"/>
      <c r="AE415" s="5" t="n">
        <f>$E415+24</f>
        <v>148</v>
      </c>
      <c r="AF415" s="17"/>
      <c r="AG415" s="3" t="n">
        <f>$E415+27</f>
        <v>151</v>
      </c>
      <c r="AH415" s="17"/>
    </row>
    <row r="416" ht="28" customHeight="1">
      <c r="A416" s="2" t="n">
        <v>426</v>
      </c>
      <c r="B416" s="16" t="str">
        <v>E. Hazard</v>
      </c>
      <c r="C416" s="16" t="str">
        <v>PRIME</v>
      </c>
      <c r="D416" s="2" t="str">
        <v>LW</v>
      </c>
      <c r="E416" s="2" t="n">
        <v>124</v>
      </c>
      <c r="F416" s="2" t="str">
        <v>Bỉ</v>
      </c>
      <c r="G416" s="2" t="str">
        <v>Chelsea</v>
      </c>
      <c r="H416" s="2" t="n">
        <v>33</v>
      </c>
      <c r="I416" s="3" t="n">
        <f>$E416+0</f>
        <v>124</v>
      </c>
      <c r="J416" s="17">
        <v>7300000000</v>
      </c>
      <c r="L416" s="17"/>
      <c r="M416" s="3" t="n">
        <f>$E416+2</f>
        <v>126</v>
      </c>
      <c r="N416" s="17"/>
      <c r="O416" s="5" t="n">
        <f>$E416+4</f>
        <v>128</v>
      </c>
      <c r="P416" s="17"/>
      <c r="Q416" s="3" t="n">
        <f>$E416+6</f>
        <v>130</v>
      </c>
      <c r="R416" s="17"/>
      <c r="S416" s="5" t="n">
        <f>$E416+8</f>
        <v>132</v>
      </c>
      <c r="T416" s="17"/>
      <c r="U416" s="3" t="n">
        <f>$E416+11</f>
        <v>135</v>
      </c>
      <c r="V416" s="17"/>
      <c r="W416" s="5" t="n">
        <f>$E416+15</f>
        <v>139</v>
      </c>
      <c r="X416" s="17"/>
      <c r="Y416" s="3" t="n">
        <f>$E416+17</f>
        <v>141</v>
      </c>
      <c r="Z416" s="17"/>
      <c r="AA416" s="5" t="n">
        <f>$E416+19</f>
        <v>143</v>
      </c>
      <c r="AB416" s="17"/>
      <c r="AC416" s="3" t="n">
        <f>$E416+21</f>
        <v>145</v>
      </c>
      <c r="AD416" s="17"/>
      <c r="AE416" s="5" t="n">
        <f>$E416+24</f>
        <v>148</v>
      </c>
      <c r="AF416" s="17"/>
      <c r="AG416" s="3" t="n">
        <f>$E416+27</f>
        <v>151</v>
      </c>
      <c r="AH416" s="17"/>
    </row>
    <row r="417" ht="28" customHeight="1">
      <c r="A417" s="2" t="n">
        <v>427</v>
      </c>
      <c r="B417" s="16" t="str">
        <v>M. Reus</v>
      </c>
      <c r="C417" s="16" t="str">
        <v>PRIME</v>
      </c>
      <c r="D417" s="2" t="str">
        <v>CAM</v>
      </c>
      <c r="E417" s="2" t="n">
        <v>124</v>
      </c>
      <c r="F417" s="2" t="str">
        <v>Đức</v>
      </c>
      <c r="G417" s="2" t="str">
        <v>LA Galaxy</v>
      </c>
      <c r="H417" s="2" t="n">
        <v>33</v>
      </c>
      <c r="I417" s="3" t="n">
        <f>$E417+0</f>
        <v>124</v>
      </c>
      <c r="J417" s="17">
        <v>3970000000</v>
      </c>
      <c r="L417" s="17"/>
      <c r="M417" s="3" t="n">
        <f>$E417+2</f>
        <v>126</v>
      </c>
      <c r="N417" s="17"/>
      <c r="O417" s="5" t="n">
        <f>$E417+4</f>
        <v>128</v>
      </c>
      <c r="P417" s="17"/>
      <c r="Q417" s="3" t="n">
        <f>$E417+6</f>
        <v>130</v>
      </c>
      <c r="R417" s="17"/>
      <c r="S417" s="5" t="n">
        <f>$E417+8</f>
        <v>132</v>
      </c>
      <c r="T417" s="17"/>
      <c r="U417" s="3" t="n">
        <f>$E417+11</f>
        <v>135</v>
      </c>
      <c r="V417" s="17"/>
      <c r="W417" s="5" t="n">
        <f>$E417+15</f>
        <v>139</v>
      </c>
      <c r="X417" s="17"/>
      <c r="Y417" s="3" t="n">
        <f>$E417+17</f>
        <v>141</v>
      </c>
      <c r="Z417" s="17"/>
      <c r="AA417" s="5" t="n">
        <f>$E417+19</f>
        <v>143</v>
      </c>
      <c r="AB417" s="17"/>
      <c r="AC417" s="3" t="n">
        <f>$E417+21</f>
        <v>145</v>
      </c>
      <c r="AD417" s="17"/>
      <c r="AE417" s="5" t="n">
        <f>$E417+24</f>
        <v>148</v>
      </c>
      <c r="AF417" s="17"/>
      <c r="AG417" s="3" t="n">
        <f>$E417+27</f>
        <v>151</v>
      </c>
      <c r="AH417" s="17"/>
    </row>
    <row r="418" ht="28" customHeight="1">
      <c r="A418" s="2" t="n">
        <v>428</v>
      </c>
      <c r="B418" s="16" t="str">
        <v>Lúcio</v>
      </c>
      <c r="C418" s="16" t="str">
        <v>PRIME</v>
      </c>
      <c r="D418" s="2" t="str">
        <v>CB</v>
      </c>
      <c r="E418" s="2" t="n">
        <v>124</v>
      </c>
      <c r="F418" s="2" t="str">
        <v>Brazil</v>
      </c>
      <c r="G418" s="2" t="str">
        <v>Inter</v>
      </c>
      <c r="H418" s="2" t="n">
        <v>32</v>
      </c>
      <c r="I418" s="3" t="n">
        <f>$E418+0</f>
        <v>124</v>
      </c>
      <c r="J418" s="17">
        <v>5060000000</v>
      </c>
      <c r="L418" s="17"/>
      <c r="M418" s="3" t="n">
        <f>$E418+2</f>
        <v>126</v>
      </c>
      <c r="N418" s="17"/>
      <c r="O418" s="5" t="n">
        <f>$E418+4</f>
        <v>128</v>
      </c>
      <c r="P418" s="17"/>
      <c r="Q418" s="3" t="n">
        <f>$E418+6</f>
        <v>130</v>
      </c>
      <c r="R418" s="17"/>
      <c r="S418" s="5" t="n">
        <f>$E418+8</f>
        <v>132</v>
      </c>
      <c r="T418" s="17"/>
      <c r="U418" s="3" t="n">
        <f>$E418+11</f>
        <v>135</v>
      </c>
      <c r="V418" s="17"/>
      <c r="W418" s="5" t="n">
        <f>$E418+15</f>
        <v>139</v>
      </c>
      <c r="X418" s="17"/>
      <c r="Y418" s="3" t="n">
        <f>$E418+17</f>
        <v>141</v>
      </c>
      <c r="Z418" s="17"/>
      <c r="AA418" s="5" t="n">
        <f>$E418+19</f>
        <v>143</v>
      </c>
      <c r="AB418" s="17"/>
      <c r="AC418" s="3" t="n">
        <f>$E418+21</f>
        <v>145</v>
      </c>
      <c r="AD418" s="17"/>
      <c r="AE418" s="5" t="n">
        <f>$E418+24</f>
        <v>148</v>
      </c>
      <c r="AF418" s="17"/>
      <c r="AG418" s="3" t="n">
        <f>$E418+27</f>
        <v>151</v>
      </c>
      <c r="AH418" s="17"/>
    </row>
    <row r="419" ht="28" customHeight="1">
      <c r="A419" s="2" t="n">
        <v>429</v>
      </c>
      <c r="B419" s="16" t="str">
        <v>D. Forlán</v>
      </c>
      <c r="C419" s="16" t="str">
        <v>PRIME</v>
      </c>
      <c r="D419" s="2" t="str">
        <v>ST</v>
      </c>
      <c r="E419" s="2" t="n">
        <v>124</v>
      </c>
      <c r="F419" s="2" t="str">
        <v>Uruguay</v>
      </c>
      <c r="G419" s="2" t="str">
        <v>Atlético</v>
      </c>
      <c r="H419" s="2" t="n">
        <v>33</v>
      </c>
      <c r="I419" s="3" t="n">
        <f>$E419+0</f>
        <v>124</v>
      </c>
      <c r="J419" s="17">
        <v>6620000000</v>
      </c>
      <c r="L419" s="17"/>
      <c r="M419" s="3" t="n">
        <f>$E419+2</f>
        <v>126</v>
      </c>
      <c r="N419" s="17"/>
      <c r="O419" s="5" t="n">
        <f>$E419+4</f>
        <v>128</v>
      </c>
      <c r="P419" s="17"/>
      <c r="Q419" s="3" t="n">
        <f>$E419+6</f>
        <v>130</v>
      </c>
      <c r="R419" s="17"/>
      <c r="S419" s="5" t="n">
        <f>$E419+8</f>
        <v>132</v>
      </c>
      <c r="T419" s="17"/>
      <c r="U419" s="3" t="n">
        <f>$E419+11</f>
        <v>135</v>
      </c>
      <c r="V419" s="17"/>
      <c r="W419" s="5" t="n">
        <f>$E419+15</f>
        <v>139</v>
      </c>
      <c r="X419" s="17"/>
      <c r="Y419" s="3" t="n">
        <f>$E419+17</f>
        <v>141</v>
      </c>
      <c r="Z419" s="17"/>
      <c r="AA419" s="5" t="n">
        <f>$E419+19</f>
        <v>143</v>
      </c>
      <c r="AB419" s="17"/>
      <c r="AC419" s="3" t="n">
        <f>$E419+21</f>
        <v>145</v>
      </c>
      <c r="AD419" s="17"/>
      <c r="AE419" s="5" t="n">
        <f>$E419+24</f>
        <v>148</v>
      </c>
      <c r="AF419" s="17"/>
      <c r="AG419" s="3" t="n">
        <f>$E419+27</f>
        <v>151</v>
      </c>
      <c r="AH419" s="17"/>
    </row>
    <row r="420" ht="28" customHeight="1">
      <c r="A420" s="2" t="n">
        <v>430</v>
      </c>
      <c r="B420" s="16" t="str">
        <v>C. Tévez</v>
      </c>
      <c r="C420" s="16" t="str">
        <v>PRIME</v>
      </c>
      <c r="D420" s="2" t="str">
        <v>ST</v>
      </c>
      <c r="E420" s="2" t="n">
        <v>123</v>
      </c>
      <c r="F420" s="2" t="str">
        <v>Argentina</v>
      </c>
      <c r="G420" s="2" t="str">
        <v>Manchester Xanh</v>
      </c>
      <c r="H420" s="2" t="n">
        <v>32</v>
      </c>
      <c r="I420" s="3" t="n">
        <f>$E420+0</f>
        <v>123</v>
      </c>
      <c r="J420" s="17">
        <v>7930000000</v>
      </c>
      <c r="L420" s="17"/>
      <c r="M420" s="3" t="n">
        <f>$E420+2</f>
        <v>125</v>
      </c>
      <c r="N420" s="17"/>
      <c r="O420" s="5" t="n">
        <f>$E420+4</f>
        <v>127</v>
      </c>
      <c r="P420" s="17"/>
      <c r="Q420" s="3" t="n">
        <f>$E420+6</f>
        <v>129</v>
      </c>
      <c r="R420" s="17"/>
      <c r="S420" s="5" t="n">
        <f>$E420+8</f>
        <v>131</v>
      </c>
      <c r="T420" s="17"/>
      <c r="U420" s="3" t="n">
        <f>$E420+11</f>
        <v>134</v>
      </c>
      <c r="V420" s="17"/>
      <c r="W420" s="5" t="n">
        <f>$E420+15</f>
        <v>138</v>
      </c>
      <c r="X420" s="17"/>
      <c r="Y420" s="3" t="n">
        <f>$E420+17</f>
        <v>140</v>
      </c>
      <c r="Z420" s="17"/>
      <c r="AA420" s="5" t="n">
        <f>$E420+19</f>
        <v>142</v>
      </c>
      <c r="AB420" s="17"/>
      <c r="AC420" s="3" t="n">
        <f>$E420+21</f>
        <v>144</v>
      </c>
      <c r="AD420" s="17"/>
      <c r="AE420" s="5" t="n">
        <f>$E420+24</f>
        <v>147</v>
      </c>
      <c r="AF420" s="17"/>
      <c r="AG420" s="3" t="n">
        <f>$E420+27</f>
        <v>150</v>
      </c>
      <c r="AH420" s="17"/>
    </row>
    <row r="421" ht="28" customHeight="1">
      <c r="A421" s="2" t="n">
        <v>431</v>
      </c>
      <c r="B421" s="16" t="str">
        <v>João Cancelo</v>
      </c>
      <c r="C421" s="16" t="str">
        <v>PRIME</v>
      </c>
      <c r="D421" s="2" t="str">
        <v>LB</v>
      </c>
      <c r="E421" s="2" t="n">
        <v>123</v>
      </c>
      <c r="F421" s="2" t="str">
        <v>Bồ Đào Nha</v>
      </c>
      <c r="G421" s="2" t="str">
        <v>Al Hilal</v>
      </c>
      <c r="H421" s="2" t="n">
        <v>30</v>
      </c>
      <c r="I421" s="3" t="n">
        <f>$E421+0</f>
        <v>123</v>
      </c>
      <c r="J421" s="17">
        <v>2540000000</v>
      </c>
      <c r="L421" s="17"/>
      <c r="M421" s="3" t="n">
        <f>$E421+2</f>
        <v>125</v>
      </c>
      <c r="N421" s="17"/>
      <c r="O421" s="5" t="n">
        <f>$E421+4</f>
        <v>127</v>
      </c>
      <c r="P421" s="17"/>
      <c r="Q421" s="3" t="n">
        <f>$E421+6</f>
        <v>129</v>
      </c>
      <c r="R421" s="17"/>
      <c r="S421" s="5" t="n">
        <f>$E421+8</f>
        <v>131</v>
      </c>
      <c r="T421" s="17"/>
      <c r="U421" s="3" t="n">
        <f>$E421+11</f>
        <v>134</v>
      </c>
      <c r="V421" s="17"/>
      <c r="W421" s="5" t="n">
        <f>$E421+15</f>
        <v>138</v>
      </c>
      <c r="X421" s="17"/>
      <c r="Y421" s="3" t="n">
        <f>$E421+17</f>
        <v>140</v>
      </c>
      <c r="Z421" s="17"/>
      <c r="AA421" s="5" t="n">
        <f>$E421+19</f>
        <v>142</v>
      </c>
      <c r="AB421" s="17"/>
      <c r="AC421" s="3" t="n">
        <f>$E421+21</f>
        <v>144</v>
      </c>
      <c r="AD421" s="17"/>
      <c r="AE421" s="5" t="n">
        <f>$E421+24</f>
        <v>147</v>
      </c>
      <c r="AF421" s="17"/>
      <c r="AG421" s="3" t="n">
        <f>$E421+27</f>
        <v>150</v>
      </c>
      <c r="AH421" s="17"/>
    </row>
    <row r="422" ht="28" customHeight="1">
      <c r="A422" s="2" t="n">
        <v>432</v>
      </c>
      <c r="B422" s="16" t="str">
        <v>Guti</v>
      </c>
      <c r="C422" s="16" t="str">
        <v>PRIME</v>
      </c>
      <c r="D422" s="2" t="str">
        <v>CAM</v>
      </c>
      <c r="E422" s="2" t="n">
        <v>123</v>
      </c>
      <c r="F422" s="2" t="str">
        <v>Tây Ban Nha</v>
      </c>
      <c r="G422" s="2" t="str">
        <v>Madrid</v>
      </c>
      <c r="H422" s="2" t="n">
        <v>32</v>
      </c>
      <c r="I422" s="3" t="n">
        <f>$E422+0</f>
        <v>123</v>
      </c>
      <c r="J422" s="17">
        <v>1210000000</v>
      </c>
      <c r="L422" s="17"/>
      <c r="M422" s="3" t="n">
        <f>$E422+2</f>
        <v>125</v>
      </c>
      <c r="N422" s="17"/>
      <c r="O422" s="5" t="n">
        <f>$E422+4</f>
        <v>127</v>
      </c>
      <c r="P422" s="17"/>
      <c r="Q422" s="3" t="n">
        <f>$E422+6</f>
        <v>129</v>
      </c>
      <c r="R422" s="17"/>
      <c r="S422" s="5" t="n">
        <f>$E422+8</f>
        <v>131</v>
      </c>
      <c r="T422" s="17"/>
      <c r="U422" s="3" t="n">
        <f>$E422+11</f>
        <v>134</v>
      </c>
      <c r="V422" s="17"/>
      <c r="W422" s="5" t="n">
        <f>$E422+15</f>
        <v>138</v>
      </c>
      <c r="X422" s="17"/>
      <c r="Y422" s="3" t="n">
        <f>$E422+17</f>
        <v>140</v>
      </c>
      <c r="Z422" s="17"/>
      <c r="AA422" s="5" t="n">
        <f>$E422+19</f>
        <v>142</v>
      </c>
      <c r="AB422" s="17"/>
      <c r="AC422" s="3" t="n">
        <f>$E422+21</f>
        <v>144</v>
      </c>
      <c r="AD422" s="17"/>
      <c r="AE422" s="5" t="n">
        <f>$E422+24</f>
        <v>147</v>
      </c>
      <c r="AF422" s="17"/>
      <c r="AG422" s="3" t="n">
        <f>$E422+27</f>
        <v>150</v>
      </c>
      <c r="AH422" s="17"/>
    </row>
    <row r="423" ht="28" customHeight="1">
      <c r="A423" s="2" t="n">
        <v>433</v>
      </c>
      <c r="B423" s="16" t="str">
        <v>Nguyễn Xuân Son</v>
      </c>
      <c r="C423" s="16" t="str">
        <v>PRIME</v>
      </c>
      <c r="D423" s="2" t="str">
        <v>ST</v>
      </c>
      <c r="E423" s="2" t="n">
        <v>120</v>
      </c>
      <c r="F423" s="2" t="str">
        <v>Việt Nam</v>
      </c>
      <c r="G423" s="2" t="str">
        <v>Việt Nam</v>
      </c>
      <c r="H423" s="2" t="n">
        <v>30</v>
      </c>
      <c r="I423" s="3" t="n">
        <f>$E423+0</f>
        <v>120</v>
      </c>
      <c r="J423" s="17"/>
      <c r="K423" s="5" t="n">
        <f>$E423+1</f>
        <v>121</v>
      </c>
      <c r="L423" s="17"/>
      <c r="M423" s="3" t="n">
        <f>$E423+2</f>
        <v>122</v>
      </c>
      <c r="N423" s="17"/>
      <c r="O423" s="5" t="n">
        <f>$E423+4</f>
        <v>124</v>
      </c>
      <c r="P423" s="17"/>
      <c r="Q423" s="3" t="n">
        <f>$E423+6</f>
        <v>126</v>
      </c>
      <c r="R423" s="17"/>
      <c r="S423" s="5" t="n">
        <f>$E423+8</f>
        <v>128</v>
      </c>
      <c r="T423" s="17"/>
      <c r="U423" s="3" t="n">
        <f>$E423+11</f>
        <v>131</v>
      </c>
      <c r="V423" s="17"/>
      <c r="W423" s="5" t="n">
        <f>$E423+15</f>
        <v>135</v>
      </c>
      <c r="X423" s="17"/>
      <c r="Y423" s="3" t="n">
        <f>$E423+17</f>
        <v>137</v>
      </c>
      <c r="Z423" s="17"/>
      <c r="AA423" s="5" t="n">
        <f>$E423+19</f>
        <v>139</v>
      </c>
      <c r="AB423" s="17"/>
      <c r="AC423" s="3" t="n">
        <f>$E423+21</f>
        <v>141</v>
      </c>
      <c r="AD423" s="17"/>
      <c r="AE423" s="5" t="n">
        <f>$E423+24</f>
        <v>144</v>
      </c>
      <c r="AF423" s="17"/>
      <c r="AG423" s="3" t="n">
        <f>$E423+27</f>
        <v>147</v>
      </c>
      <c r="AH423" s="17"/>
    </row>
    <row r="424" ht="28" customHeight="1">
      <c r="A424" s="2" t="n">
        <v>434</v>
      </c>
      <c r="B424" s="16" t="str">
        <v>Nguyễn Công Phượng</v>
      </c>
      <c r="C424" s="16" t="str">
        <v>PRIME</v>
      </c>
      <c r="D424" s="2" t="str">
        <v>CF</v>
      </c>
      <c r="E424" s="2" t="n">
        <v>119</v>
      </c>
      <c r="F424" s="2" t="str">
        <v>Việt Nam</v>
      </c>
      <c r="G424" s="2" t="str">
        <v>Việt Nam</v>
      </c>
      <c r="H424" s="2" t="n">
        <v>29</v>
      </c>
      <c r="I424" s="3" t="n">
        <f>$E424+0</f>
        <v>119</v>
      </c>
      <c r="J424" s="17"/>
      <c r="K424" s="5" t="n">
        <f>$E424+1</f>
        <v>120</v>
      </c>
      <c r="L424" s="17"/>
      <c r="M424" s="3" t="n">
        <f>$E424+2</f>
        <v>121</v>
      </c>
      <c r="N424" s="17"/>
      <c r="O424" s="5" t="n">
        <f>$E424+4</f>
        <v>123</v>
      </c>
      <c r="P424" s="17"/>
      <c r="Q424" s="3" t="n">
        <f>$E424+6</f>
        <v>125</v>
      </c>
      <c r="R424" s="17"/>
      <c r="S424" s="5" t="n">
        <f>$E424+8</f>
        <v>127</v>
      </c>
      <c r="T424" s="17"/>
      <c r="U424" s="3" t="n">
        <f>$E424+11</f>
        <v>130</v>
      </c>
      <c r="V424" s="17"/>
      <c r="W424" s="5" t="n">
        <f>$E424+15</f>
        <v>134</v>
      </c>
      <c r="X424" s="17"/>
      <c r="Y424" s="3" t="n">
        <f>$E424+17</f>
        <v>136</v>
      </c>
      <c r="Z424" s="17"/>
      <c r="AA424" s="5" t="n">
        <f>$E424+19</f>
        <v>138</v>
      </c>
      <c r="AB424" s="17"/>
      <c r="AC424" s="3" t="n">
        <f>$E424+21</f>
        <v>140</v>
      </c>
      <c r="AD424" s="17"/>
      <c r="AE424" s="5" t="n">
        <f>$E424+24</f>
        <v>143</v>
      </c>
      <c r="AF424" s="17"/>
      <c r="AG424" s="3" t="n">
        <f>$E424+27</f>
        <v>146</v>
      </c>
      <c r="AH424" s="17"/>
    </row>
    <row r="425" ht="28" customHeight="1">
      <c r="A425" s="2" t="n">
        <v>435</v>
      </c>
      <c r="B425" s="16" t="str">
        <v>Lê Huỳnh Đức</v>
      </c>
      <c r="C425" s="16" t="str">
        <v>PRIME</v>
      </c>
      <c r="D425" s="2" t="str">
        <v>ST</v>
      </c>
      <c r="E425" s="2" t="n">
        <v>122</v>
      </c>
      <c r="F425" s="2" t="str">
        <v>Việt Nam</v>
      </c>
      <c r="G425" s="2" t="str">
        <v>Việt Nam</v>
      </c>
      <c r="H425" s="2" t="n">
        <v>31</v>
      </c>
      <c r="I425" s="3" t="n">
        <f>$E425+0</f>
        <v>122</v>
      </c>
      <c r="J425" s="17"/>
      <c r="K425" s="5" t="n">
        <f>$E425+1</f>
        <v>123</v>
      </c>
      <c r="L425" s="17"/>
      <c r="M425" s="3" t="n">
        <f>$E425+2</f>
        <v>124</v>
      </c>
      <c r="N425" s="17"/>
      <c r="O425" s="5" t="n">
        <f>$E425+4</f>
        <v>126</v>
      </c>
      <c r="P425" s="17"/>
      <c r="Q425" s="3" t="n">
        <f>$E425+6</f>
        <v>128</v>
      </c>
      <c r="R425" s="17"/>
      <c r="S425" s="5" t="n">
        <f>$E425+8</f>
        <v>130</v>
      </c>
      <c r="T425" s="17"/>
      <c r="U425" s="3" t="n">
        <f>$E425+11</f>
        <v>133</v>
      </c>
      <c r="V425" s="17"/>
      <c r="W425" s="5" t="n">
        <f>$E425+15</f>
        <v>137</v>
      </c>
      <c r="X425" s="17"/>
      <c r="Y425" s="3" t="n">
        <f>$E425+17</f>
        <v>139</v>
      </c>
      <c r="Z425" s="17"/>
      <c r="AA425" s="5" t="n">
        <f>$E425+19</f>
        <v>141</v>
      </c>
      <c r="AB425" s="17"/>
      <c r="AC425" s="3" t="n">
        <f>$E425+21</f>
        <v>143</v>
      </c>
      <c r="AD425" s="17"/>
      <c r="AE425" s="5" t="n">
        <f>$E425+24</f>
        <v>146</v>
      </c>
      <c r="AF425" s="17"/>
      <c r="AG425" s="3" t="n">
        <f>$E425+27</f>
        <v>149</v>
      </c>
      <c r="AH425" s="17"/>
    </row>
    <row r="426" ht="28" customHeight="1">
      <c r="A426" s="2" t="n">
        <v>436</v>
      </c>
      <c r="B426" s="16" t="str">
        <v>Nguyễn Hoàng Đức</v>
      </c>
      <c r="C426" s="16" t="str">
        <v>PRIME</v>
      </c>
      <c r="D426" s="2" t="str">
        <v>CM</v>
      </c>
      <c r="E426" s="2" t="n">
        <v>121</v>
      </c>
      <c r="F426" s="2" t="str">
        <v>Việt Nam</v>
      </c>
      <c r="G426" s="2" t="str">
        <v>Việt Nam</v>
      </c>
      <c r="H426" s="2" t="n">
        <v>31</v>
      </c>
      <c r="I426" s="3" t="n">
        <f>$E426+0</f>
        <v>121</v>
      </c>
      <c r="J426" s="17"/>
      <c r="K426" s="5" t="n">
        <f>$E426+1</f>
        <v>122</v>
      </c>
      <c r="L426" s="17"/>
      <c r="M426" s="3" t="n">
        <f>$E426+2</f>
        <v>123</v>
      </c>
      <c r="N426" s="17"/>
      <c r="O426" s="5" t="n">
        <f>$E426+4</f>
        <v>125</v>
      </c>
      <c r="P426" s="17"/>
      <c r="Q426" s="3" t="n">
        <f>$E426+6</f>
        <v>127</v>
      </c>
      <c r="R426" s="17"/>
      <c r="S426" s="5" t="n">
        <f>$E426+8</f>
        <v>129</v>
      </c>
      <c r="T426" s="17"/>
      <c r="U426" s="3" t="n">
        <f>$E426+11</f>
        <v>132</v>
      </c>
      <c r="V426" s="17"/>
      <c r="W426" s="5" t="n">
        <f>$E426+15</f>
        <v>136</v>
      </c>
      <c r="X426" s="17"/>
      <c r="Y426" s="3" t="n">
        <f>$E426+17</f>
        <v>138</v>
      </c>
      <c r="Z426" s="17"/>
      <c r="AA426" s="5" t="n">
        <f>$E426+19</f>
        <v>140</v>
      </c>
      <c r="AB426" s="17"/>
      <c r="AC426" s="3" t="n">
        <f>$E426+21</f>
        <v>142</v>
      </c>
      <c r="AD426" s="17"/>
      <c r="AE426" s="5" t="n">
        <f>$E426+24</f>
        <v>145</v>
      </c>
      <c r="AF426" s="17"/>
      <c r="AG426" s="3" t="n">
        <f>$E426+27</f>
        <v>148</v>
      </c>
      <c r="AH426" s="17"/>
    </row>
    <row r="427" ht="28" customHeight="1">
      <c r="A427" s="2" t="n">
        <v>437</v>
      </c>
      <c r="B427" s="16" t="str">
        <v>T. Müller</v>
      </c>
      <c r="C427" s="16" t="str">
        <v>PRIME</v>
      </c>
      <c r="D427" s="2" t="str">
        <v>CF</v>
      </c>
      <c r="E427" s="2" t="n">
        <v>124</v>
      </c>
      <c r="F427" s="2" t="str">
        <v>Đức</v>
      </c>
      <c r="G427" s="2" t="str">
        <v>Vancouver Whitecaps</v>
      </c>
      <c r="H427" s="2" t="n">
        <v>33</v>
      </c>
      <c r="I427" s="3" t="n">
        <f>$E427+0</f>
        <v>124</v>
      </c>
      <c r="J427" s="17">
        <v>11600000000</v>
      </c>
      <c r="L427" s="17"/>
      <c r="M427" s="3" t="n">
        <f>$E427+2</f>
        <v>126</v>
      </c>
      <c r="N427" s="17"/>
      <c r="O427" s="5" t="n">
        <f>$E427+4</f>
        <v>128</v>
      </c>
      <c r="P427" s="17"/>
      <c r="Q427" s="3" t="n">
        <f>$E427+6</f>
        <v>130</v>
      </c>
      <c r="R427" s="17"/>
      <c r="S427" s="5" t="n">
        <f>$E427+8</f>
        <v>132</v>
      </c>
      <c r="T427" s="17"/>
      <c r="U427" s="3" t="n">
        <f>$E427+11</f>
        <v>135</v>
      </c>
      <c r="V427" s="17"/>
      <c r="W427" s="5" t="n">
        <f>$E427+15</f>
        <v>139</v>
      </c>
      <c r="X427" s="17"/>
      <c r="Y427" s="3" t="n">
        <f>$E427+17</f>
        <v>141</v>
      </c>
      <c r="Z427" s="17"/>
      <c r="AA427" s="5" t="n">
        <f>$E427+19</f>
        <v>143</v>
      </c>
      <c r="AB427" s="17"/>
      <c r="AC427" s="3" t="n">
        <f>$E427+21</f>
        <v>145</v>
      </c>
      <c r="AD427" s="17"/>
      <c r="AE427" s="5" t="n">
        <f>$E427+24</f>
        <v>148</v>
      </c>
      <c r="AF427" s="17"/>
      <c r="AG427" s="3" t="n">
        <f>$E427+27</f>
        <v>151</v>
      </c>
      <c r="AH427" s="17"/>
    </row>
    <row r="428" ht="28" customHeight="1">
      <c r="A428" s="2" t="n">
        <v>438</v>
      </c>
      <c r="B428" s="16" t="str">
        <v>H. Son</v>
      </c>
      <c r="C428" s="16" t="str">
        <v>PRIME</v>
      </c>
      <c r="D428" s="2" t="str">
        <v>LW</v>
      </c>
      <c r="E428" s="2" t="n">
        <v>124</v>
      </c>
      <c r="F428" s="2" t="str">
        <v>Hàn Quốc</v>
      </c>
      <c r="G428" s="2" t="str">
        <v>LAFC</v>
      </c>
      <c r="H428" s="2" t="n">
        <v>33</v>
      </c>
      <c r="I428" s="3" t="n">
        <f>$E428+0</f>
        <v>124</v>
      </c>
      <c r="J428" s="17">
        <v>4160000000</v>
      </c>
      <c r="L428" s="17"/>
      <c r="M428" s="3" t="n">
        <f>$E428+2</f>
        <v>126</v>
      </c>
      <c r="N428" s="17"/>
      <c r="O428" s="5" t="n">
        <f>$E428+4</f>
        <v>128</v>
      </c>
      <c r="P428" s="17"/>
      <c r="Q428" s="3" t="n">
        <f>$E428+6</f>
        <v>130</v>
      </c>
      <c r="R428" s="17"/>
      <c r="S428" s="5" t="n">
        <f>$E428+8</f>
        <v>132</v>
      </c>
      <c r="T428" s="17"/>
      <c r="U428" s="3" t="n">
        <f>$E428+11</f>
        <v>135</v>
      </c>
      <c r="V428" s="17"/>
      <c r="W428" s="5" t="n">
        <f>$E428+15</f>
        <v>139</v>
      </c>
      <c r="X428" s="17"/>
      <c r="Y428" s="3" t="n">
        <f>$E428+17</f>
        <v>141</v>
      </c>
      <c r="Z428" s="17"/>
      <c r="AA428" s="5" t="n">
        <f>$E428+19</f>
        <v>143</v>
      </c>
      <c r="AB428" s="17"/>
      <c r="AC428" s="3" t="n">
        <f>$E428+21</f>
        <v>145</v>
      </c>
      <c r="AD428" s="17"/>
      <c r="AE428" s="5" t="n">
        <f>$E428+24</f>
        <v>148</v>
      </c>
      <c r="AF428" s="17"/>
      <c r="AG428" s="3" t="n">
        <f>$E428+27</f>
        <v>151</v>
      </c>
      <c r="AH428" s="17"/>
    </row>
    <row r="429" ht="28" customHeight="1">
      <c r="A429" s="2" t="n">
        <v>439</v>
      </c>
      <c r="B429" s="16" t="str">
        <v>S. Mané</v>
      </c>
      <c r="C429" s="16" t="str">
        <v>PRIME</v>
      </c>
      <c r="D429" s="2" t="str">
        <v>LW</v>
      </c>
      <c r="E429" s="2" t="n">
        <v>124</v>
      </c>
      <c r="F429" s="2" t="str">
        <v>Senegal</v>
      </c>
      <c r="G429" s="2" t="str">
        <v>Al Nassr</v>
      </c>
      <c r="H429" s="2" t="n">
        <v>33</v>
      </c>
      <c r="I429" s="3" t="n">
        <f>$E429+0</f>
        <v>124</v>
      </c>
      <c r="J429" s="17">
        <v>4810000000</v>
      </c>
      <c r="L429" s="17"/>
      <c r="M429" s="3" t="n">
        <f>$E429+2</f>
        <v>126</v>
      </c>
      <c r="N429" s="17"/>
      <c r="O429" s="5" t="n">
        <f>$E429+4</f>
        <v>128</v>
      </c>
      <c r="P429" s="17"/>
      <c r="Q429" s="3" t="n">
        <f>$E429+6</f>
        <v>130</v>
      </c>
      <c r="R429" s="17"/>
      <c r="S429" s="5" t="n">
        <f>$E429+8</f>
        <v>132</v>
      </c>
      <c r="T429" s="17"/>
      <c r="U429" s="3" t="n">
        <f>$E429+11</f>
        <v>135</v>
      </c>
      <c r="V429" s="17"/>
      <c r="W429" s="5" t="n">
        <f>$E429+15</f>
        <v>139</v>
      </c>
      <c r="X429" s="17"/>
      <c r="Y429" s="3" t="n">
        <f>$E429+17</f>
        <v>141</v>
      </c>
      <c r="Z429" s="17"/>
      <c r="AA429" s="5" t="n">
        <f>$E429+19</f>
        <v>143</v>
      </c>
      <c r="AB429" s="17"/>
      <c r="AC429" s="3" t="n">
        <f>$E429+21</f>
        <v>145</v>
      </c>
      <c r="AD429" s="17"/>
      <c r="AE429" s="5" t="n">
        <f>$E429+24</f>
        <v>148</v>
      </c>
      <c r="AF429" s="17"/>
      <c r="AG429" s="3" t="n">
        <f>$E429+27</f>
        <v>151</v>
      </c>
      <c r="AH429" s="17"/>
    </row>
    <row r="430" ht="28" customHeight="1">
      <c r="A430" s="2" t="n">
        <v>440</v>
      </c>
      <c r="B430" s="16" t="str">
        <v>K. Benzema</v>
      </c>
      <c r="C430" s="16" t="str">
        <v>PRIME</v>
      </c>
      <c r="D430" s="2" t="str">
        <v>CF</v>
      </c>
      <c r="E430" s="2" t="n">
        <v>125</v>
      </c>
      <c r="F430" s="2" t="str">
        <v>Pháp</v>
      </c>
      <c r="G430" s="2" t="str">
        <v>Al Ittihad</v>
      </c>
      <c r="H430" s="2" t="n">
        <v>34</v>
      </c>
      <c r="I430" s="3" t="n">
        <f>$E430+0</f>
        <v>125</v>
      </c>
      <c r="J430" s="17">
        <v>8360000000</v>
      </c>
      <c r="L430" s="17"/>
      <c r="M430" s="3" t="n">
        <f>$E430+2</f>
        <v>127</v>
      </c>
      <c r="N430" s="17"/>
      <c r="O430" s="5" t="n">
        <f>$E430+4</f>
        <v>129</v>
      </c>
      <c r="P430" s="17"/>
      <c r="Q430" s="3" t="n">
        <f>$E430+6</f>
        <v>131</v>
      </c>
      <c r="R430" s="17"/>
      <c r="S430" s="5" t="n">
        <f>$E430+8</f>
        <v>133</v>
      </c>
      <c r="T430" s="17"/>
      <c r="U430" s="3" t="n">
        <f>$E430+11</f>
        <v>136</v>
      </c>
      <c r="V430" s="17"/>
      <c r="W430" s="5" t="n">
        <f>$E430+15</f>
        <v>140</v>
      </c>
      <c r="X430" s="17"/>
      <c r="Y430" s="3" t="n">
        <f>$E430+17</f>
        <v>142</v>
      </c>
      <c r="Z430" s="17"/>
      <c r="AA430" s="5" t="n">
        <f>$E430+19</f>
        <v>144</v>
      </c>
      <c r="AB430" s="17"/>
      <c r="AC430" s="3" t="n">
        <f>$E430+21</f>
        <v>146</v>
      </c>
      <c r="AD430" s="17"/>
      <c r="AE430" s="5" t="n">
        <f>$E430+24</f>
        <v>149</v>
      </c>
      <c r="AF430" s="17"/>
      <c r="AG430" s="3" t="n">
        <f>$E430+27</f>
        <v>152</v>
      </c>
      <c r="AH430" s="17"/>
    </row>
    <row r="431" ht="28" customHeight="1">
      <c r="A431" s="2" t="n">
        <v>441</v>
      </c>
      <c r="B431" s="16" t="str">
        <v>Cristiano Ronaldo</v>
      </c>
      <c r="C431" s="16" t="str">
        <v>PRIME</v>
      </c>
      <c r="D431" s="2" t="str">
        <v>ST</v>
      </c>
      <c r="E431" s="2" t="n">
        <v>126</v>
      </c>
      <c r="F431" s="2" t="str">
        <v>Bồ Đào Nha</v>
      </c>
      <c r="G431" s="2" t="str">
        <v>Al Nassr</v>
      </c>
      <c r="H431" s="2" t="n">
        <v>35</v>
      </c>
      <c r="I431" s="3" t="n">
        <f>$E431+0</f>
        <v>126</v>
      </c>
      <c r="J431" s="17">
        <v>30500000000</v>
      </c>
      <c r="L431" s="17"/>
      <c r="M431" s="3" t="n">
        <f>$E431+2</f>
        <v>128</v>
      </c>
      <c r="N431" s="17"/>
      <c r="O431" s="5" t="n">
        <f>$E431+4</f>
        <v>130</v>
      </c>
      <c r="P431" s="17"/>
      <c r="Q431" s="3" t="n">
        <f>$E431+6</f>
        <v>132</v>
      </c>
      <c r="R431" s="17"/>
      <c r="S431" s="5" t="n">
        <f>$E431+8</f>
        <v>134</v>
      </c>
      <c r="T431" s="17"/>
      <c r="U431" s="3" t="n">
        <f>$E431+11</f>
        <v>137</v>
      </c>
      <c r="V431" s="17"/>
      <c r="W431" s="5" t="n">
        <f>$E431+15</f>
        <v>141</v>
      </c>
      <c r="X431" s="17"/>
      <c r="Y431" s="3" t="n">
        <f>$E431+17</f>
        <v>143</v>
      </c>
      <c r="Z431" s="17"/>
      <c r="AA431" s="5" t="n">
        <f>$E431+19</f>
        <v>145</v>
      </c>
      <c r="AB431" s="17"/>
      <c r="AC431" s="3" t="n">
        <f>$E431+21</f>
        <v>147</v>
      </c>
      <c r="AD431" s="17"/>
      <c r="AE431" s="5" t="n">
        <f>$E431+24</f>
        <v>150</v>
      </c>
      <c r="AF431" s="17"/>
      <c r="AG431" s="3" t="n">
        <f>$E431+27</f>
        <v>153</v>
      </c>
      <c r="AH431" s="17"/>
    </row>
    <row r="432" ht="28" customHeight="1">
      <c r="A432" s="2" t="n">
        <v>442</v>
      </c>
      <c r="B432" s="16" t="str">
        <v>L. Messi</v>
      </c>
      <c r="C432" s="16" t="str">
        <v>PRIME</v>
      </c>
      <c r="D432" s="2" t="str">
        <v>CAM</v>
      </c>
      <c r="E432" s="2" t="n">
        <v>126</v>
      </c>
      <c r="F432" s="2" t="str">
        <v>Argentina</v>
      </c>
      <c r="G432" s="2" t="str">
        <v>Inter Miami</v>
      </c>
      <c r="H432" s="2" t="n">
        <v>35</v>
      </c>
      <c r="I432" s="3" t="n">
        <f>$E432+0</f>
        <v>126</v>
      </c>
      <c r="J432" s="17">
        <v>20400000000</v>
      </c>
      <c r="L432" s="17"/>
      <c r="M432" s="3" t="n">
        <f>$E432+2</f>
        <v>128</v>
      </c>
      <c r="N432" s="17"/>
      <c r="O432" s="5" t="n">
        <f>$E432+4</f>
        <v>130</v>
      </c>
      <c r="P432" s="17"/>
      <c r="Q432" s="3" t="n">
        <f>$E432+6</f>
        <v>132</v>
      </c>
      <c r="R432" s="17"/>
      <c r="S432" s="5" t="n">
        <f>$E432+8</f>
        <v>134</v>
      </c>
      <c r="T432" s="17"/>
      <c r="U432" s="3" t="n">
        <f>$E432+11</f>
        <v>137</v>
      </c>
      <c r="V432" s="17"/>
      <c r="W432" s="5" t="n">
        <f>$E432+15</f>
        <v>141</v>
      </c>
      <c r="X432" s="17"/>
      <c r="Y432" s="3" t="n">
        <f>$E432+17</f>
        <v>143</v>
      </c>
      <c r="Z432" s="17"/>
      <c r="AA432" s="5" t="n">
        <f>$E432+19</f>
        <v>145</v>
      </c>
      <c r="AB432" s="17"/>
      <c r="AC432" s="3" t="n">
        <f>$E432+21</f>
        <v>147</v>
      </c>
      <c r="AD432" s="17"/>
      <c r="AE432" s="5" t="n">
        <f>$E432+24</f>
        <v>150</v>
      </c>
      <c r="AF432" s="17"/>
      <c r="AG432" s="3" t="n">
        <f>$E432+27</f>
        <v>153</v>
      </c>
      <c r="AH432" s="17"/>
    </row>
    <row r="433" ht="28" customHeight="1">
      <c r="A433" s="2" t="n">
        <v>443</v>
      </c>
      <c r="B433" s="16" t="str">
        <v>S. Gnabry</v>
      </c>
      <c r="C433" s="16" t="str">
        <v>MEDALIST</v>
      </c>
      <c r="D433" s="2" t="str">
        <v>LW</v>
      </c>
      <c r="E433" s="2" t="n">
        <v>114</v>
      </c>
      <c r="F433" s="2" t="str">
        <v>Đức</v>
      </c>
      <c r="G433" s="2" t="str">
        <v>Bayern</v>
      </c>
      <c r="H433" s="2" t="n">
        <v>28</v>
      </c>
      <c r="I433" s="3" t="n">
        <f>$E433+0</f>
        <v>114</v>
      </c>
      <c r="J433" s="18"/>
      <c r="K433" s="5" t="n">
        <f>$E433+1</f>
        <v>115</v>
      </c>
      <c r="L433" s="18"/>
      <c r="M433" s="3" t="n">
        <f>$E433+2</f>
        <v>116</v>
      </c>
      <c r="N433" s="18"/>
      <c r="O433" s="5" t="n">
        <f>$E433+4</f>
        <v>118</v>
      </c>
      <c r="P433" s="18"/>
      <c r="Q433" s="3" t="n">
        <f>$E433+6</f>
        <v>120</v>
      </c>
      <c r="R433" s="18"/>
      <c r="S433" s="5" t="n">
        <f>$E433+8</f>
        <v>122</v>
      </c>
      <c r="T433" s="18"/>
      <c r="U433" s="3" t="n">
        <f>$E433+11</f>
        <v>125</v>
      </c>
      <c r="V433" s="18"/>
      <c r="W433" s="5" t="n">
        <f>$E433+15</f>
        <v>129</v>
      </c>
      <c r="X433" s="18"/>
      <c r="Y433" s="3" t="n">
        <f>$E433+17</f>
        <v>131</v>
      </c>
      <c r="Z433" s="18"/>
      <c r="AA433" s="5" t="n">
        <f>$E433+19</f>
        <v>133</v>
      </c>
      <c r="AB433" s="18"/>
      <c r="AC433" s="3" t="n">
        <f>$E433+21</f>
        <v>135</v>
      </c>
      <c r="AD433" s="18"/>
      <c r="AE433" s="5" t="n">
        <f>$E433+24</f>
        <v>138</v>
      </c>
      <c r="AF433" s="18"/>
      <c r="AG433" s="3" t="n">
        <f>$E433+27</f>
        <v>141</v>
      </c>
      <c r="AH433" s="18"/>
    </row>
    <row r="434" ht="28" customHeight="1">
      <c r="A434" s="2" t="n">
        <v>444</v>
      </c>
      <c r="B434" s="16" t="str">
        <v>Ji Dong Won</v>
      </c>
      <c r="C434" s="16" t="str">
        <v>MEDALIST</v>
      </c>
      <c r="D434" s="2" t="str">
        <v>ST</v>
      </c>
      <c r="E434" s="2" t="n">
        <v>106</v>
      </c>
      <c r="F434" s="2" t="str">
        <v>Hàn Quốc</v>
      </c>
      <c r="G434" s="2" t="str">
        <v>Seongnam FC</v>
      </c>
      <c r="H434" s="2" t="n">
        <v>24</v>
      </c>
      <c r="I434" s="3" t="n">
        <f>$E434+0</f>
        <v>106</v>
      </c>
      <c r="J434" s="18"/>
      <c r="K434" s="5" t="n">
        <f>$E434+1</f>
        <v>107</v>
      </c>
      <c r="L434" s="18"/>
      <c r="M434" s="3" t="n">
        <f>$E434+2</f>
        <v>108</v>
      </c>
      <c r="N434" s="18"/>
      <c r="O434" s="5" t="n">
        <f>$E434+4</f>
        <v>110</v>
      </c>
      <c r="P434" s="18"/>
      <c r="Q434" s="3" t="n">
        <f>$E434+6</f>
        <v>112</v>
      </c>
      <c r="R434" s="18"/>
      <c r="S434" s="5" t="n">
        <f>$E434+8</f>
        <v>114</v>
      </c>
      <c r="T434" s="18"/>
      <c r="U434" s="3" t="n">
        <f>$E434+11</f>
        <v>117</v>
      </c>
      <c r="V434" s="18"/>
      <c r="W434" s="5" t="n">
        <f>$E434+15</f>
        <v>121</v>
      </c>
      <c r="X434" s="18"/>
      <c r="Y434" s="3" t="n">
        <f>$E434+17</f>
        <v>123</v>
      </c>
      <c r="Z434" s="18"/>
      <c r="AA434" s="5" t="n">
        <f>$E434+19</f>
        <v>125</v>
      </c>
      <c r="AB434" s="18"/>
      <c r="AC434" s="3" t="n">
        <f>$E434+21</f>
        <v>127</v>
      </c>
      <c r="AD434" s="18"/>
      <c r="AE434" s="5" t="n">
        <f>$E434+24</f>
        <v>130</v>
      </c>
      <c r="AF434" s="18"/>
      <c r="AG434" s="3" t="n">
        <f>$E434+27</f>
        <v>133</v>
      </c>
      <c r="AH434" s="18"/>
    </row>
    <row r="435" ht="28" customHeight="1">
      <c r="A435" s="2" t="n">
        <v>445</v>
      </c>
      <c r="B435" s="16" t="str">
        <v>J. Brandt</v>
      </c>
      <c r="C435" s="16" t="str">
        <v>MEDALIST</v>
      </c>
      <c r="D435" s="2" t="str">
        <v>CAM</v>
      </c>
      <c r="E435" s="2" t="n">
        <v>114</v>
      </c>
      <c r="F435" s="2" t="str">
        <v>Đức</v>
      </c>
      <c r="G435" s="2" t="str">
        <v>Dortmund</v>
      </c>
      <c r="H435" s="2" t="n">
        <v>28</v>
      </c>
      <c r="I435" s="3" t="n">
        <f>$E435+0</f>
        <v>114</v>
      </c>
      <c r="J435" s="18"/>
      <c r="K435" s="5" t="n">
        <f>$E435+1</f>
        <v>115</v>
      </c>
      <c r="L435" s="18"/>
      <c r="M435" s="3" t="n">
        <f>$E435+2</f>
        <v>116</v>
      </c>
      <c r="N435" s="18"/>
      <c r="O435" s="5" t="n">
        <f>$E435+4</f>
        <v>118</v>
      </c>
      <c r="P435" s="18"/>
      <c r="Q435" s="3" t="n">
        <f>$E435+6</f>
        <v>120</v>
      </c>
      <c r="R435" s="18"/>
      <c r="S435" s="5" t="n">
        <f>$E435+8</f>
        <v>122</v>
      </c>
      <c r="T435" s="18"/>
      <c r="U435" s="3" t="n">
        <f>$E435+11</f>
        <v>125</v>
      </c>
      <c r="V435" s="18"/>
      <c r="W435" s="5" t="n">
        <f>$E435+15</f>
        <v>129</v>
      </c>
      <c r="X435" s="18"/>
      <c r="Y435" s="3" t="n">
        <f>$E435+17</f>
        <v>131</v>
      </c>
      <c r="Z435" s="18"/>
      <c r="AA435" s="5" t="n">
        <f>$E435+19</f>
        <v>133</v>
      </c>
      <c r="AB435" s="18"/>
      <c r="AC435" s="3" t="n">
        <f>$E435+21</f>
        <v>135</v>
      </c>
      <c r="AD435" s="18"/>
      <c r="AE435" s="5" t="n">
        <f>$E435+24</f>
        <v>138</v>
      </c>
      <c r="AF435" s="18"/>
      <c r="AG435" s="3" t="n">
        <f>$E435+27</f>
        <v>141</v>
      </c>
      <c r="AH435" s="18"/>
    </row>
    <row r="436" ht="28" customHeight="1">
      <c r="A436" s="2" t="n">
        <v>446</v>
      </c>
      <c r="B436" s="16" t="str">
        <v>Pedri</v>
      </c>
      <c r="C436" s="16" t="str">
        <v>MEDALIST</v>
      </c>
      <c r="D436" s="2" t="str">
        <v>CAM</v>
      </c>
      <c r="E436" s="2" t="n">
        <v>113</v>
      </c>
      <c r="F436" s="2" t="str">
        <v>Tây Ban Nha</v>
      </c>
      <c r="G436" s="2" t="str">
        <v>Barcelona</v>
      </c>
      <c r="H436" s="2" t="n">
        <v>27</v>
      </c>
      <c r="I436" s="3" t="n">
        <f>$E436+0</f>
        <v>113</v>
      </c>
      <c r="J436" s="18"/>
      <c r="K436" s="5" t="n">
        <f>$E436+1</f>
        <v>114</v>
      </c>
      <c r="L436" s="18"/>
      <c r="M436" s="3" t="n">
        <f>$E436+2</f>
        <v>115</v>
      </c>
      <c r="N436" s="18"/>
      <c r="O436" s="5" t="n">
        <f>$E436+4</f>
        <v>117</v>
      </c>
      <c r="P436" s="18"/>
      <c r="Q436" s="3" t="n">
        <f>$E436+6</f>
        <v>119</v>
      </c>
      <c r="R436" s="18"/>
      <c r="S436" s="5" t="n">
        <f>$E436+8</f>
        <v>121</v>
      </c>
      <c r="T436" s="18"/>
      <c r="U436" s="3" t="n">
        <f>$E436+11</f>
        <v>124</v>
      </c>
      <c r="V436" s="18"/>
      <c r="W436" s="5" t="n">
        <f>$E436+15</f>
        <v>128</v>
      </c>
      <c r="X436" s="18"/>
      <c r="Y436" s="3" t="n">
        <f>$E436+17</f>
        <v>130</v>
      </c>
      <c r="Z436" s="18"/>
      <c r="AA436" s="5" t="n">
        <f>$E436+19</f>
        <v>132</v>
      </c>
      <c r="AB436" s="18"/>
      <c r="AC436" s="3" t="n">
        <f>$E436+21</f>
        <v>134</v>
      </c>
      <c r="AD436" s="18"/>
      <c r="AE436" s="5" t="n">
        <f>$E436+24</f>
        <v>137</v>
      </c>
      <c r="AF436" s="18"/>
      <c r="AG436" s="3" t="n">
        <f>$E436+27</f>
        <v>140</v>
      </c>
      <c r="AH436" s="18"/>
    </row>
    <row r="437" ht="28" customHeight="1">
      <c r="A437" s="2" t="n">
        <v>447</v>
      </c>
      <c r="B437" s="16" t="str">
        <v>Park Chu Young</v>
      </c>
      <c r="C437" s="16" t="str">
        <v>MEDALIST</v>
      </c>
      <c r="D437" s="2" t="str">
        <v>ST</v>
      </c>
      <c r="E437" s="2" t="n">
        <v>107</v>
      </c>
      <c r="F437" s="2" t="str">
        <v>Hàn Quốc</v>
      </c>
      <c r="G437" s="2" t="str">
        <v>Hàn Quốc</v>
      </c>
      <c r="H437" s="2" t="n">
        <v>25</v>
      </c>
      <c r="I437" s="3" t="n">
        <f>$E437+0</f>
        <v>107</v>
      </c>
      <c r="J437" s="18"/>
      <c r="K437" s="5" t="n">
        <f>$E437+1</f>
        <v>108</v>
      </c>
      <c r="L437" s="18"/>
      <c r="M437" s="3" t="n">
        <f>$E437+2</f>
        <v>109</v>
      </c>
      <c r="N437" s="18"/>
      <c r="O437" s="5" t="n">
        <f>$E437+4</f>
        <v>111</v>
      </c>
      <c r="P437" s="18"/>
      <c r="Q437" s="3" t="n">
        <f>$E437+6</f>
        <v>113</v>
      </c>
      <c r="R437" s="18"/>
      <c r="S437" s="5" t="n">
        <f>$E437+8</f>
        <v>115</v>
      </c>
      <c r="T437" s="18"/>
      <c r="U437" s="3" t="n">
        <f>$E437+11</f>
        <v>118</v>
      </c>
      <c r="V437" s="18"/>
      <c r="W437" s="5" t="n">
        <f>$E437+15</f>
        <v>122</v>
      </c>
      <c r="X437" s="18"/>
      <c r="Y437" s="3" t="n">
        <f>$E437+17</f>
        <v>124</v>
      </c>
      <c r="Z437" s="18"/>
      <c r="AA437" s="5" t="n">
        <f>$E437+19</f>
        <v>126</v>
      </c>
      <c r="AB437" s="18"/>
      <c r="AC437" s="3" t="n">
        <f>$E437+21</f>
        <v>128</v>
      </c>
      <c r="AD437" s="18"/>
      <c r="AE437" s="5" t="n">
        <f>$E437+24</f>
        <v>131</v>
      </c>
      <c r="AF437" s="18"/>
      <c r="AG437" s="3" t="n">
        <f>$E437+27</f>
        <v>134</v>
      </c>
      <c r="AH437" s="18"/>
    </row>
    <row r="438" ht="28" customHeight="1">
      <c r="A438" s="2" t="n">
        <v>448</v>
      </c>
      <c r="B438" s="16" t="str">
        <v>Riquelme</v>
      </c>
      <c r="C438" s="16" t="str">
        <v>MEDALIST</v>
      </c>
      <c r="D438" s="2" t="str">
        <v>CAM</v>
      </c>
      <c r="E438" s="2" t="n">
        <v>112</v>
      </c>
      <c r="F438" s="2" t="str">
        <v>Argentina</v>
      </c>
      <c r="G438" s="2" t="str">
        <v>Argentina</v>
      </c>
      <c r="H438" s="2" t="n">
        <v>26</v>
      </c>
      <c r="I438" s="3" t="n">
        <f>$E438+0</f>
        <v>112</v>
      </c>
      <c r="J438" s="18"/>
      <c r="K438" s="5" t="n">
        <f>$E438+1</f>
        <v>113</v>
      </c>
      <c r="L438" s="18"/>
      <c r="M438" s="3" t="n">
        <f>$E438+2</f>
        <v>114</v>
      </c>
      <c r="N438" s="18"/>
      <c r="O438" s="5" t="n">
        <f>$E438+4</f>
        <v>116</v>
      </c>
      <c r="P438" s="18"/>
      <c r="Q438" s="3" t="n">
        <f>$E438+6</f>
        <v>118</v>
      </c>
      <c r="R438" s="18"/>
      <c r="S438" s="5" t="n">
        <f>$E438+8</f>
        <v>120</v>
      </c>
      <c r="T438" s="18"/>
      <c r="U438" s="3" t="n">
        <f>$E438+11</f>
        <v>123</v>
      </c>
      <c r="V438" s="18"/>
      <c r="W438" s="5" t="n">
        <f>$E438+15</f>
        <v>127</v>
      </c>
      <c r="X438" s="18"/>
      <c r="Y438" s="3" t="n">
        <f>$E438+17</f>
        <v>129</v>
      </c>
      <c r="Z438" s="18"/>
      <c r="AA438" s="5" t="n">
        <f>$E438+19</f>
        <v>131</v>
      </c>
      <c r="AB438" s="18"/>
      <c r="AC438" s="3" t="n">
        <f>$E438+21</f>
        <v>133</v>
      </c>
      <c r="AD438" s="18"/>
      <c r="AE438" s="5" t="n">
        <f>$E438+24</f>
        <v>136</v>
      </c>
      <c r="AF438" s="18"/>
      <c r="AG438" s="3" t="n">
        <f>$E438+27</f>
        <v>139</v>
      </c>
      <c r="AH438" s="18"/>
    </row>
    <row r="439" ht="28" customHeight="1">
      <c r="A439" s="2" t="n">
        <v>449</v>
      </c>
      <c r="B439" s="16" t="str">
        <v>Oyarzabal</v>
      </c>
      <c r="C439" s="16" t="str">
        <v>MEDALIST</v>
      </c>
      <c r="D439" s="2" t="str">
        <v>CF</v>
      </c>
      <c r="E439" s="2" t="n">
        <v>113</v>
      </c>
      <c r="F439" s="2" t="str">
        <v>Tây Ban Nha</v>
      </c>
      <c r="G439" s="2" t="str">
        <v>Real Sociedad</v>
      </c>
      <c r="H439" s="2" t="n">
        <v>26</v>
      </c>
      <c r="I439" s="3" t="n">
        <f>$E439+0</f>
        <v>113</v>
      </c>
      <c r="J439" s="18"/>
      <c r="K439" s="5" t="n">
        <f>$E439+1</f>
        <v>114</v>
      </c>
      <c r="L439" s="18"/>
      <c r="M439" s="3" t="n">
        <f>$E439+2</f>
        <v>115</v>
      </c>
      <c r="N439" s="18"/>
      <c r="O439" s="5" t="n">
        <f>$E439+4</f>
        <v>117</v>
      </c>
      <c r="P439" s="18"/>
      <c r="Q439" s="3" t="n">
        <f>$E439+6</f>
        <v>119</v>
      </c>
      <c r="R439" s="18"/>
      <c r="S439" s="5" t="n">
        <f>$E439+8</f>
        <v>121</v>
      </c>
      <c r="T439" s="18"/>
      <c r="U439" s="3" t="n">
        <f>$E439+11</f>
        <v>124</v>
      </c>
      <c r="V439" s="18"/>
      <c r="W439" s="5" t="n">
        <f>$E439+15</f>
        <v>128</v>
      </c>
      <c r="X439" s="18"/>
      <c r="Y439" s="3" t="n">
        <f>$E439+17</f>
        <v>130</v>
      </c>
      <c r="Z439" s="18"/>
      <c r="AA439" s="5" t="n">
        <f>$E439+19</f>
        <v>132</v>
      </c>
      <c r="AB439" s="18"/>
      <c r="AC439" s="3" t="n">
        <f>$E439+21</f>
        <v>134</v>
      </c>
      <c r="AD439" s="18"/>
      <c r="AE439" s="5" t="n">
        <f>$E439+24</f>
        <v>137</v>
      </c>
      <c r="AF439" s="18"/>
      <c r="AG439" s="3" t="n">
        <f>$E439+27</f>
        <v>140</v>
      </c>
      <c r="AH439" s="18"/>
    </row>
    <row r="440" ht="28" customHeight="1">
      <c r="A440" s="2" t="n">
        <v>450</v>
      </c>
      <c r="B440" s="16" t="str">
        <v>U. Sadiq</v>
      </c>
      <c r="C440" s="16" t="str">
        <v>MEDALIST</v>
      </c>
      <c r="D440" s="2" t="str">
        <v>ST</v>
      </c>
      <c r="E440" s="2" t="n">
        <v>112</v>
      </c>
      <c r="F440" s="2" t="str">
        <v>Nigeria</v>
      </c>
      <c r="G440" s="2" t="str">
        <v>Real Sociedad</v>
      </c>
      <c r="H440" s="2" t="n">
        <v>26</v>
      </c>
      <c r="I440" s="3" t="n">
        <f>$E440+0</f>
        <v>112</v>
      </c>
      <c r="J440" s="18"/>
      <c r="K440" s="5" t="n">
        <f>$E440+1</f>
        <v>113</v>
      </c>
      <c r="L440" s="18"/>
      <c r="M440" s="3" t="n">
        <f>$E440+2</f>
        <v>114</v>
      </c>
      <c r="N440" s="18"/>
      <c r="O440" s="5" t="n">
        <f>$E440+4</f>
        <v>116</v>
      </c>
      <c r="P440" s="18"/>
      <c r="Q440" s="3" t="n">
        <f>$E440+6</f>
        <v>118</v>
      </c>
      <c r="R440" s="18"/>
      <c r="S440" s="5" t="n">
        <f>$E440+8</f>
        <v>120</v>
      </c>
      <c r="T440" s="18"/>
      <c r="U440" s="3" t="n">
        <f>$E440+11</f>
        <v>123</v>
      </c>
      <c r="V440" s="18"/>
      <c r="W440" s="5" t="n">
        <f>$E440+15</f>
        <v>127</v>
      </c>
      <c r="X440" s="18"/>
      <c r="Y440" s="3" t="n">
        <f>$E440+17</f>
        <v>129</v>
      </c>
      <c r="Z440" s="18"/>
      <c r="AA440" s="5" t="n">
        <f>$E440+19</f>
        <v>131</v>
      </c>
      <c r="AB440" s="18"/>
      <c r="AC440" s="3" t="n">
        <f>$E440+21</f>
        <v>133</v>
      </c>
      <c r="AD440" s="18"/>
      <c r="AE440" s="5" t="n">
        <f>$E440+24</f>
        <v>136</v>
      </c>
      <c r="AF440" s="18"/>
      <c r="AG440" s="3" t="n">
        <f>$E440+27</f>
        <v>139</v>
      </c>
      <c r="AH440" s="18"/>
    </row>
    <row r="441" ht="28" customHeight="1">
      <c r="A441" s="2" t="n">
        <v>451</v>
      </c>
      <c r="B441" s="16" t="str">
        <v>Matheus Cunha</v>
      </c>
      <c r="C441" s="16" t="str">
        <v>MEDALIST</v>
      </c>
      <c r="D441" s="2" t="str">
        <v>CF</v>
      </c>
      <c r="E441" s="2" t="n">
        <v>112</v>
      </c>
      <c r="F441" s="2" t="str">
        <v>Brazil</v>
      </c>
      <c r="G441" s="2" t="str">
        <v>Manchester Đỏ</v>
      </c>
      <c r="H441" s="2" t="n">
        <v>26</v>
      </c>
      <c r="I441" s="3" t="n">
        <f>$E441+0</f>
        <v>112</v>
      </c>
      <c r="J441" s="18"/>
      <c r="K441" s="5" t="n">
        <f>$E441+1</f>
        <v>113</v>
      </c>
      <c r="L441" s="18"/>
      <c r="M441" s="3" t="n">
        <f>$E441+2</f>
        <v>114</v>
      </c>
      <c r="N441" s="18"/>
      <c r="O441" s="5" t="n">
        <f>$E441+4</f>
        <v>116</v>
      </c>
      <c r="P441" s="18"/>
      <c r="Q441" s="3" t="n">
        <f>$E441+6</f>
        <v>118</v>
      </c>
      <c r="R441" s="18"/>
      <c r="S441" s="5" t="n">
        <f>$E441+8</f>
        <v>120</v>
      </c>
      <c r="T441" s="18"/>
      <c r="U441" s="3" t="n">
        <f>$E441+11</f>
        <v>123</v>
      </c>
      <c r="V441" s="18"/>
      <c r="W441" s="5" t="n">
        <f>$E441+15</f>
        <v>127</v>
      </c>
      <c r="X441" s="18"/>
      <c r="Y441" s="3" t="n">
        <f>$E441+17</f>
        <v>129</v>
      </c>
      <c r="Z441" s="18"/>
      <c r="AA441" s="5" t="n">
        <f>$E441+19</f>
        <v>131</v>
      </c>
      <c r="AB441" s="18"/>
      <c r="AC441" s="3" t="n">
        <f>$E441+21</f>
        <v>133</v>
      </c>
      <c r="AD441" s="18"/>
      <c r="AE441" s="5" t="n">
        <f>$E441+24</f>
        <v>136</v>
      </c>
      <c r="AF441" s="18"/>
      <c r="AG441" s="3" t="n">
        <f>$E441+27</f>
        <v>139</v>
      </c>
      <c r="AH441" s="18"/>
    </row>
    <row r="442" ht="28" customHeight="1">
      <c r="A442" s="2" t="n">
        <v>452</v>
      </c>
      <c r="B442" s="16" t="str">
        <v>H. Crespo</v>
      </c>
      <c r="C442" s="16" t="str">
        <v>MEDALIST</v>
      </c>
      <c r="D442" s="2" t="str">
        <v>ST</v>
      </c>
      <c r="E442" s="2" t="n">
        <v>115</v>
      </c>
      <c r="F442" s="2" t="str">
        <v>Argentina</v>
      </c>
      <c r="G442" s="2" t="str">
        <v>Argentina</v>
      </c>
      <c r="H442" s="2" t="n">
        <v>29</v>
      </c>
      <c r="I442" s="3" t="n">
        <f>$E442+0</f>
        <v>115</v>
      </c>
      <c r="J442" s="18"/>
      <c r="K442" s="5" t="n">
        <f>$E442+1</f>
        <v>116</v>
      </c>
      <c r="L442" s="18"/>
      <c r="M442" s="3" t="n">
        <f>$E442+2</f>
        <v>117</v>
      </c>
      <c r="N442" s="18"/>
      <c r="O442" s="5" t="n">
        <f>$E442+4</f>
        <v>119</v>
      </c>
      <c r="P442" s="18"/>
      <c r="Q442" s="3" t="n">
        <f>$E442+6</f>
        <v>121</v>
      </c>
      <c r="R442" s="18"/>
      <c r="S442" s="5" t="n">
        <f>$E442+8</f>
        <v>123</v>
      </c>
      <c r="T442" s="18"/>
      <c r="U442" s="3" t="n">
        <f>$E442+11</f>
        <v>126</v>
      </c>
      <c r="V442" s="18"/>
      <c r="W442" s="5" t="n">
        <f>$E442+15</f>
        <v>130</v>
      </c>
      <c r="X442" s="18"/>
      <c r="Y442" s="3" t="n">
        <f>$E442+17</f>
        <v>132</v>
      </c>
      <c r="Z442" s="18"/>
      <c r="AA442" s="5" t="n">
        <f>$E442+19</f>
        <v>134</v>
      </c>
      <c r="AB442" s="18"/>
      <c r="AC442" s="3" t="n">
        <f>$E442+21</f>
        <v>136</v>
      </c>
      <c r="AD442" s="18"/>
      <c r="AE442" s="5" t="n">
        <f>$E442+24</f>
        <v>139</v>
      </c>
      <c r="AF442" s="18"/>
      <c r="AG442" s="3" t="n">
        <f>$E442+27</f>
        <v>142</v>
      </c>
      <c r="AH442" s="18"/>
    </row>
    <row r="443" ht="28" customHeight="1">
      <c r="A443" s="2" t="n">
        <v>453</v>
      </c>
      <c r="B443" s="16" t="str">
        <v>Richarlison</v>
      </c>
      <c r="C443" s="16" t="str">
        <v>MEDALIST</v>
      </c>
      <c r="D443" s="2" t="str">
        <v>ST</v>
      </c>
      <c r="E443" s="2" t="n">
        <v>112</v>
      </c>
      <c r="F443" s="2" t="str">
        <v>Brazil</v>
      </c>
      <c r="G443" s="2" t="str">
        <v>Tottenham</v>
      </c>
      <c r="H443" s="2" t="n">
        <v>27</v>
      </c>
      <c r="I443" s="3" t="n">
        <f>$E443+0</f>
        <v>112</v>
      </c>
      <c r="J443" s="18"/>
      <c r="K443" s="5" t="n">
        <f>$E443+1</f>
        <v>113</v>
      </c>
      <c r="L443" s="18"/>
      <c r="M443" s="3" t="n">
        <f>$E443+2</f>
        <v>114</v>
      </c>
      <c r="N443" s="18"/>
      <c r="O443" s="5" t="n">
        <f>$E443+4</f>
        <v>116</v>
      </c>
      <c r="P443" s="18"/>
      <c r="Q443" s="3" t="n">
        <f>$E443+6</f>
        <v>118</v>
      </c>
      <c r="R443" s="18"/>
      <c r="S443" s="5" t="n">
        <f>$E443+8</f>
        <v>120</v>
      </c>
      <c r="T443" s="18"/>
      <c r="U443" s="3" t="n">
        <f>$E443+11</f>
        <v>123</v>
      </c>
      <c r="V443" s="18"/>
      <c r="W443" s="5" t="n">
        <f>$E443+15</f>
        <v>127</v>
      </c>
      <c r="X443" s="18"/>
      <c r="Y443" s="3" t="n">
        <f>$E443+17</f>
        <v>129</v>
      </c>
      <c r="Z443" s="18"/>
      <c r="AA443" s="5" t="n">
        <f>$E443+19</f>
        <v>131</v>
      </c>
      <c r="AB443" s="18"/>
      <c r="AC443" s="3" t="n">
        <f>$E443+21</f>
        <v>133</v>
      </c>
      <c r="AD443" s="18"/>
      <c r="AE443" s="5" t="n">
        <f>$E443+24</f>
        <v>136</v>
      </c>
      <c r="AF443" s="18"/>
      <c r="AG443" s="3" t="n">
        <f>$E443+27</f>
        <v>139</v>
      </c>
      <c r="AH443" s="18"/>
    </row>
    <row r="444" ht="28" customHeight="1">
      <c r="A444" s="2" t="n">
        <v>454</v>
      </c>
      <c r="B444" s="16" t="str">
        <v>Ronaldo</v>
      </c>
      <c r="C444" s="16" t="str">
        <v>MEDALIST</v>
      </c>
      <c r="D444" s="2" t="str">
        <v>ST</v>
      </c>
      <c r="E444" s="2" t="n">
        <v>115</v>
      </c>
      <c r="F444" s="2" t="str">
        <v>Brazil</v>
      </c>
      <c r="G444" s="2" t="str">
        <v>Brazil</v>
      </c>
      <c r="H444" s="2" t="n">
        <v>30</v>
      </c>
      <c r="I444" s="3" t="n">
        <f>$E444+0</f>
        <v>115</v>
      </c>
      <c r="J444" s="18"/>
      <c r="K444" s="5" t="n">
        <f>$E444+1</f>
        <v>116</v>
      </c>
      <c r="L444" s="18"/>
      <c r="M444" s="3" t="n">
        <f>$E444+2</f>
        <v>117</v>
      </c>
      <c r="N444" s="18"/>
      <c r="O444" s="5" t="n">
        <f>$E444+4</f>
        <v>119</v>
      </c>
      <c r="P444" s="18"/>
      <c r="Q444" s="3" t="n">
        <f>$E444+6</f>
        <v>121</v>
      </c>
      <c r="R444" s="18"/>
      <c r="S444" s="5" t="n">
        <f>$E444+8</f>
        <v>123</v>
      </c>
      <c r="T444" s="18"/>
      <c r="U444" s="3" t="n">
        <f>$E444+11</f>
        <v>126</v>
      </c>
      <c r="V444" s="18"/>
      <c r="W444" s="5" t="n">
        <f>$E444+15</f>
        <v>130</v>
      </c>
      <c r="X444" s="18"/>
      <c r="Y444" s="3" t="n">
        <f>$E444+17</f>
        <v>132</v>
      </c>
      <c r="Z444" s="18"/>
      <c r="AA444" s="5" t="n">
        <f>$E444+19</f>
        <v>134</v>
      </c>
      <c r="AB444" s="18"/>
      <c r="AC444" s="3" t="n">
        <f>$E444+21</f>
        <v>136</v>
      </c>
      <c r="AD444" s="18"/>
      <c r="AE444" s="5" t="n">
        <f>$E444+24</f>
        <v>139</v>
      </c>
      <c r="AF444" s="18"/>
      <c r="AG444" s="3" t="n">
        <f>$E444+27</f>
        <v>142</v>
      </c>
      <c r="AH444" s="18"/>
    </row>
    <row r="445" ht="28" customHeight="1">
      <c r="A445" s="2" t="n">
        <v>455</v>
      </c>
      <c r="B445" s="16" t="str">
        <v>Rafa Mir</v>
      </c>
      <c r="C445" s="16" t="str">
        <v>MEDALIST</v>
      </c>
      <c r="D445" s="2" t="str">
        <v>ST</v>
      </c>
      <c r="E445" s="2" t="n">
        <v>109</v>
      </c>
      <c r="F445" s="2" t="str">
        <v>Tây Ban Nha</v>
      </c>
      <c r="G445" s="2" t="str">
        <v>Elche</v>
      </c>
      <c r="H445" s="2" t="n">
        <v>25</v>
      </c>
      <c r="I445" s="3" t="n">
        <f>$E445+0</f>
        <v>109</v>
      </c>
      <c r="J445" s="18"/>
      <c r="K445" s="5" t="n">
        <f>$E445+1</f>
        <v>110</v>
      </c>
      <c r="L445" s="18"/>
      <c r="M445" s="3" t="n">
        <f>$E445+2</f>
        <v>111</v>
      </c>
      <c r="N445" s="18"/>
      <c r="O445" s="5" t="n">
        <f>$E445+4</f>
        <v>113</v>
      </c>
      <c r="P445" s="18"/>
      <c r="Q445" s="3" t="n">
        <f>$E445+6</f>
        <v>115</v>
      </c>
      <c r="R445" s="18"/>
      <c r="S445" s="5" t="n">
        <f>$E445+8</f>
        <v>117</v>
      </c>
      <c r="T445" s="18"/>
      <c r="U445" s="3" t="n">
        <f>$E445+11</f>
        <v>120</v>
      </c>
      <c r="V445" s="18"/>
      <c r="W445" s="5" t="n">
        <f>$E445+15</f>
        <v>124</v>
      </c>
      <c r="X445" s="18"/>
      <c r="Y445" s="3" t="n">
        <f>$E445+17</f>
        <v>126</v>
      </c>
      <c r="Z445" s="18"/>
      <c r="AA445" s="5" t="n">
        <f>$E445+19</f>
        <v>128</v>
      </c>
      <c r="AB445" s="18"/>
      <c r="AC445" s="3" t="n">
        <f>$E445+21</f>
        <v>130</v>
      </c>
      <c r="AD445" s="18"/>
      <c r="AE445" s="5" t="n">
        <f>$E445+24</f>
        <v>133</v>
      </c>
      <c r="AF445" s="18"/>
      <c r="AG445" s="3" t="n">
        <f>$E445+27</f>
        <v>136</v>
      </c>
      <c r="AH445" s="18"/>
    </row>
    <row r="446" ht="28" customHeight="1">
      <c r="A446" s="2" t="n">
        <v>456</v>
      </c>
      <c r="B446" s="16" t="str">
        <v>Dani Olmo</v>
      </c>
      <c r="C446" s="16" t="str">
        <v>MEDALIST</v>
      </c>
      <c r="D446" s="2" t="str">
        <v>LW</v>
      </c>
      <c r="E446" s="2" t="n">
        <v>111</v>
      </c>
      <c r="F446" s="2" t="str">
        <v>Tây Ban Nha</v>
      </c>
      <c r="G446" s="2" t="str">
        <v>Barcelona</v>
      </c>
      <c r="H446" s="2" t="n">
        <v>26</v>
      </c>
      <c r="I446" s="3" t="n">
        <f>$E446+0</f>
        <v>111</v>
      </c>
      <c r="J446" s="18"/>
      <c r="K446" s="5" t="n">
        <f>$E446+1</f>
        <v>112</v>
      </c>
      <c r="L446" s="18"/>
      <c r="M446" s="3" t="n">
        <f>$E446+2</f>
        <v>113</v>
      </c>
      <c r="N446" s="18"/>
      <c r="O446" s="5" t="n">
        <f>$E446+4</f>
        <v>115</v>
      </c>
      <c r="P446" s="18"/>
      <c r="Q446" s="3" t="n">
        <f>$E446+6</f>
        <v>117</v>
      </c>
      <c r="R446" s="18"/>
      <c r="S446" s="5" t="n">
        <f>$E446+8</f>
        <v>119</v>
      </c>
      <c r="T446" s="18"/>
      <c r="U446" s="3" t="n">
        <f>$E446+11</f>
        <v>122</v>
      </c>
      <c r="V446" s="18"/>
      <c r="W446" s="5" t="n">
        <f>$E446+15</f>
        <v>126</v>
      </c>
      <c r="X446" s="18"/>
      <c r="Y446" s="3" t="n">
        <f>$E446+17</f>
        <v>128</v>
      </c>
      <c r="Z446" s="18"/>
      <c r="AA446" s="5" t="n">
        <f>$E446+19</f>
        <v>130</v>
      </c>
      <c r="AB446" s="18"/>
      <c r="AC446" s="3" t="n">
        <f>$E446+21</f>
        <v>132</v>
      </c>
      <c r="AD446" s="18"/>
      <c r="AE446" s="5" t="n">
        <f>$E446+24</f>
        <v>135</v>
      </c>
      <c r="AF446" s="18"/>
      <c r="AG446" s="3" t="n">
        <f>$E446+27</f>
        <v>138</v>
      </c>
      <c r="AH446" s="18"/>
    </row>
    <row r="447" ht="28" customHeight="1">
      <c r="A447" s="2" t="n">
        <v>457</v>
      </c>
      <c r="B447" s="16" t="str">
        <v>Walace</v>
      </c>
      <c r="C447" s="16" t="str">
        <v>MEDALIST</v>
      </c>
      <c r="D447" s="2" t="str">
        <v>CDM</v>
      </c>
      <c r="E447" s="2" t="n">
        <v>109</v>
      </c>
      <c r="F447" s="2" t="str">
        <v>Brazil</v>
      </c>
      <c r="G447" s="2" t="str">
        <v>Brazil</v>
      </c>
      <c r="H447" s="2" t="n">
        <v>24</v>
      </c>
      <c r="I447" s="3" t="n">
        <f>$E447+0</f>
        <v>109</v>
      </c>
      <c r="J447" s="18"/>
      <c r="K447" s="5" t="n">
        <f>$E447+1</f>
        <v>110</v>
      </c>
      <c r="L447" s="18"/>
      <c r="M447" s="3" t="n">
        <f>$E447+2</f>
        <v>111</v>
      </c>
      <c r="N447" s="18"/>
      <c r="O447" s="5" t="n">
        <f>$E447+4</f>
        <v>113</v>
      </c>
      <c r="P447" s="18"/>
      <c r="Q447" s="3" t="n">
        <f>$E447+6</f>
        <v>115</v>
      </c>
      <c r="R447" s="18"/>
      <c r="S447" s="5" t="n">
        <f>$E447+8</f>
        <v>117</v>
      </c>
      <c r="T447" s="18"/>
      <c r="U447" s="3" t="n">
        <f>$E447+11</f>
        <v>120</v>
      </c>
      <c r="V447" s="18"/>
      <c r="W447" s="5" t="n">
        <f>$E447+15</f>
        <v>124</v>
      </c>
      <c r="X447" s="18"/>
      <c r="Y447" s="3" t="n">
        <f>$E447+17</f>
        <v>126</v>
      </c>
      <c r="Z447" s="18"/>
      <c r="AA447" s="5" t="n">
        <f>$E447+19</f>
        <v>128</v>
      </c>
      <c r="AB447" s="18"/>
      <c r="AC447" s="3" t="n">
        <f>$E447+21</f>
        <v>130</v>
      </c>
      <c r="AD447" s="18"/>
      <c r="AE447" s="5" t="n">
        <f>$E447+24</f>
        <v>133</v>
      </c>
      <c r="AF447" s="18"/>
      <c r="AG447" s="3" t="n">
        <f>$E447+27</f>
        <v>136</v>
      </c>
      <c r="AH447" s="18"/>
    </row>
    <row r="448" ht="28" customHeight="1">
      <c r="A448" s="2" t="n">
        <v>458</v>
      </c>
      <c r="B448" s="16" t="str">
        <v>Jung Woo Young</v>
      </c>
      <c r="C448" s="16" t="str">
        <v>MEDALIST</v>
      </c>
      <c r="D448" s="2" t="str">
        <v>CDM</v>
      </c>
      <c r="E448" s="2" t="n">
        <v>100</v>
      </c>
      <c r="F448" s="2" t="str">
        <v>Hàn Quốc</v>
      </c>
      <c r="G448" s="2" t="str">
        <v>Ulsan HD</v>
      </c>
      <c r="H448" s="2" t="n">
        <v>19</v>
      </c>
      <c r="I448" s="3" t="n">
        <f>$E448+0</f>
        <v>100</v>
      </c>
      <c r="J448" s="18"/>
      <c r="K448" s="5" t="n">
        <f>$E448+1</f>
        <v>101</v>
      </c>
      <c r="L448" s="18"/>
      <c r="M448" s="3" t="n">
        <f>$E448+2</f>
        <v>102</v>
      </c>
      <c r="N448" s="18"/>
      <c r="O448" s="5" t="n">
        <f>$E448+4</f>
        <v>104</v>
      </c>
      <c r="P448" s="18"/>
      <c r="Q448" s="3" t="n">
        <f>$E448+6</f>
        <v>106</v>
      </c>
      <c r="R448" s="18"/>
      <c r="S448" s="5" t="n">
        <f>$E448+8</f>
        <v>108</v>
      </c>
      <c r="T448" s="18"/>
      <c r="U448" s="3" t="n">
        <f>$E448+11</f>
        <v>111</v>
      </c>
      <c r="V448" s="18"/>
      <c r="W448" s="5" t="n">
        <f>$E448+15</f>
        <v>115</v>
      </c>
      <c r="X448" s="18"/>
      <c r="Y448" s="3" t="n">
        <f>$E448+17</f>
        <v>117</v>
      </c>
      <c r="Z448" s="18"/>
      <c r="AA448" s="5" t="n">
        <f>$E448+19</f>
        <v>119</v>
      </c>
      <c r="AB448" s="18"/>
      <c r="AC448" s="3" t="n">
        <f>$E448+21</f>
        <v>121</v>
      </c>
      <c r="AD448" s="18"/>
      <c r="AE448" s="5" t="n">
        <f>$E448+24</f>
        <v>124</v>
      </c>
      <c r="AF448" s="18"/>
      <c r="AG448" s="3" t="n">
        <f>$E448+27</f>
        <v>127</v>
      </c>
      <c r="AH448" s="18"/>
    </row>
    <row r="449" ht="28" customHeight="1">
      <c r="A449" s="2" t="n">
        <v>459</v>
      </c>
      <c r="B449" s="16" t="str">
        <v>D. Selke</v>
      </c>
      <c r="C449" s="16" t="str">
        <v>MEDALIST</v>
      </c>
      <c r="D449" s="2" t="str">
        <v>ST</v>
      </c>
      <c r="E449" s="2" t="n">
        <v>110</v>
      </c>
      <c r="F449" s="2" t="str">
        <v>Đức</v>
      </c>
      <c r="G449" s="2" t="str">
        <v>Başakşehir</v>
      </c>
      <c r="H449" s="2" t="n">
        <v>26</v>
      </c>
      <c r="I449" s="3" t="n">
        <f>$E449+0</f>
        <v>110</v>
      </c>
      <c r="J449" s="18"/>
      <c r="K449" s="5" t="n">
        <f>$E449+1</f>
        <v>111</v>
      </c>
      <c r="L449" s="18"/>
      <c r="M449" s="3" t="n">
        <f>$E449+2</f>
        <v>112</v>
      </c>
      <c r="N449" s="18"/>
      <c r="O449" s="5" t="n">
        <f>$E449+4</f>
        <v>114</v>
      </c>
      <c r="P449" s="18"/>
      <c r="Q449" s="3" t="n">
        <f>$E449+6</f>
        <v>116</v>
      </c>
      <c r="R449" s="18"/>
      <c r="S449" s="5" t="n">
        <f>$E449+8</f>
        <v>118</v>
      </c>
      <c r="T449" s="18"/>
      <c r="U449" s="3" t="n">
        <f>$E449+11</f>
        <v>121</v>
      </c>
      <c r="V449" s="18"/>
      <c r="W449" s="5" t="n">
        <f>$E449+15</f>
        <v>125</v>
      </c>
      <c r="X449" s="18"/>
      <c r="Y449" s="3" t="n">
        <f>$E449+17</f>
        <v>127</v>
      </c>
      <c r="Z449" s="18"/>
      <c r="AA449" s="5" t="n">
        <f>$E449+19</f>
        <v>129</v>
      </c>
      <c r="AB449" s="18"/>
      <c r="AC449" s="3" t="n">
        <f>$E449+21</f>
        <v>131</v>
      </c>
      <c r="AD449" s="18"/>
      <c r="AE449" s="5" t="n">
        <f>$E449+24</f>
        <v>134</v>
      </c>
      <c r="AF449" s="18"/>
      <c r="AG449" s="3" t="n">
        <f>$E449+27</f>
        <v>137</v>
      </c>
      <c r="AH449" s="18"/>
    </row>
    <row r="450" ht="28" customHeight="1">
      <c r="A450" s="2" t="n">
        <v>460</v>
      </c>
      <c r="B450" s="16" t="str">
        <v>N. Kanu</v>
      </c>
      <c r="C450" s="16" t="str">
        <v>MEDALIST</v>
      </c>
      <c r="D450" s="2" t="str">
        <v>ST</v>
      </c>
      <c r="E450" s="2" t="n">
        <v>112</v>
      </c>
      <c r="F450" s="2" t="str">
        <v>Nigeria</v>
      </c>
      <c r="G450" s="2" t="str">
        <v>Nigeria</v>
      </c>
      <c r="H450" s="2" t="n">
        <v>27</v>
      </c>
      <c r="I450" s="3" t="n">
        <f>$E450+0</f>
        <v>112</v>
      </c>
      <c r="J450" s="18"/>
      <c r="K450" s="5" t="n">
        <f>$E450+1</f>
        <v>113</v>
      </c>
      <c r="L450" s="18"/>
      <c r="M450" s="3" t="n">
        <f>$E450+2</f>
        <v>114</v>
      </c>
      <c r="N450" s="18"/>
      <c r="O450" s="5" t="n">
        <f>$E450+4</f>
        <v>116</v>
      </c>
      <c r="P450" s="18"/>
      <c r="Q450" s="3" t="n">
        <f>$E450+6</f>
        <v>118</v>
      </c>
      <c r="R450" s="18"/>
      <c r="S450" s="5" t="n">
        <f>$E450+8</f>
        <v>120</v>
      </c>
      <c r="T450" s="18"/>
      <c r="U450" s="3" t="n">
        <f>$E450+11</f>
        <v>123</v>
      </c>
      <c r="V450" s="18"/>
      <c r="W450" s="5" t="n">
        <f>$E450+15</f>
        <v>127</v>
      </c>
      <c r="X450" s="18"/>
      <c r="Y450" s="3" t="n">
        <f>$E450+17</f>
        <v>129</v>
      </c>
      <c r="Z450" s="18"/>
      <c r="AA450" s="5" t="n">
        <f>$E450+19</f>
        <v>131</v>
      </c>
      <c r="AB450" s="18"/>
      <c r="AC450" s="3" t="n">
        <f>$E450+21</f>
        <v>133</v>
      </c>
      <c r="AD450" s="18"/>
      <c r="AE450" s="5" t="n">
        <f>$E450+24</f>
        <v>136</v>
      </c>
      <c r="AF450" s="18"/>
      <c r="AG450" s="3" t="n">
        <f>$E450+27</f>
        <v>139</v>
      </c>
      <c r="AH450" s="18"/>
    </row>
    <row r="451" ht="28" customHeight="1">
      <c r="A451" s="2" t="n">
        <v>461</v>
      </c>
      <c r="B451" s="16" t="str">
        <v>Capdevila</v>
      </c>
      <c r="C451" s="16" t="str">
        <v>MEDALIST</v>
      </c>
      <c r="D451" s="2" t="str">
        <v>LB</v>
      </c>
      <c r="E451" s="2" t="n">
        <v>109</v>
      </c>
      <c r="F451" s="2" t="str">
        <v>Tây Ban Nha</v>
      </c>
      <c r="G451" s="2" t="str">
        <v>Tây Ban Nha</v>
      </c>
      <c r="H451" s="2" t="n">
        <v>25</v>
      </c>
      <c r="I451" s="3" t="n">
        <f>$E451+0</f>
        <v>109</v>
      </c>
      <c r="J451" s="18"/>
      <c r="K451" s="5" t="n">
        <f>$E451+1</f>
        <v>110</v>
      </c>
      <c r="L451" s="18"/>
      <c r="M451" s="3" t="n">
        <f>$E451+2</f>
        <v>111</v>
      </c>
      <c r="N451" s="18"/>
      <c r="O451" s="5" t="n">
        <f>$E451+4</f>
        <v>113</v>
      </c>
      <c r="P451" s="18"/>
      <c r="Q451" s="3" t="n">
        <f>$E451+6</f>
        <v>115</v>
      </c>
      <c r="R451" s="18"/>
      <c r="S451" s="5" t="n">
        <f>$E451+8</f>
        <v>117</v>
      </c>
      <c r="T451" s="18"/>
      <c r="U451" s="3" t="n">
        <f>$E451+11</f>
        <v>120</v>
      </c>
      <c r="V451" s="18"/>
      <c r="W451" s="5" t="n">
        <f>$E451+15</f>
        <v>124</v>
      </c>
      <c r="X451" s="18"/>
      <c r="Y451" s="3" t="n">
        <f>$E451+17</f>
        <v>126</v>
      </c>
      <c r="Z451" s="18"/>
      <c r="AA451" s="5" t="n">
        <f>$E451+19</f>
        <v>128</v>
      </c>
      <c r="AB451" s="18"/>
      <c r="AC451" s="3" t="n">
        <f>$E451+21</f>
        <v>130</v>
      </c>
      <c r="AD451" s="18"/>
      <c r="AE451" s="5" t="n">
        <f>$E451+24</f>
        <v>133</v>
      </c>
      <c r="AF451" s="18"/>
      <c r="AG451" s="3" t="n">
        <f>$E451+27</f>
        <v>136</v>
      </c>
      <c r="AH451" s="18"/>
    </row>
    <row r="452" ht="28" customHeight="1">
      <c r="A452" s="2" t="n">
        <v>462</v>
      </c>
      <c r="B452" s="16" t="str">
        <v>L. Klostermann</v>
      </c>
      <c r="C452" s="16" t="str">
        <v>MEDALIST</v>
      </c>
      <c r="D452" s="2" t="str">
        <v>LB</v>
      </c>
      <c r="E452" s="2" t="n">
        <v>110</v>
      </c>
      <c r="F452" s="2" t="str">
        <v>Đức</v>
      </c>
      <c r="G452" s="2" t="str">
        <v>Leipzig</v>
      </c>
      <c r="H452" s="2" t="n">
        <v>25</v>
      </c>
      <c r="I452" s="3" t="n">
        <f>$E452+0</f>
        <v>110</v>
      </c>
      <c r="J452" s="18"/>
      <c r="K452" s="5" t="n">
        <f>$E452+1</f>
        <v>111</v>
      </c>
      <c r="L452" s="18"/>
      <c r="M452" s="3" t="n">
        <f>$E452+2</f>
        <v>112</v>
      </c>
      <c r="N452" s="18"/>
      <c r="O452" s="5" t="n">
        <f>$E452+4</f>
        <v>114</v>
      </c>
      <c r="P452" s="18"/>
      <c r="Q452" s="3" t="n">
        <f>$E452+6</f>
        <v>116</v>
      </c>
      <c r="R452" s="18"/>
      <c r="S452" s="5" t="n">
        <f>$E452+8</f>
        <v>118</v>
      </c>
      <c r="T452" s="18"/>
      <c r="U452" s="3" t="n">
        <f>$E452+11</f>
        <v>121</v>
      </c>
      <c r="V452" s="18"/>
      <c r="W452" s="5" t="n">
        <f>$E452+15</f>
        <v>125</v>
      </c>
      <c r="X452" s="18"/>
      <c r="Y452" s="3" t="n">
        <f>$E452+17</f>
        <v>127</v>
      </c>
      <c r="Z452" s="18"/>
      <c r="AA452" s="5" t="n">
        <f>$E452+19</f>
        <v>129</v>
      </c>
      <c r="AB452" s="18"/>
      <c r="AC452" s="3" t="n">
        <f>$E452+21</f>
        <v>131</v>
      </c>
      <c r="AD452" s="18"/>
      <c r="AE452" s="5" t="n">
        <f>$E452+24</f>
        <v>134</v>
      </c>
      <c r="AF452" s="18"/>
      <c r="AG452" s="3" t="n">
        <f>$E452+27</f>
        <v>137</v>
      </c>
      <c r="AH452" s="18"/>
    </row>
    <row r="453" ht="28" customHeight="1">
      <c r="A453" s="2" t="n">
        <v>463</v>
      </c>
      <c r="B453" s="16" t="str">
        <v>P. Max</v>
      </c>
      <c r="C453" s="16" t="str">
        <v>MEDALIST</v>
      </c>
      <c r="D453" s="2" t="str">
        <v>LB</v>
      </c>
      <c r="E453" s="2" t="n">
        <v>104</v>
      </c>
      <c r="F453" s="2" t="str">
        <v>Đức</v>
      </c>
      <c r="G453" s="2" t="str">
        <v>Panathinaikos</v>
      </c>
      <c r="H453" s="2" t="n">
        <v>21</v>
      </c>
      <c r="I453" s="3" t="n">
        <f>$E453+0</f>
        <v>104</v>
      </c>
      <c r="J453" s="18"/>
      <c r="K453" s="5" t="n">
        <f>$E453+1</f>
        <v>105</v>
      </c>
      <c r="L453" s="18"/>
      <c r="M453" s="3" t="n">
        <f>$E453+2</f>
        <v>106</v>
      </c>
      <c r="N453" s="18"/>
      <c r="O453" s="5" t="n">
        <f>$E453+4</f>
        <v>108</v>
      </c>
      <c r="P453" s="18"/>
      <c r="Q453" s="3" t="n">
        <f>$E453+6</f>
        <v>110</v>
      </c>
      <c r="R453" s="18"/>
      <c r="S453" s="5" t="n">
        <f>$E453+8</f>
        <v>112</v>
      </c>
      <c r="T453" s="18"/>
      <c r="U453" s="3" t="n">
        <f>$E453+11</f>
        <v>115</v>
      </c>
      <c r="V453" s="18"/>
      <c r="W453" s="5" t="n">
        <f>$E453+15</f>
        <v>119</v>
      </c>
      <c r="X453" s="18"/>
      <c r="Y453" s="3" t="n">
        <f>$E453+17</f>
        <v>121</v>
      </c>
      <c r="Z453" s="18"/>
      <c r="AA453" s="5" t="n">
        <f>$E453+19</f>
        <v>123</v>
      </c>
      <c r="AB453" s="18"/>
      <c r="AC453" s="3" t="n">
        <f>$E453+21</f>
        <v>125</v>
      </c>
      <c r="AD453" s="18"/>
      <c r="AE453" s="5" t="n">
        <f>$E453+24</f>
        <v>128</v>
      </c>
      <c r="AF453" s="18"/>
      <c r="AG453" s="3" t="n">
        <f>$E453+27</f>
        <v>131</v>
      </c>
      <c r="AH453" s="18"/>
    </row>
    <row r="454" ht="28" customHeight="1">
      <c r="A454" s="2" t="n">
        <v>464</v>
      </c>
      <c r="B454" s="16" t="str">
        <v>C. Tévez</v>
      </c>
      <c r="C454" s="16" t="str">
        <v>MEDALIST</v>
      </c>
      <c r="D454" s="2" t="str">
        <v>ST</v>
      </c>
      <c r="E454" s="2" t="n">
        <v>115</v>
      </c>
      <c r="F454" s="2" t="str">
        <v>Argentina</v>
      </c>
      <c r="G454" s="2" t="str">
        <v>Argentina</v>
      </c>
      <c r="H454" s="2" t="n">
        <v>29</v>
      </c>
      <c r="I454" s="3" t="n">
        <f>$E454+0</f>
        <v>115</v>
      </c>
      <c r="J454" s="18"/>
      <c r="K454" s="5" t="n">
        <f>$E454+1</f>
        <v>116</v>
      </c>
      <c r="L454" s="18"/>
      <c r="M454" s="3" t="n">
        <f>$E454+2</f>
        <v>117</v>
      </c>
      <c r="N454" s="18"/>
      <c r="O454" s="5" t="n">
        <f>$E454+4</f>
        <v>119</v>
      </c>
      <c r="P454" s="18"/>
      <c r="Q454" s="3" t="n">
        <f>$E454+6</f>
        <v>121</v>
      </c>
      <c r="R454" s="18"/>
      <c r="S454" s="5" t="n">
        <f>$E454+8</f>
        <v>123</v>
      </c>
      <c r="T454" s="18"/>
      <c r="U454" s="3" t="n">
        <f>$E454+11</f>
        <v>126</v>
      </c>
      <c r="V454" s="18"/>
      <c r="W454" s="5" t="n">
        <f>$E454+15</f>
        <v>130</v>
      </c>
      <c r="X454" s="18"/>
      <c r="Y454" s="3" t="n">
        <f>$E454+17</f>
        <v>132</v>
      </c>
      <c r="Z454" s="18"/>
      <c r="AA454" s="5" t="n">
        <f>$E454+19</f>
        <v>134</v>
      </c>
      <c r="AB454" s="18"/>
      <c r="AC454" s="3" t="n">
        <f>$E454+21</f>
        <v>136</v>
      </c>
      <c r="AD454" s="18"/>
      <c r="AE454" s="5" t="n">
        <f>$E454+24</f>
        <v>139</v>
      </c>
      <c r="AF454" s="18"/>
      <c r="AG454" s="3" t="n">
        <f>$E454+27</f>
        <v>142</v>
      </c>
      <c r="AH454" s="18"/>
    </row>
    <row r="455" ht="28" customHeight="1">
      <c r="A455" s="2" t="n">
        <v>465</v>
      </c>
      <c r="B455" s="16" t="str">
        <v>Neymar Jr</v>
      </c>
      <c r="C455" s="16" t="str">
        <v>MEDALIST</v>
      </c>
      <c r="D455" s="2" t="str">
        <v>LW</v>
      </c>
      <c r="E455" s="2" t="n">
        <v>114</v>
      </c>
      <c r="F455" s="2" t="str">
        <v>Brazil</v>
      </c>
      <c r="G455" s="2" t="str">
        <v>Tự do</v>
      </c>
      <c r="H455" s="2" t="n">
        <v>28</v>
      </c>
      <c r="I455" s="3" t="n">
        <f>$E455+0</f>
        <v>114</v>
      </c>
      <c r="J455" s="18"/>
      <c r="K455" s="5" t="n">
        <f>$E455+1</f>
        <v>115</v>
      </c>
      <c r="L455" s="18"/>
      <c r="M455" s="3" t="n">
        <f>$E455+2</f>
        <v>116</v>
      </c>
      <c r="N455" s="18"/>
      <c r="O455" s="5" t="n">
        <f>$E455+4</f>
        <v>118</v>
      </c>
      <c r="P455" s="18"/>
      <c r="Q455" s="3" t="n">
        <f>$E455+6</f>
        <v>120</v>
      </c>
      <c r="R455" s="18"/>
      <c r="S455" s="5" t="n">
        <f>$E455+8</f>
        <v>122</v>
      </c>
      <c r="T455" s="18"/>
      <c r="U455" s="3" t="n">
        <f>$E455+11</f>
        <v>125</v>
      </c>
      <c r="V455" s="18"/>
      <c r="W455" s="5" t="n">
        <f>$E455+15</f>
        <v>129</v>
      </c>
      <c r="X455" s="18"/>
      <c r="Y455" s="3" t="n">
        <f>$E455+17</f>
        <v>131</v>
      </c>
      <c r="Z455" s="18"/>
      <c r="AA455" s="5" t="n">
        <f>$E455+19</f>
        <v>133</v>
      </c>
      <c r="AB455" s="18"/>
      <c r="AC455" s="3" t="n">
        <f>$E455+21</f>
        <v>135</v>
      </c>
      <c r="AD455" s="18"/>
      <c r="AE455" s="5" t="n">
        <f>$E455+24</f>
        <v>138</v>
      </c>
      <c r="AF455" s="18"/>
      <c r="AG455" s="3" t="n">
        <f>$E455+27</f>
        <v>141</v>
      </c>
      <c r="AH455" s="18"/>
    </row>
    <row r="456" ht="28" customHeight="1">
      <c r="A456" s="2" t="n">
        <v>466</v>
      </c>
      <c r="B456" s="16" t="str">
        <v>Gabriel Jesus</v>
      </c>
      <c r="C456" s="16" t="str">
        <v>MEDALIST</v>
      </c>
      <c r="D456" s="2" t="str">
        <v>ST</v>
      </c>
      <c r="E456" s="2" t="n">
        <v>111</v>
      </c>
      <c r="F456" s="2" t="str">
        <v>Brazil</v>
      </c>
      <c r="G456" s="2" t="str">
        <v>Arsenal</v>
      </c>
      <c r="H456" s="2" t="n">
        <v>26</v>
      </c>
      <c r="I456" s="3" t="n">
        <f>$E456+0</f>
        <v>111</v>
      </c>
      <c r="J456" s="18"/>
      <c r="K456" s="5" t="n">
        <f>$E456+1</f>
        <v>112</v>
      </c>
      <c r="L456" s="18"/>
      <c r="M456" s="3" t="n">
        <f>$E456+2</f>
        <v>113</v>
      </c>
      <c r="N456" s="18"/>
      <c r="O456" s="5" t="n">
        <f>$E456+4</f>
        <v>115</v>
      </c>
      <c r="P456" s="18"/>
      <c r="Q456" s="3" t="n">
        <f>$E456+6</f>
        <v>117</v>
      </c>
      <c r="R456" s="18"/>
      <c r="S456" s="5" t="n">
        <f>$E456+8</f>
        <v>119</v>
      </c>
      <c r="T456" s="18"/>
      <c r="U456" s="3" t="n">
        <f>$E456+11</f>
        <v>122</v>
      </c>
      <c r="V456" s="18"/>
      <c r="W456" s="5" t="n">
        <f>$E456+15</f>
        <v>126</v>
      </c>
      <c r="X456" s="18"/>
      <c r="Y456" s="3" t="n">
        <f>$E456+17</f>
        <v>128</v>
      </c>
      <c r="Z456" s="18"/>
      <c r="AA456" s="5" t="n">
        <f>$E456+19</f>
        <v>130</v>
      </c>
      <c r="AB456" s="18"/>
      <c r="AC456" s="3" t="n">
        <f>$E456+21</f>
        <v>132</v>
      </c>
      <c r="AD456" s="18"/>
      <c r="AE456" s="5" t="n">
        <f>$E456+24</f>
        <v>135</v>
      </c>
      <c r="AF456" s="18"/>
      <c r="AG456" s="3" t="n">
        <f>$E456+27</f>
        <v>138</v>
      </c>
      <c r="AH456" s="18"/>
    </row>
    <row r="457" ht="28" customHeight="1">
      <c r="A457" s="2" t="n">
        <v>467</v>
      </c>
      <c r="B457" s="16" t="str">
        <v>C. Puyol</v>
      </c>
      <c r="C457" s="16" t="str">
        <v>MEDALIST</v>
      </c>
      <c r="D457" s="2" t="str">
        <v>CB</v>
      </c>
      <c r="E457" s="2" t="n">
        <v>111</v>
      </c>
      <c r="F457" s="2" t="str">
        <v>Tây Ban Nha</v>
      </c>
      <c r="G457" s="2" t="str">
        <v>Tây Ban Nha</v>
      </c>
      <c r="H457" s="2" t="n">
        <v>26</v>
      </c>
      <c r="I457" s="3" t="n">
        <f>$E457+0</f>
        <v>111</v>
      </c>
      <c r="J457" s="18"/>
      <c r="K457" s="5" t="n">
        <f>$E457+1</f>
        <v>112</v>
      </c>
      <c r="L457" s="18"/>
      <c r="M457" s="3" t="n">
        <f>$E457+2</f>
        <v>113</v>
      </c>
      <c r="N457" s="18"/>
      <c r="O457" s="5" t="n">
        <f>$E457+4</f>
        <v>115</v>
      </c>
      <c r="P457" s="18"/>
      <c r="Q457" s="3" t="n">
        <f>$E457+6</f>
        <v>117</v>
      </c>
      <c r="R457" s="18"/>
      <c r="S457" s="5" t="n">
        <f>$E457+8</f>
        <v>119</v>
      </c>
      <c r="T457" s="18"/>
      <c r="U457" s="3" t="n">
        <f>$E457+11</f>
        <v>122</v>
      </c>
      <c r="V457" s="18"/>
      <c r="W457" s="5" t="n">
        <f>$E457+15</f>
        <v>126</v>
      </c>
      <c r="X457" s="18"/>
      <c r="Y457" s="3" t="n">
        <f>$E457+17</f>
        <v>128</v>
      </c>
      <c r="Z457" s="18"/>
      <c r="AA457" s="5" t="n">
        <f>$E457+19</f>
        <v>130</v>
      </c>
      <c r="AB457" s="18"/>
      <c r="AC457" s="3" t="n">
        <f>$E457+21</f>
        <v>132</v>
      </c>
      <c r="AD457" s="18"/>
      <c r="AE457" s="5" t="n">
        <f>$E457+24</f>
        <v>135</v>
      </c>
      <c r="AF457" s="18"/>
      <c r="AG457" s="3" t="n">
        <f>$E457+27</f>
        <v>138</v>
      </c>
      <c r="AH457" s="18"/>
    </row>
    <row r="458" ht="28" customHeight="1">
      <c r="A458" s="2" t="n">
        <v>468</v>
      </c>
      <c r="B458" s="16" t="str">
        <v>Juan Miranda</v>
      </c>
      <c r="C458" s="16" t="str">
        <v>MEDALIST</v>
      </c>
      <c r="D458" s="2" t="str">
        <v>LB</v>
      </c>
      <c r="E458" s="2" t="n">
        <v>107</v>
      </c>
      <c r="F458" s="2" t="str">
        <v>Tây Ban Nha</v>
      </c>
      <c r="G458" s="2" t="str">
        <v>Bologna</v>
      </c>
      <c r="H458" s="2" t="n">
        <v>24</v>
      </c>
      <c r="I458" s="3" t="n">
        <f>$E458+0</f>
        <v>107</v>
      </c>
      <c r="J458" s="18"/>
      <c r="K458" s="5" t="n">
        <f>$E458+1</f>
        <v>108</v>
      </c>
      <c r="L458" s="18"/>
      <c r="M458" s="3" t="n">
        <f>$E458+2</f>
        <v>109</v>
      </c>
      <c r="N458" s="18"/>
      <c r="O458" s="5" t="n">
        <f>$E458+4</f>
        <v>111</v>
      </c>
      <c r="P458" s="18"/>
      <c r="Q458" s="3" t="n">
        <f>$E458+6</f>
        <v>113</v>
      </c>
      <c r="R458" s="18"/>
      <c r="S458" s="5" t="n">
        <f>$E458+8</f>
        <v>115</v>
      </c>
      <c r="T458" s="18"/>
      <c r="U458" s="3" t="n">
        <f>$E458+11</f>
        <v>118</v>
      </c>
      <c r="V458" s="18"/>
      <c r="W458" s="5" t="n">
        <f>$E458+15</f>
        <v>122</v>
      </c>
      <c r="X458" s="18"/>
      <c r="Y458" s="3" t="n">
        <f>$E458+17</f>
        <v>124</v>
      </c>
      <c r="Z458" s="18"/>
      <c r="AA458" s="5" t="n">
        <f>$E458+19</f>
        <v>126</v>
      </c>
      <c r="AB458" s="18"/>
      <c r="AC458" s="3" t="n">
        <f>$E458+21</f>
        <v>128</v>
      </c>
      <c r="AD458" s="18"/>
      <c r="AE458" s="5" t="n">
        <f>$E458+24</f>
        <v>131</v>
      </c>
      <c r="AF458" s="18"/>
      <c r="AG458" s="3" t="n">
        <f>$E458+27</f>
        <v>134</v>
      </c>
      <c r="AH458" s="18"/>
    </row>
    <row r="459" ht="28" customHeight="1">
      <c r="A459" s="2" t="n">
        <v>469</v>
      </c>
      <c r="B459" s="16" t="str">
        <v>Roberto Carlos</v>
      </c>
      <c r="C459" s="16" t="str">
        <v>MEDALIST</v>
      </c>
      <c r="D459" s="2" t="str">
        <v>LB</v>
      </c>
      <c r="E459" s="2" t="n">
        <v>111</v>
      </c>
      <c r="F459" s="2" t="str">
        <v>Brazil</v>
      </c>
      <c r="G459" s="2" t="str">
        <v>Brazil</v>
      </c>
      <c r="H459" s="2" t="n">
        <v>26</v>
      </c>
      <c r="I459" s="3" t="n">
        <f>$E459+0</f>
        <v>111</v>
      </c>
      <c r="J459" s="18"/>
      <c r="K459" s="5" t="n">
        <f>$E459+1</f>
        <v>112</v>
      </c>
      <c r="L459" s="18"/>
      <c r="M459" s="3" t="n">
        <f>$E459+2</f>
        <v>113</v>
      </c>
      <c r="N459" s="18"/>
      <c r="O459" s="5" t="n">
        <f>$E459+4</f>
        <v>115</v>
      </c>
      <c r="P459" s="18"/>
      <c r="Q459" s="3" t="n">
        <f>$E459+6</f>
        <v>117</v>
      </c>
      <c r="R459" s="18"/>
      <c r="S459" s="5" t="n">
        <f>$E459+8</f>
        <v>119</v>
      </c>
      <c r="T459" s="18"/>
      <c r="U459" s="3" t="n">
        <f>$E459+11</f>
        <v>122</v>
      </c>
      <c r="V459" s="18"/>
      <c r="W459" s="5" t="n">
        <f>$E459+15</f>
        <v>126</v>
      </c>
      <c r="X459" s="18"/>
      <c r="Y459" s="3" t="n">
        <f>$E459+17</f>
        <v>128</v>
      </c>
      <c r="Z459" s="18"/>
      <c r="AA459" s="5" t="n">
        <f>$E459+19</f>
        <v>130</v>
      </c>
      <c r="AB459" s="18"/>
      <c r="AC459" s="3" t="n">
        <f>$E459+21</f>
        <v>132</v>
      </c>
      <c r="AD459" s="18"/>
      <c r="AE459" s="5" t="n">
        <f>$E459+24</f>
        <v>135</v>
      </c>
      <c r="AF459" s="18"/>
      <c r="AG459" s="3" t="n">
        <f>$E459+27</f>
        <v>138</v>
      </c>
      <c r="AH459" s="18"/>
    </row>
    <row r="460" ht="28" customHeight="1">
      <c r="A460" s="2" t="n">
        <v>470</v>
      </c>
      <c r="B460" s="16" t="str">
        <v>C. Montes</v>
      </c>
      <c r="C460" s="16" t="str">
        <v>MEDALIST</v>
      </c>
      <c r="D460" s="2" t="str">
        <v>CB</v>
      </c>
      <c r="E460" s="2" t="n">
        <v>108</v>
      </c>
      <c r="F460" s="2" t="str">
        <v>Mexico</v>
      </c>
      <c r="G460" s="2" t="str">
        <v>Tự do</v>
      </c>
      <c r="H460" s="2" t="n">
        <v>24</v>
      </c>
      <c r="I460" s="3" t="n">
        <f>$E460+0</f>
        <v>108</v>
      </c>
      <c r="J460" s="18"/>
      <c r="K460" s="5" t="n">
        <f>$E460+1</f>
        <v>109</v>
      </c>
      <c r="L460" s="18"/>
      <c r="M460" s="3" t="n">
        <f>$E460+2</f>
        <v>110</v>
      </c>
      <c r="N460" s="18"/>
      <c r="O460" s="5" t="n">
        <f>$E460+4</f>
        <v>112</v>
      </c>
      <c r="P460" s="18"/>
      <c r="Q460" s="3" t="n">
        <f>$E460+6</f>
        <v>114</v>
      </c>
      <c r="R460" s="18"/>
      <c r="S460" s="5" t="n">
        <f>$E460+8</f>
        <v>116</v>
      </c>
      <c r="T460" s="18"/>
      <c r="U460" s="3" t="n">
        <f>$E460+11</f>
        <v>119</v>
      </c>
      <c r="V460" s="18"/>
      <c r="W460" s="5" t="n">
        <f>$E460+15</f>
        <v>123</v>
      </c>
      <c r="X460" s="18"/>
      <c r="Y460" s="3" t="n">
        <f>$E460+17</f>
        <v>125</v>
      </c>
      <c r="Z460" s="18"/>
      <c r="AA460" s="5" t="n">
        <f>$E460+19</f>
        <v>127</v>
      </c>
      <c r="AB460" s="18"/>
      <c r="AC460" s="3" t="n">
        <f>$E460+21</f>
        <v>129</v>
      </c>
      <c r="AD460" s="18"/>
      <c r="AE460" s="5" t="n">
        <f>$E460+24</f>
        <v>132</v>
      </c>
      <c r="AF460" s="18"/>
      <c r="AG460" s="3" t="n">
        <f>$E460+27</f>
        <v>135</v>
      </c>
      <c r="AH460" s="18"/>
    </row>
    <row r="461" ht="28" customHeight="1">
      <c r="A461" s="2" t="n">
        <v>471</v>
      </c>
      <c r="B461" s="16" t="str">
        <v>Thiago Silva</v>
      </c>
      <c r="C461" s="16" t="str">
        <v>MEDALIST</v>
      </c>
      <c r="D461" s="2" t="str">
        <v>CB</v>
      </c>
      <c r="E461" s="2" t="n">
        <v>111</v>
      </c>
      <c r="F461" s="2" t="str">
        <v>Brazil</v>
      </c>
      <c r="G461" s="2" t="str">
        <v>Porto</v>
      </c>
      <c r="H461" s="2" t="n">
        <v>25</v>
      </c>
      <c r="I461" s="3" t="n">
        <f>$E461+0</f>
        <v>111</v>
      </c>
      <c r="J461" s="18"/>
      <c r="K461" s="5" t="n">
        <f>$E461+1</f>
        <v>112</v>
      </c>
      <c r="L461" s="18"/>
      <c r="M461" s="3" t="n">
        <f>$E461+2</f>
        <v>113</v>
      </c>
      <c r="N461" s="18"/>
      <c r="O461" s="5" t="n">
        <f>$E461+4</f>
        <v>115</v>
      </c>
      <c r="P461" s="18"/>
      <c r="Q461" s="3" t="n">
        <f>$E461+6</f>
        <v>117</v>
      </c>
      <c r="R461" s="18"/>
      <c r="S461" s="5" t="n">
        <f>$E461+8</f>
        <v>119</v>
      </c>
      <c r="T461" s="18"/>
      <c r="U461" s="3" t="n">
        <f>$E461+11</f>
        <v>122</v>
      </c>
      <c r="V461" s="18"/>
      <c r="W461" s="5" t="n">
        <f>$E461+15</f>
        <v>126</v>
      </c>
      <c r="X461" s="18"/>
      <c r="Y461" s="3" t="n">
        <f>$E461+17</f>
        <v>128</v>
      </c>
      <c r="Z461" s="18"/>
      <c r="AA461" s="5" t="n">
        <f>$E461+19</f>
        <v>130</v>
      </c>
      <c r="AB461" s="18"/>
      <c r="AC461" s="3" t="n">
        <f>$E461+21</f>
        <v>132</v>
      </c>
      <c r="AD461" s="18"/>
      <c r="AE461" s="5" t="n">
        <f>$E461+24</f>
        <v>135</v>
      </c>
      <c r="AF461" s="18"/>
      <c r="AG461" s="3" t="n">
        <f>$E461+27</f>
        <v>138</v>
      </c>
      <c r="AH461" s="18"/>
    </row>
    <row r="462" ht="28" customHeight="1">
      <c r="A462" s="2" t="n">
        <v>472</v>
      </c>
      <c r="B462" s="16" t="str">
        <v>M. Ginter</v>
      </c>
      <c r="C462" s="16" t="str">
        <v>MEDALIST</v>
      </c>
      <c r="D462" s="2" t="str">
        <v>CB</v>
      </c>
      <c r="E462" s="2" t="n">
        <v>110</v>
      </c>
      <c r="F462" s="2" t="str">
        <v>Đức</v>
      </c>
      <c r="G462" s="2" t="str">
        <v>Freiburg</v>
      </c>
      <c r="H462" s="2" t="n">
        <v>25</v>
      </c>
      <c r="I462" s="3" t="n">
        <f>$E462+0</f>
        <v>110</v>
      </c>
      <c r="J462" s="18"/>
      <c r="K462" s="5" t="n">
        <f>$E462+1</f>
        <v>111</v>
      </c>
      <c r="L462" s="18"/>
      <c r="M462" s="3" t="n">
        <f>$E462+2</f>
        <v>112</v>
      </c>
      <c r="N462" s="18"/>
      <c r="O462" s="5" t="n">
        <f>$E462+4</f>
        <v>114</v>
      </c>
      <c r="P462" s="18"/>
      <c r="Q462" s="3" t="n">
        <f>$E462+6</f>
        <v>116</v>
      </c>
      <c r="R462" s="18"/>
      <c r="S462" s="5" t="n">
        <f>$E462+8</f>
        <v>118</v>
      </c>
      <c r="T462" s="18"/>
      <c r="U462" s="3" t="n">
        <f>$E462+11</f>
        <v>121</v>
      </c>
      <c r="V462" s="18"/>
      <c r="W462" s="5" t="n">
        <f>$E462+15</f>
        <v>125</v>
      </c>
      <c r="X462" s="18"/>
      <c r="Y462" s="3" t="n">
        <f>$E462+17</f>
        <v>127</v>
      </c>
      <c r="Z462" s="18"/>
      <c r="AA462" s="5" t="n">
        <f>$E462+19</f>
        <v>129</v>
      </c>
      <c r="AB462" s="18"/>
      <c r="AC462" s="3" t="n">
        <f>$E462+21</f>
        <v>131</v>
      </c>
      <c r="AD462" s="18"/>
      <c r="AE462" s="5" t="n">
        <f>$E462+24</f>
        <v>134</v>
      </c>
      <c r="AF462" s="18"/>
      <c r="AG462" s="3" t="n">
        <f>$E462+27</f>
        <v>137</v>
      </c>
      <c r="AH462" s="18"/>
    </row>
    <row r="463" ht="28" customHeight="1">
      <c r="A463" s="2" t="n">
        <v>473</v>
      </c>
      <c r="B463" s="16" t="str">
        <v>J. Zanetti</v>
      </c>
      <c r="C463" s="16" t="str">
        <v>MEDALIST</v>
      </c>
      <c r="D463" s="2" t="str">
        <v>RB</v>
      </c>
      <c r="E463" s="2" t="n">
        <v>112</v>
      </c>
      <c r="F463" s="2" t="str">
        <v>Argentina</v>
      </c>
      <c r="G463" s="2" t="str">
        <v>Argentina</v>
      </c>
      <c r="H463" s="2" t="n">
        <v>26</v>
      </c>
      <c r="I463" s="3" t="n">
        <f>$E463+0</f>
        <v>112</v>
      </c>
      <c r="J463" s="18"/>
      <c r="K463" s="5" t="n">
        <f>$E463+1</f>
        <v>113</v>
      </c>
      <c r="L463" s="18"/>
      <c r="M463" s="3" t="n">
        <f>$E463+2</f>
        <v>114</v>
      </c>
      <c r="N463" s="18"/>
      <c r="O463" s="5" t="n">
        <f>$E463+4</f>
        <v>116</v>
      </c>
      <c r="P463" s="18"/>
      <c r="Q463" s="3" t="n">
        <f>$E463+6</f>
        <v>118</v>
      </c>
      <c r="R463" s="18"/>
      <c r="S463" s="5" t="n">
        <f>$E463+8</f>
        <v>120</v>
      </c>
      <c r="T463" s="18"/>
      <c r="U463" s="3" t="n">
        <f>$E463+11</f>
        <v>123</v>
      </c>
      <c r="V463" s="18"/>
      <c r="W463" s="5" t="n">
        <f>$E463+15</f>
        <v>127</v>
      </c>
      <c r="X463" s="18"/>
      <c r="Y463" s="3" t="n">
        <f>$E463+17</f>
        <v>129</v>
      </c>
      <c r="Z463" s="18"/>
      <c r="AA463" s="5" t="n">
        <f>$E463+19</f>
        <v>131</v>
      </c>
      <c r="AB463" s="18"/>
      <c r="AC463" s="3" t="n">
        <f>$E463+21</f>
        <v>133</v>
      </c>
      <c r="AD463" s="18"/>
      <c r="AE463" s="5" t="n">
        <f>$E463+24</f>
        <v>136</v>
      </c>
      <c r="AF463" s="18"/>
      <c r="AG463" s="3" t="n">
        <f>$E463+27</f>
        <v>139</v>
      </c>
      <c r="AH463" s="18"/>
    </row>
    <row r="464" ht="28" customHeight="1">
      <c r="A464" s="2" t="n">
        <v>474</v>
      </c>
      <c r="B464" s="16" t="str">
        <v>R. Bauer</v>
      </c>
      <c r="C464" s="16" t="str">
        <v>MEDALIST</v>
      </c>
      <c r="D464" s="2" t="str">
        <v>RB</v>
      </c>
      <c r="E464" s="2" t="n">
        <v>102</v>
      </c>
      <c r="F464" s="2" t="str">
        <v>Đức</v>
      </c>
      <c r="G464" s="2" t="str">
        <v>Đức</v>
      </c>
      <c r="H464" s="2" t="n">
        <v>21</v>
      </c>
      <c r="I464" s="3" t="n">
        <f>$E464+0</f>
        <v>102</v>
      </c>
      <c r="J464" s="18"/>
      <c r="K464" s="5" t="n">
        <f>$E464+1</f>
        <v>103</v>
      </c>
      <c r="L464" s="18"/>
      <c r="M464" s="3" t="n">
        <f>$E464+2</f>
        <v>104</v>
      </c>
      <c r="N464" s="18"/>
      <c r="O464" s="5" t="n">
        <f>$E464+4</f>
        <v>106</v>
      </c>
      <c r="P464" s="18"/>
      <c r="Q464" s="3" t="n">
        <f>$E464+6</f>
        <v>108</v>
      </c>
      <c r="R464" s="18"/>
      <c r="S464" s="5" t="n">
        <f>$E464+8</f>
        <v>110</v>
      </c>
      <c r="T464" s="18"/>
      <c r="U464" s="3" t="n">
        <f>$E464+11</f>
        <v>113</v>
      </c>
      <c r="V464" s="18"/>
      <c r="W464" s="5" t="n">
        <f>$E464+15</f>
        <v>117</v>
      </c>
      <c r="X464" s="18"/>
      <c r="Y464" s="3" t="n">
        <f>$E464+17</f>
        <v>119</v>
      </c>
      <c r="Z464" s="18"/>
      <c r="AA464" s="5" t="n">
        <f>$E464+19</f>
        <v>121</v>
      </c>
      <c r="AB464" s="18"/>
      <c r="AC464" s="3" t="n">
        <f>$E464+21</f>
        <v>123</v>
      </c>
      <c r="AD464" s="18"/>
      <c r="AE464" s="5" t="n">
        <f>$E464+24</f>
        <v>126</v>
      </c>
      <c r="AF464" s="18"/>
      <c r="AG464" s="3" t="n">
        <f>$E464+27</f>
        <v>129</v>
      </c>
      <c r="AH464" s="18"/>
    </row>
    <row r="465" ht="28" customHeight="1">
      <c r="A465" s="2" t="n">
        <v>475</v>
      </c>
      <c r="B465" s="16" t="str">
        <v>Diego Carlos</v>
      </c>
      <c r="C465" s="16" t="str">
        <v>MEDALIST</v>
      </c>
      <c r="D465" s="2" t="str">
        <v>CB</v>
      </c>
      <c r="E465" s="2" t="n">
        <v>110</v>
      </c>
      <c r="F465" s="2" t="str">
        <v>Brazil</v>
      </c>
      <c r="G465" s="2" t="str">
        <v>Como</v>
      </c>
      <c r="H465" s="2" t="n">
        <v>25</v>
      </c>
      <c r="I465" s="3" t="n">
        <f>$E465+0</f>
        <v>110</v>
      </c>
      <c r="J465" s="18"/>
      <c r="K465" s="5" t="n">
        <f>$E465+1</f>
        <v>111</v>
      </c>
      <c r="L465" s="18"/>
      <c r="M465" s="3" t="n">
        <f>$E465+2</f>
        <v>112</v>
      </c>
      <c r="N465" s="18"/>
      <c r="O465" s="5" t="n">
        <f>$E465+4</f>
        <v>114</v>
      </c>
      <c r="P465" s="18"/>
      <c r="Q465" s="3" t="n">
        <f>$E465+6</f>
        <v>116</v>
      </c>
      <c r="R465" s="18"/>
      <c r="S465" s="5" t="n">
        <f>$E465+8</f>
        <v>118</v>
      </c>
      <c r="T465" s="18"/>
      <c r="U465" s="3" t="n">
        <f>$E465+11</f>
        <v>121</v>
      </c>
      <c r="V465" s="18"/>
      <c r="W465" s="5" t="n">
        <f>$E465+15</f>
        <v>125</v>
      </c>
      <c r="X465" s="18"/>
      <c r="Y465" s="3" t="n">
        <f>$E465+17</f>
        <v>127</v>
      </c>
      <c r="Z465" s="18"/>
      <c r="AA465" s="5" t="n">
        <f>$E465+19</f>
        <v>129</v>
      </c>
      <c r="AB465" s="18"/>
      <c r="AC465" s="3" t="n">
        <f>$E465+21</f>
        <v>131</v>
      </c>
      <c r="AD465" s="18"/>
      <c r="AE465" s="5" t="n">
        <f>$E465+24</f>
        <v>134</v>
      </c>
      <c r="AF465" s="18"/>
      <c r="AG465" s="3" t="n">
        <f>$E465+27</f>
        <v>137</v>
      </c>
      <c r="AH465" s="18"/>
    </row>
    <row r="466" ht="28" customHeight="1">
      <c r="A466" s="2" t="n">
        <v>476</v>
      </c>
      <c r="B466" s="16" t="str">
        <v>Eric García</v>
      </c>
      <c r="C466" s="16" t="str">
        <v>MEDALIST</v>
      </c>
      <c r="D466" s="2" t="str">
        <v>CB</v>
      </c>
      <c r="E466" s="2" t="n">
        <v>110</v>
      </c>
      <c r="F466" s="2" t="str">
        <v>Tây Ban Nha</v>
      </c>
      <c r="G466" s="2" t="str">
        <v>Barcelona</v>
      </c>
      <c r="H466" s="2" t="n">
        <v>25</v>
      </c>
      <c r="I466" s="3" t="n">
        <f>$E466+0</f>
        <v>110</v>
      </c>
      <c r="J466" s="18"/>
      <c r="K466" s="5" t="n">
        <f>$E466+1</f>
        <v>111</v>
      </c>
      <c r="L466" s="18"/>
      <c r="M466" s="3" t="n">
        <f>$E466+2</f>
        <v>112</v>
      </c>
      <c r="N466" s="18"/>
      <c r="O466" s="5" t="n">
        <f>$E466+4</f>
        <v>114</v>
      </c>
      <c r="P466" s="18"/>
      <c r="Q466" s="3" t="n">
        <f>$E466+6</f>
        <v>116</v>
      </c>
      <c r="R466" s="18"/>
      <c r="S466" s="5" t="n">
        <f>$E466+8</f>
        <v>118</v>
      </c>
      <c r="T466" s="18"/>
      <c r="U466" s="3" t="n">
        <f>$E466+11</f>
        <v>121</v>
      </c>
      <c r="V466" s="18"/>
      <c r="W466" s="5" t="n">
        <f>$E466+15</f>
        <v>125</v>
      </c>
      <c r="X466" s="18"/>
      <c r="Y466" s="3" t="n">
        <f>$E466+17</f>
        <v>127</v>
      </c>
      <c r="Z466" s="18"/>
      <c r="AA466" s="5" t="n">
        <f>$E466+19</f>
        <v>129</v>
      </c>
      <c r="AB466" s="18"/>
      <c r="AC466" s="3" t="n">
        <f>$E466+21</f>
        <v>131</v>
      </c>
      <c r="AD466" s="18"/>
      <c r="AE466" s="5" t="n">
        <f>$E466+24</f>
        <v>134</v>
      </c>
      <c r="AF466" s="18"/>
      <c r="AG466" s="3" t="n">
        <f>$E466+27</f>
        <v>137</v>
      </c>
      <c r="AH466" s="18"/>
    </row>
    <row r="467" ht="28" customHeight="1">
      <c r="A467" s="2" t="n">
        <v>477</v>
      </c>
      <c r="B467" s="16" t="str">
        <v>Vallejo</v>
      </c>
      <c r="C467" s="16" t="str">
        <v>MEDALIST</v>
      </c>
      <c r="D467" s="2" t="str">
        <v>CB</v>
      </c>
      <c r="E467" s="2" t="n">
        <v>107</v>
      </c>
      <c r="F467" s="2" t="str">
        <v>Tây Ban Nha</v>
      </c>
      <c r="G467" s="2" t="str">
        <v>Albacete</v>
      </c>
      <c r="H467" s="2" t="n">
        <v>24</v>
      </c>
      <c r="I467" s="3" t="n">
        <f>$E467+0</f>
        <v>107</v>
      </c>
      <c r="J467" s="18"/>
      <c r="K467" s="5" t="n">
        <f>$E467+1</f>
        <v>108</v>
      </c>
      <c r="L467" s="18"/>
      <c r="M467" s="3" t="n">
        <f>$E467+2</f>
        <v>109</v>
      </c>
      <c r="N467" s="18"/>
      <c r="O467" s="5" t="n">
        <f>$E467+4</f>
        <v>111</v>
      </c>
      <c r="P467" s="18"/>
      <c r="Q467" s="3" t="n">
        <f>$E467+6</f>
        <v>113</v>
      </c>
      <c r="R467" s="18"/>
      <c r="S467" s="5" t="n">
        <f>$E467+8</f>
        <v>115</v>
      </c>
      <c r="T467" s="18"/>
      <c r="U467" s="3" t="n">
        <f>$E467+11</f>
        <v>118</v>
      </c>
      <c r="V467" s="18"/>
      <c r="W467" s="5" t="n">
        <f>$E467+15</f>
        <v>122</v>
      </c>
      <c r="X467" s="18"/>
      <c r="Y467" s="3" t="n">
        <f>$E467+17</f>
        <v>124</v>
      </c>
      <c r="Z467" s="18"/>
      <c r="AA467" s="5" t="n">
        <f>$E467+19</f>
        <v>126</v>
      </c>
      <c r="AB467" s="18"/>
      <c r="AC467" s="3" t="n">
        <f>$E467+21</f>
        <v>128</v>
      </c>
      <c r="AD467" s="18"/>
      <c r="AE467" s="5" t="n">
        <f>$E467+24</f>
        <v>131</v>
      </c>
      <c r="AF467" s="18"/>
      <c r="AG467" s="3" t="n">
        <f>$E467+27</f>
        <v>134</v>
      </c>
      <c r="AH467" s="18"/>
    </row>
    <row r="468" ht="28" customHeight="1">
      <c r="A468" s="2" t="n">
        <v>478</v>
      </c>
      <c r="B468" s="16" t="str">
        <v>Ronaldinho</v>
      </c>
      <c r="C468" s="16" t="str">
        <v>MEDALIST</v>
      </c>
      <c r="D468" s="2" t="str">
        <v>LW</v>
      </c>
      <c r="E468" s="2" t="n">
        <v>112</v>
      </c>
      <c r="F468" s="2" t="str">
        <v>Brazil</v>
      </c>
      <c r="G468" s="2" t="str">
        <v>Brazil</v>
      </c>
      <c r="H468" s="2" t="n">
        <v>27</v>
      </c>
      <c r="I468" s="3" t="n">
        <f>$E468+0</f>
        <v>112</v>
      </c>
      <c r="J468" s="18"/>
      <c r="K468" s="5" t="n">
        <f>$E468+1</f>
        <v>113</v>
      </c>
      <c r="L468" s="18"/>
      <c r="M468" s="3" t="n">
        <f>$E468+2</f>
        <v>114</v>
      </c>
      <c r="N468" s="18"/>
      <c r="O468" s="5" t="n">
        <f>$E468+4</f>
        <v>116</v>
      </c>
      <c r="P468" s="18"/>
      <c r="Q468" s="3" t="n">
        <f>$E468+6</f>
        <v>118</v>
      </c>
      <c r="R468" s="18"/>
      <c r="S468" s="5" t="n">
        <f>$E468+8</f>
        <v>120</v>
      </c>
      <c r="T468" s="18"/>
      <c r="U468" s="3" t="n">
        <f>$E468+11</f>
        <v>123</v>
      </c>
      <c r="V468" s="18"/>
      <c r="W468" s="5" t="n">
        <f>$E468+15</f>
        <v>127</v>
      </c>
      <c r="X468" s="18"/>
      <c r="Y468" s="3" t="n">
        <f>$E468+17</f>
        <v>129</v>
      </c>
      <c r="Z468" s="18"/>
      <c r="AA468" s="5" t="n">
        <f>$E468+19</f>
        <v>131</v>
      </c>
      <c r="AB468" s="18"/>
      <c r="AC468" s="3" t="n">
        <f>$E468+21</f>
        <v>133</v>
      </c>
      <c r="AD468" s="18"/>
      <c r="AE468" s="5" t="n">
        <f>$E468+24</f>
        <v>136</v>
      </c>
      <c r="AF468" s="18"/>
      <c r="AG468" s="3" t="n">
        <f>$E468+27</f>
        <v>139</v>
      </c>
      <c r="AH468" s="18"/>
    </row>
    <row r="469" ht="28" customHeight="1">
      <c r="A469" s="2" t="n">
        <v>479</v>
      </c>
      <c r="B469" s="16" t="str">
        <v>G. Ochoa</v>
      </c>
      <c r="C469" s="16" t="str">
        <v>MEDALIST</v>
      </c>
      <c r="D469" s="2" t="str">
        <v>GK</v>
      </c>
      <c r="E469" s="2" t="n">
        <v>109</v>
      </c>
      <c r="F469" s="2" t="str">
        <v>Mexico</v>
      </c>
      <c r="G469" s="2" t="str">
        <v>Tự do</v>
      </c>
      <c r="H469" s="2" t="n">
        <v>22</v>
      </c>
      <c r="I469" s="3" t="n">
        <f>$E469+0</f>
        <v>109</v>
      </c>
      <c r="J469" s="18"/>
      <c r="K469" s="5" t="n">
        <f>$E469+1</f>
        <v>110</v>
      </c>
      <c r="L469" s="18"/>
      <c r="M469" s="3" t="n">
        <f>$E469+2</f>
        <v>111</v>
      </c>
      <c r="N469" s="18"/>
      <c r="O469" s="5" t="n">
        <f>$E469+4</f>
        <v>113</v>
      </c>
      <c r="P469" s="18"/>
      <c r="Q469" s="3" t="n">
        <f>$E469+6</f>
        <v>115</v>
      </c>
      <c r="R469" s="18"/>
      <c r="S469" s="5" t="n">
        <f>$E469+8</f>
        <v>117</v>
      </c>
      <c r="T469" s="18"/>
      <c r="U469" s="3" t="n">
        <f>$E469+11</f>
        <v>120</v>
      </c>
      <c r="V469" s="18"/>
      <c r="W469" s="5" t="n">
        <f>$E469+15</f>
        <v>124</v>
      </c>
      <c r="X469" s="18"/>
      <c r="Y469" s="3" t="n">
        <f>$E469+17</f>
        <v>126</v>
      </c>
      <c r="Z469" s="18"/>
      <c r="AA469" s="5" t="n">
        <f>$E469+19</f>
        <v>128</v>
      </c>
      <c r="AB469" s="18"/>
      <c r="AC469" s="3" t="n">
        <f>$E469+21</f>
        <v>130</v>
      </c>
      <c r="AD469" s="18"/>
      <c r="AE469" s="5" t="n">
        <f>$E469+24</f>
        <v>133</v>
      </c>
      <c r="AF469" s="18"/>
      <c r="AG469" s="3" t="n">
        <f>$E469+27</f>
        <v>136</v>
      </c>
      <c r="AH469" s="18"/>
    </row>
    <row r="470" ht="28" customHeight="1">
      <c r="A470" s="2" t="n">
        <v>480</v>
      </c>
      <c r="B470" s="16" t="str">
        <v>Hwang Seok Ho</v>
      </c>
      <c r="C470" s="16" t="str">
        <v>MEDALIST</v>
      </c>
      <c r="D470" s="2" t="str">
        <v>CB</v>
      </c>
      <c r="E470" s="2" t="n">
        <v>106</v>
      </c>
      <c r="F470" s="2" t="str">
        <v>Hàn Quốc</v>
      </c>
      <c r="G470" s="2" t="str">
        <v>Suwon Samsung</v>
      </c>
      <c r="H470" s="2" t="n">
        <v>23</v>
      </c>
      <c r="I470" s="3" t="n">
        <f>$E470+0</f>
        <v>106</v>
      </c>
      <c r="J470" s="18"/>
      <c r="K470" s="5" t="n">
        <f>$E470+1</f>
        <v>107</v>
      </c>
      <c r="L470" s="18"/>
      <c r="M470" s="3" t="n">
        <f>$E470+2</f>
        <v>108</v>
      </c>
      <c r="N470" s="18"/>
      <c r="O470" s="5" t="n">
        <f>$E470+4</f>
        <v>110</v>
      </c>
      <c r="P470" s="18"/>
      <c r="Q470" s="3" t="n">
        <f>$E470+6</f>
        <v>112</v>
      </c>
      <c r="R470" s="18"/>
      <c r="S470" s="5" t="n">
        <f>$E470+8</f>
        <v>114</v>
      </c>
      <c r="T470" s="18"/>
      <c r="U470" s="3" t="n">
        <f>$E470+11</f>
        <v>117</v>
      </c>
      <c r="V470" s="18"/>
      <c r="W470" s="5" t="n">
        <f>$E470+15</f>
        <v>121</v>
      </c>
      <c r="X470" s="18"/>
      <c r="Y470" s="3" t="n">
        <f>$E470+17</f>
        <v>123</v>
      </c>
      <c r="Z470" s="18"/>
      <c r="AA470" s="5" t="n">
        <f>$E470+19</f>
        <v>125</v>
      </c>
      <c r="AB470" s="18"/>
      <c r="AC470" s="3" t="n">
        <f>$E470+21</f>
        <v>127</v>
      </c>
      <c r="AD470" s="18"/>
      <c r="AE470" s="5" t="n">
        <f>$E470+24</f>
        <v>130</v>
      </c>
      <c r="AF470" s="18"/>
      <c r="AG470" s="3" t="n">
        <f>$E470+27</f>
        <v>133</v>
      </c>
      <c r="AH470" s="18"/>
    </row>
    <row r="471" ht="28" customHeight="1">
      <c r="A471" s="2" t="n">
        <v>481</v>
      </c>
      <c r="B471" s="16" t="str">
        <v>J. Toljan</v>
      </c>
      <c r="C471" s="16" t="str">
        <v>MEDALIST</v>
      </c>
      <c r="D471" s="2" t="str">
        <v>RB</v>
      </c>
      <c r="E471" s="2" t="n">
        <v>109</v>
      </c>
      <c r="F471" s="2" t="str">
        <v>Đức</v>
      </c>
      <c r="G471" s="2" t="str">
        <v>Levante</v>
      </c>
      <c r="H471" s="2" t="n">
        <v>24</v>
      </c>
      <c r="I471" s="3" t="n">
        <f>$E471+0</f>
        <v>109</v>
      </c>
      <c r="J471" s="18"/>
      <c r="K471" s="5" t="n">
        <f>$E471+1</f>
        <v>110</v>
      </c>
      <c r="L471" s="18"/>
      <c r="M471" s="3" t="n">
        <f>$E471+2</f>
        <v>111</v>
      </c>
      <c r="N471" s="18"/>
      <c r="O471" s="5" t="n">
        <f>$E471+4</f>
        <v>113</v>
      </c>
      <c r="P471" s="18"/>
      <c r="Q471" s="3" t="n">
        <f>$E471+6</f>
        <v>115</v>
      </c>
      <c r="R471" s="18"/>
      <c r="S471" s="5" t="n">
        <f>$E471+8</f>
        <v>117</v>
      </c>
      <c r="T471" s="18"/>
      <c r="U471" s="3" t="n">
        <f>$E471+11</f>
        <v>120</v>
      </c>
      <c r="V471" s="18"/>
      <c r="W471" s="5" t="n">
        <f>$E471+15</f>
        <v>124</v>
      </c>
      <c r="X471" s="18"/>
      <c r="Y471" s="3" t="n">
        <f>$E471+17</f>
        <v>126</v>
      </c>
      <c r="Z471" s="18"/>
      <c r="AA471" s="5" t="n">
        <f>$E471+19</f>
        <v>128</v>
      </c>
      <c r="AB471" s="18"/>
      <c r="AC471" s="3" t="n">
        <f>$E471+21</f>
        <v>130</v>
      </c>
      <c r="AD471" s="18"/>
      <c r="AE471" s="5" t="n">
        <f>$E471+24</f>
        <v>133</v>
      </c>
      <c r="AF471" s="18"/>
      <c r="AG471" s="3" t="n">
        <f>$E471+27</f>
        <v>136</v>
      </c>
      <c r="AH471" s="18"/>
    </row>
    <row r="472" ht="28" customHeight="1">
      <c r="A472" s="2" t="n">
        <v>482</v>
      </c>
      <c r="B472" s="16" t="str">
        <v>J. Vásquez</v>
      </c>
      <c r="C472" s="16" t="str">
        <v>MEDALIST</v>
      </c>
      <c r="D472" s="2" t="str">
        <v>CB</v>
      </c>
      <c r="E472" s="2" t="n">
        <v>108</v>
      </c>
      <c r="F472" s="2" t="str">
        <v>Mexico</v>
      </c>
      <c r="G472" s="2" t="str">
        <v>Genoa</v>
      </c>
      <c r="H472" s="2" t="n">
        <v>24</v>
      </c>
      <c r="I472" s="3" t="n">
        <f>$E472+0</f>
        <v>108</v>
      </c>
      <c r="J472" s="18"/>
      <c r="K472" s="5" t="n">
        <f>$E472+1</f>
        <v>109</v>
      </c>
      <c r="L472" s="18"/>
      <c r="M472" s="3" t="n">
        <f>$E472+2</f>
        <v>110</v>
      </c>
      <c r="N472" s="18"/>
      <c r="O472" s="5" t="n">
        <f>$E472+4</f>
        <v>112</v>
      </c>
      <c r="P472" s="18"/>
      <c r="Q472" s="3" t="n">
        <f>$E472+6</f>
        <v>114</v>
      </c>
      <c r="R472" s="18"/>
      <c r="S472" s="5" t="n">
        <f>$E472+8</f>
        <v>116</v>
      </c>
      <c r="T472" s="18"/>
      <c r="U472" s="3" t="n">
        <f>$E472+11</f>
        <v>119</v>
      </c>
      <c r="V472" s="18"/>
      <c r="W472" s="5" t="n">
        <f>$E472+15</f>
        <v>123</v>
      </c>
      <c r="X472" s="18"/>
      <c r="Y472" s="3" t="n">
        <f>$E472+17</f>
        <v>125</v>
      </c>
      <c r="Z472" s="18"/>
      <c r="AA472" s="5" t="n">
        <f>$E472+19</f>
        <v>127</v>
      </c>
      <c r="AB472" s="18"/>
      <c r="AC472" s="3" t="n">
        <f>$E472+21</f>
        <v>129</v>
      </c>
      <c r="AD472" s="18"/>
      <c r="AE472" s="5" t="n">
        <f>$E472+24</f>
        <v>132</v>
      </c>
      <c r="AF472" s="18"/>
      <c r="AG472" s="3" t="n">
        <f>$E472+27</f>
        <v>135</v>
      </c>
      <c r="AH472" s="18"/>
    </row>
    <row r="473" ht="28" customHeight="1">
      <c r="A473" s="2" t="n">
        <v>483</v>
      </c>
      <c r="B473" s="16" t="str">
        <v>V. van Dijk</v>
      </c>
      <c r="C473" s="16" t="str">
        <v>FC AMBASSADOR</v>
      </c>
      <c r="D473" s="2" t="str">
        <v>CB</v>
      </c>
      <c r="E473" s="2" t="n">
        <v>112</v>
      </c>
      <c r="F473" s="2" t="str">
        <v>Hà Lan</v>
      </c>
      <c r="G473" s="2" t="str">
        <v>Liverpool</v>
      </c>
      <c r="H473" s="2" t="n">
        <v>28</v>
      </c>
      <c r="I473" s="3" t="n">
        <f>$E473+0</f>
        <v>112</v>
      </c>
      <c r="J473" s="18">
        <v>194000</v>
      </c>
      <c r="L473" s="18"/>
      <c r="M473" s="3" t="n">
        <f>$E473+2</f>
        <v>114</v>
      </c>
      <c r="N473" s="18"/>
      <c r="O473" s="5" t="n">
        <f>$E473+4</f>
        <v>116</v>
      </c>
      <c r="P473" s="18"/>
      <c r="Q473" s="3" t="n">
        <f>$E473+6</f>
        <v>118</v>
      </c>
      <c r="R473" s="18"/>
      <c r="S473" s="5" t="n">
        <f>$E473+8</f>
        <v>120</v>
      </c>
      <c r="T473" s="18"/>
      <c r="U473" s="3" t="n">
        <f>$E473+11</f>
        <v>123</v>
      </c>
      <c r="V473" s="18"/>
      <c r="W473" s="5" t="n">
        <f>$E473+15</f>
        <v>127</v>
      </c>
      <c r="X473" s="18"/>
      <c r="Y473" s="3" t="n">
        <f>$E473+17</f>
        <v>129</v>
      </c>
      <c r="Z473" s="18"/>
      <c r="AA473" s="5" t="n">
        <f>$E473+19</f>
        <v>131</v>
      </c>
      <c r="AB473" s="18"/>
      <c r="AC473" s="3" t="n">
        <f>$E473+21</f>
        <v>133</v>
      </c>
      <c r="AD473" s="18"/>
      <c r="AE473" s="5" t="n">
        <f>$E473+24</f>
        <v>136</v>
      </c>
      <c r="AF473" s="18"/>
      <c r="AG473" s="3" t="n">
        <f>$E473+27</f>
        <v>139</v>
      </c>
      <c r="AH473" s="18"/>
    </row>
    <row r="474" ht="28" customHeight="1">
      <c r="A474" s="2" t="n">
        <v>484</v>
      </c>
      <c r="B474" s="16" t="str">
        <v>Y. Moukoko</v>
      </c>
      <c r="C474" s="16" t="str">
        <v>FC AMBASSADOR</v>
      </c>
      <c r="D474" s="2" t="str">
        <v>ST</v>
      </c>
      <c r="E474" s="2" t="n">
        <v>106</v>
      </c>
      <c r="F474" s="2" t="str">
        <v>Đức</v>
      </c>
      <c r="G474" s="2" t="str">
        <v>FC Copenhagen</v>
      </c>
      <c r="H474" s="2" t="n">
        <v>23</v>
      </c>
      <c r="I474" s="3" t="n">
        <f>$E474+0</f>
        <v>106</v>
      </c>
      <c r="J474" s="18">
        <v>32700</v>
      </c>
      <c r="L474" s="18"/>
      <c r="M474" s="3" t="n">
        <f>$E474+2</f>
        <v>108</v>
      </c>
      <c r="N474" s="18"/>
      <c r="O474" s="5" t="n">
        <f>$E474+4</f>
        <v>110</v>
      </c>
      <c r="P474" s="18"/>
      <c r="Q474" s="3" t="n">
        <f>$E474+6</f>
        <v>112</v>
      </c>
      <c r="R474" s="18"/>
      <c r="S474" s="5" t="n">
        <f>$E474+8</f>
        <v>114</v>
      </c>
      <c r="T474" s="18"/>
      <c r="U474" s="3" t="n">
        <f>$E474+11</f>
        <v>117</v>
      </c>
      <c r="V474" s="18"/>
      <c r="W474" s="5" t="n">
        <f>$E474+15</f>
        <v>121</v>
      </c>
      <c r="X474" s="18"/>
      <c r="Y474" s="3" t="n">
        <f>$E474+17</f>
        <v>123</v>
      </c>
      <c r="Z474" s="18"/>
      <c r="AA474" s="5" t="n">
        <f>$E474+19</f>
        <v>125</v>
      </c>
      <c r="AB474" s="18"/>
      <c r="AC474" s="3" t="n">
        <f>$E474+21</f>
        <v>127</v>
      </c>
      <c r="AD474" s="18"/>
      <c r="AE474" s="5" t="n">
        <f>$E474+24</f>
        <v>130</v>
      </c>
      <c r="AF474" s="18"/>
      <c r="AG474" s="3" t="n">
        <f>$E474+27</f>
        <v>133</v>
      </c>
      <c r="AH474" s="18"/>
    </row>
    <row r="475" ht="28" customHeight="1">
      <c r="A475" s="2" t="n">
        <v>485</v>
      </c>
      <c r="B475" s="16" t="str">
        <v>H. Son</v>
      </c>
      <c r="C475" s="16" t="str">
        <v>FC AMBASSADOR</v>
      </c>
      <c r="D475" s="2" t="str">
        <v>LW</v>
      </c>
      <c r="E475" s="2" t="n">
        <v>111</v>
      </c>
      <c r="F475" s="2" t="str">
        <v>Hàn Quốc</v>
      </c>
      <c r="G475" s="2" t="str">
        <v>LAFC</v>
      </c>
      <c r="H475" s="2" t="n">
        <v>27</v>
      </c>
      <c r="I475" s="3" t="n">
        <f>$E475+0</f>
        <v>111</v>
      </c>
      <c r="J475" s="18">
        <v>105000</v>
      </c>
      <c r="L475" s="18"/>
      <c r="M475" s="3" t="n">
        <f>$E475+2</f>
        <v>113</v>
      </c>
      <c r="N475" s="18"/>
      <c r="O475" s="5" t="n">
        <f>$E475+4</f>
        <v>115</v>
      </c>
      <c r="P475" s="18"/>
      <c r="Q475" s="3" t="n">
        <f>$E475+6</f>
        <v>117</v>
      </c>
      <c r="R475" s="18"/>
      <c r="S475" s="5" t="n">
        <f>$E475+8</f>
        <v>119</v>
      </c>
      <c r="T475" s="18"/>
      <c r="U475" s="3" t="n">
        <f>$E475+11</f>
        <v>122</v>
      </c>
      <c r="V475" s="18"/>
      <c r="W475" s="5" t="n">
        <f>$E475+15</f>
        <v>126</v>
      </c>
      <c r="X475" s="18"/>
      <c r="Y475" s="3" t="n">
        <f>$E475+17</f>
        <v>128</v>
      </c>
      <c r="Z475" s="18"/>
      <c r="AA475" s="5" t="n">
        <f>$E475+19</f>
        <v>130</v>
      </c>
      <c r="AB475" s="18"/>
      <c r="AC475" s="3" t="n">
        <f>$E475+21</f>
        <v>132</v>
      </c>
      <c r="AD475" s="18"/>
      <c r="AE475" s="5" t="n">
        <f>$E475+24</f>
        <v>135</v>
      </c>
      <c r="AF475" s="18"/>
      <c r="AG475" s="3" t="n">
        <f>$E475+27</f>
        <v>138</v>
      </c>
      <c r="AH475" s="18"/>
    </row>
    <row r="476" ht="28" customHeight="1">
      <c r="A476" s="2" t="n">
        <v>486</v>
      </c>
      <c r="B476" s="16" t="str">
        <v>F. Chiesa</v>
      </c>
      <c r="C476" s="16" t="str">
        <v>FC AMBASSADOR</v>
      </c>
      <c r="D476" s="2" t="str">
        <v>LW</v>
      </c>
      <c r="E476" s="2" t="n">
        <v>109</v>
      </c>
      <c r="F476" s="2" t="str">
        <v>Ý</v>
      </c>
      <c r="G476" s="2" t="str">
        <v>Liverpool</v>
      </c>
      <c r="H476" s="2" t="n">
        <v>26</v>
      </c>
      <c r="I476" s="3" t="n">
        <f>$E476+0</f>
        <v>109</v>
      </c>
      <c r="J476" s="18">
        <v>361000</v>
      </c>
      <c r="L476" s="18"/>
      <c r="M476" s="3" t="n">
        <f>$E476+2</f>
        <v>111</v>
      </c>
      <c r="N476" s="18"/>
      <c r="O476" s="5" t="n">
        <f>$E476+4</f>
        <v>113</v>
      </c>
      <c r="P476" s="18"/>
      <c r="Q476" s="3" t="n">
        <f>$E476+6</f>
        <v>115</v>
      </c>
      <c r="R476" s="18"/>
      <c r="S476" s="5" t="n">
        <f>$E476+8</f>
        <v>117</v>
      </c>
      <c r="T476" s="18"/>
      <c r="U476" s="3" t="n">
        <f>$E476+11</f>
        <v>120</v>
      </c>
      <c r="V476" s="18"/>
      <c r="W476" s="5" t="n">
        <f>$E476+15</f>
        <v>124</v>
      </c>
      <c r="X476" s="18"/>
      <c r="Y476" s="3" t="n">
        <f>$E476+17</f>
        <v>126</v>
      </c>
      <c r="Z476" s="18"/>
      <c r="AA476" s="5" t="n">
        <f>$E476+19</f>
        <v>128</v>
      </c>
      <c r="AB476" s="18"/>
      <c r="AC476" s="3" t="n">
        <f>$E476+21</f>
        <v>130</v>
      </c>
      <c r="AD476" s="18"/>
      <c r="AE476" s="5" t="n">
        <f>$E476+24</f>
        <v>133</v>
      </c>
      <c r="AF476" s="18"/>
      <c r="AG476" s="3" t="n">
        <f>$E476+27</f>
        <v>136</v>
      </c>
      <c r="AH476" s="18"/>
    </row>
    <row r="477" ht="28" customHeight="1">
      <c r="A477" s="2" t="n">
        <v>487</v>
      </c>
      <c r="B477" s="16" t="str">
        <v>J. Grealish</v>
      </c>
      <c r="C477" s="16" t="str">
        <v>FC AMBASSADOR</v>
      </c>
      <c r="D477" s="2" t="str">
        <v>LW</v>
      </c>
      <c r="E477" s="2" t="n">
        <v>109</v>
      </c>
      <c r="F477" s="2" t="str">
        <v>Anh</v>
      </c>
      <c r="G477" s="2" t="str">
        <v>Everton</v>
      </c>
      <c r="H477" s="2" t="n">
        <v>25</v>
      </c>
      <c r="I477" s="3" t="n">
        <f>$E477+0</f>
        <v>109</v>
      </c>
      <c r="J477" s="18">
        <v>206000</v>
      </c>
      <c r="L477" s="18"/>
      <c r="M477" s="3" t="n">
        <f>$E477+2</f>
        <v>111</v>
      </c>
      <c r="N477" s="18"/>
      <c r="O477" s="5" t="n">
        <f>$E477+4</f>
        <v>113</v>
      </c>
      <c r="P477" s="18"/>
      <c r="Q477" s="3" t="n">
        <f>$E477+6</f>
        <v>115</v>
      </c>
      <c r="R477" s="18"/>
      <c r="S477" s="5" t="n">
        <f>$E477+8</f>
        <v>117</v>
      </c>
      <c r="T477" s="18"/>
      <c r="U477" s="3" t="n">
        <f>$E477+11</f>
        <v>120</v>
      </c>
      <c r="V477" s="18"/>
      <c r="W477" s="5" t="n">
        <f>$E477+15</f>
        <v>124</v>
      </c>
      <c r="X477" s="18"/>
      <c r="Y477" s="3" t="n">
        <f>$E477+17</f>
        <v>126</v>
      </c>
      <c r="Z477" s="18"/>
      <c r="AA477" s="5" t="n">
        <f>$E477+19</f>
        <v>128</v>
      </c>
      <c r="AB477" s="18"/>
      <c r="AC477" s="3" t="n">
        <f>$E477+21</f>
        <v>130</v>
      </c>
      <c r="AD477" s="18"/>
      <c r="AE477" s="5" t="n">
        <f>$E477+24</f>
        <v>133</v>
      </c>
      <c r="AF477" s="18"/>
      <c r="AG477" s="3" t="n">
        <f>$E477+27</f>
        <v>136</v>
      </c>
      <c r="AH477" s="18"/>
    </row>
    <row r="478" ht="28" customHeight="1">
      <c r="A478" s="2" t="n">
        <v>488</v>
      </c>
      <c r="B478" s="16" t="str">
        <v>E. Fernández</v>
      </c>
      <c r="C478" s="16" t="str">
        <v>FC AMBASSADOR</v>
      </c>
      <c r="D478" s="2" t="str">
        <v>CM</v>
      </c>
      <c r="E478" s="2" t="n">
        <v>108</v>
      </c>
      <c r="F478" s="2" t="str">
        <v>Argentina</v>
      </c>
      <c r="G478" s="2" t="str">
        <v>Chelsea</v>
      </c>
      <c r="H478" s="2" t="n">
        <v>24</v>
      </c>
      <c r="I478" s="3" t="n">
        <f>$E478+0</f>
        <v>108</v>
      </c>
      <c r="J478" s="18">
        <v>114000</v>
      </c>
      <c r="L478" s="18"/>
      <c r="M478" s="3" t="n">
        <f>$E478+2</f>
        <v>110</v>
      </c>
      <c r="N478" s="18"/>
      <c r="O478" s="5" t="n">
        <f>$E478+4</f>
        <v>112</v>
      </c>
      <c r="P478" s="18"/>
      <c r="Q478" s="3" t="n">
        <f>$E478+6</f>
        <v>114</v>
      </c>
      <c r="R478" s="18"/>
      <c r="S478" s="5" t="n">
        <f>$E478+8</f>
        <v>116</v>
      </c>
      <c r="T478" s="18"/>
      <c r="U478" s="3" t="n">
        <f>$E478+11</f>
        <v>119</v>
      </c>
      <c r="V478" s="18"/>
      <c r="W478" s="5" t="n">
        <f>$E478+15</f>
        <v>123</v>
      </c>
      <c r="X478" s="18"/>
      <c r="Y478" s="3" t="n">
        <f>$E478+17</f>
        <v>125</v>
      </c>
      <c r="Z478" s="18"/>
      <c r="AA478" s="5" t="n">
        <f>$E478+19</f>
        <v>127</v>
      </c>
      <c r="AB478" s="18"/>
      <c r="AC478" s="3" t="n">
        <f>$E478+21</f>
        <v>129</v>
      </c>
      <c r="AD478" s="18"/>
      <c r="AE478" s="5" t="n">
        <f>$E478+24</f>
        <v>132</v>
      </c>
      <c r="AF478" s="18"/>
      <c r="AG478" s="3" t="n">
        <f>$E478+27</f>
        <v>135</v>
      </c>
      <c r="AH478" s="18"/>
    </row>
    <row r="479" ht="28" customHeight="1">
      <c r="A479" s="2" t="n">
        <v>489</v>
      </c>
      <c r="B479" s="16" t="str">
        <v>Vini Jr.</v>
      </c>
      <c r="C479" s="16" t="str">
        <v>FC AMBASSADOR</v>
      </c>
      <c r="D479" s="2" t="str">
        <v>LW</v>
      </c>
      <c r="E479" s="2" t="n">
        <v>111</v>
      </c>
      <c r="F479" s="2" t="str">
        <v>Brazil</v>
      </c>
      <c r="G479" s="2" t="str">
        <v>Madrid</v>
      </c>
      <c r="H479" s="2" t="n">
        <v>26</v>
      </c>
      <c r="I479" s="3" t="n">
        <f>$E479+0</f>
        <v>111</v>
      </c>
      <c r="J479" s="18">
        <v>69700</v>
      </c>
      <c r="L479" s="18"/>
      <c r="M479" s="3" t="n">
        <f>$E479+2</f>
        <v>113</v>
      </c>
      <c r="N479" s="18"/>
      <c r="O479" s="5" t="n">
        <f>$E479+4</f>
        <v>115</v>
      </c>
      <c r="P479" s="18"/>
      <c r="Q479" s="3" t="n">
        <f>$E479+6</f>
        <v>117</v>
      </c>
      <c r="R479" s="18"/>
      <c r="S479" s="5" t="n">
        <f>$E479+8</f>
        <v>119</v>
      </c>
      <c r="T479" s="18"/>
      <c r="U479" s="3" t="n">
        <f>$E479+11</f>
        <v>122</v>
      </c>
      <c r="V479" s="18"/>
      <c r="W479" s="5" t="n">
        <f>$E479+15</f>
        <v>126</v>
      </c>
      <c r="X479" s="18"/>
      <c r="Y479" s="3" t="n">
        <f>$E479+17</f>
        <v>128</v>
      </c>
      <c r="Z479" s="18"/>
      <c r="AA479" s="5" t="n">
        <f>$E479+19</f>
        <v>130</v>
      </c>
      <c r="AB479" s="18"/>
      <c r="AC479" s="3" t="n">
        <f>$E479+21</f>
        <v>132</v>
      </c>
      <c r="AD479" s="18"/>
      <c r="AE479" s="5" t="n">
        <f>$E479+24</f>
        <v>135</v>
      </c>
      <c r="AF479" s="18"/>
      <c r="AG479" s="3" t="n">
        <f>$E479+27</f>
        <v>138</v>
      </c>
      <c r="AH479" s="18"/>
    </row>
    <row r="480" ht="28" customHeight="1">
      <c r="A480" s="2" t="n">
        <v>490</v>
      </c>
      <c r="B480" s="16" t="str">
        <v>J. Bellingham</v>
      </c>
      <c r="C480" s="16" t="str">
        <v>FC AMBASSADOR</v>
      </c>
      <c r="D480" s="2" t="str">
        <v>CM</v>
      </c>
      <c r="E480" s="2" t="n">
        <v>112</v>
      </c>
      <c r="F480" s="2" t="str">
        <v>Anh</v>
      </c>
      <c r="G480" s="2" t="str">
        <v>Madrid</v>
      </c>
      <c r="H480" s="2" t="n">
        <v>26</v>
      </c>
      <c r="I480" s="3" t="n">
        <f>$E480+0</f>
        <v>112</v>
      </c>
      <c r="J480" s="18">
        <v>614000</v>
      </c>
      <c r="L480" s="18"/>
      <c r="M480" s="3" t="n">
        <f>$E480+2</f>
        <v>114</v>
      </c>
      <c r="N480" s="18"/>
      <c r="O480" s="5" t="n">
        <f>$E480+4</f>
        <v>116</v>
      </c>
      <c r="P480" s="18"/>
      <c r="Q480" s="3" t="n">
        <f>$E480+6</f>
        <v>118</v>
      </c>
      <c r="R480" s="18"/>
      <c r="S480" s="5" t="n">
        <f>$E480+8</f>
        <v>120</v>
      </c>
      <c r="T480" s="18"/>
      <c r="U480" s="3" t="n">
        <f>$E480+11</f>
        <v>123</v>
      </c>
      <c r="V480" s="18"/>
      <c r="W480" s="5" t="n">
        <f>$E480+15</f>
        <v>127</v>
      </c>
      <c r="X480" s="18"/>
      <c r="Y480" s="3" t="n">
        <f>$E480+17</f>
        <v>129</v>
      </c>
      <c r="Z480" s="18"/>
      <c r="AA480" s="5" t="n">
        <f>$E480+19</f>
        <v>131</v>
      </c>
      <c r="AB480" s="18"/>
      <c r="AC480" s="3" t="n">
        <f>$E480+21</f>
        <v>133</v>
      </c>
      <c r="AD480" s="18"/>
      <c r="AE480" s="5" t="n">
        <f>$E480+24</f>
        <v>136</v>
      </c>
      <c r="AF480" s="18"/>
      <c r="AG480" s="3" t="n">
        <f>$E480+27</f>
        <v>139</v>
      </c>
      <c r="AH480" s="18"/>
    </row>
    <row r="481" ht="28" customHeight="1">
      <c r="A481" s="2" t="n">
        <v>491</v>
      </c>
      <c r="B481" s="16" t="str">
        <v>E. Haaland</v>
      </c>
      <c r="C481" s="16" t="str">
        <v>FC AMBASSADOR</v>
      </c>
      <c r="D481" s="2" t="str">
        <v>ST</v>
      </c>
      <c r="E481" s="2" t="n">
        <v>112</v>
      </c>
      <c r="F481" s="2" t="str">
        <v>Na Uy</v>
      </c>
      <c r="G481" s="2" t="str">
        <v>Manchester Xanh</v>
      </c>
      <c r="H481" s="2" t="n">
        <v>27</v>
      </c>
      <c r="I481" s="3" t="n">
        <f>$E481+0</f>
        <v>112</v>
      </c>
      <c r="J481" s="18">
        <v>412000</v>
      </c>
      <c r="L481" s="18"/>
      <c r="M481" s="3" t="n">
        <f>$E481+2</f>
        <v>114</v>
      </c>
      <c r="N481" s="18"/>
      <c r="O481" s="5" t="n">
        <f>$E481+4</f>
        <v>116</v>
      </c>
      <c r="P481" s="18"/>
      <c r="Q481" s="3" t="n">
        <f>$E481+6</f>
        <v>118</v>
      </c>
      <c r="R481" s="18"/>
      <c r="S481" s="5" t="n">
        <f>$E481+8</f>
        <v>120</v>
      </c>
      <c r="T481" s="18"/>
      <c r="U481" s="3" t="n">
        <f>$E481+11</f>
        <v>123</v>
      </c>
      <c r="V481" s="18"/>
      <c r="W481" s="5" t="n">
        <f>$E481+15</f>
        <v>127</v>
      </c>
      <c r="X481" s="18"/>
      <c r="Y481" s="3" t="n">
        <f>$E481+17</f>
        <v>129</v>
      </c>
      <c r="Z481" s="18"/>
      <c r="AA481" s="5" t="n">
        <f>$E481+19</f>
        <v>131</v>
      </c>
      <c r="AB481" s="18"/>
      <c r="AC481" s="3" t="n">
        <f>$E481+21</f>
        <v>133</v>
      </c>
      <c r="AD481" s="18"/>
      <c r="AE481" s="5" t="n">
        <f>$E481+24</f>
        <v>136</v>
      </c>
      <c r="AF481" s="18"/>
      <c r="AG481" s="3" t="n">
        <f>$E481+27</f>
        <v>139</v>
      </c>
      <c r="AH481" s="18"/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495</v>
      </c>
      <c r="C1" s="11" t="s">
        <v>0</v>
      </c>
      <c r="D1" s="11" t="s">
        <v>496</v>
      </c>
      <c r="E1" s="11" t="s">
        <v>497</v>
      </c>
    </row>
    <row r="2">
      <c r="A2" t="s">
        <v>498</v>
      </c>
      <c r="C2" s="12">
        <v>1</v>
      </c>
      <c r="D2" s="12">
        <v>1</v>
      </c>
      <c r="E2" s="12"/>
    </row>
    <row r="3">
      <c r="A3" s="8" t="s">
        <v>499</v>
      </c>
      <c r="C3" s="12">
        <v>31</v>
      </c>
      <c r="D3" s="12">
        <v>1</v>
      </c>
      <c r="E3" s="12"/>
    </row>
    <row r="4">
      <c r="A4" s="8" t="s">
        <v>500</v>
      </c>
      <c r="C4" s="12">
        <v>32</v>
      </c>
      <c r="D4" s="12">
        <v>1</v>
      </c>
      <c r="E4" s="12"/>
    </row>
    <row r="5">
      <c r="A5" s="8" t="s">
        <v>501</v>
      </c>
      <c r="C5" s="12">
        <v>33</v>
      </c>
      <c r="D5" s="12">
        <v>1</v>
      </c>
      <c r="E5" s="12"/>
    </row>
    <row r="6">
      <c r="A6" s="8" t="s">
        <v>502</v>
      </c>
      <c r="C6" s="12">
        <v>5</v>
      </c>
      <c r="D6" s="12">
        <v>1</v>
      </c>
      <c r="E6" s="12"/>
    </row>
    <row r="7">
      <c r="A7" s="8" t="s">
        <v>503</v>
      </c>
      <c r="C7" s="12">
        <v>34</v>
      </c>
      <c r="D7" s="12">
        <v>1</v>
      </c>
      <c r="E7" s="12"/>
    </row>
    <row r="8">
      <c r="A8" s="8" t="s">
        <v>504</v>
      </c>
      <c r="C8" s="12">
        <v>35</v>
      </c>
      <c r="D8" s="12">
        <v>1</v>
      </c>
      <c r="E8" s="12"/>
    </row>
    <row r="9">
      <c r="A9" s="8" t="s">
        <v>505</v>
      </c>
      <c r="C9" s="12">
        <v>36</v>
      </c>
      <c r="D9" s="12">
        <v>1</v>
      </c>
      <c r="E9" s="12"/>
    </row>
    <row r="10">
      <c r="A10" s="8" t="s">
        <v>506</v>
      </c>
      <c r="C10" s="12">
        <v>37</v>
      </c>
      <c r="D10" s="12">
        <v>1</v>
      </c>
      <c r="E10" s="12"/>
    </row>
    <row r="11">
      <c r="A11" t="s">
        <v>507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508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508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508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508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508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508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508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508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508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508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508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508</v>
      </c>
    </row>
    <row r="85">
      <c r="C85" s="12">
        <v>106</v>
      </c>
      <c r="D85" s="12">
        <v>3</v>
      </c>
      <c r="E85" s="12" t="s">
        <v>508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508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508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508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508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508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508</v>
      </c>
    </row>
    <row r="114">
      <c r="C114" s="12">
        <v>248</v>
      </c>
      <c r="D114" s="12">
        <v>3</v>
      </c>
      <c r="E114" s="12" t="s">
        <v>508</v>
      </c>
    </row>
    <row r="115">
      <c r="C115" s="12">
        <v>249</v>
      </c>
      <c r="D115" s="12">
        <v>3</v>
      </c>
      <c r="E115" s="12" t="s">
        <v>508</v>
      </c>
    </row>
    <row r="116">
      <c r="C116" s="12">
        <v>250</v>
      </c>
      <c r="D116" s="12">
        <v>3</v>
      </c>
      <c r="E116" s="12" t="s">
        <v>508</v>
      </c>
    </row>
    <row r="117">
      <c r="C117" s="12">
        <v>251</v>
      </c>
      <c r="D117" s="12">
        <v>3</v>
      </c>
      <c r="E117" s="12" t="s">
        <v>508</v>
      </c>
    </row>
    <row r="118">
      <c r="C118" s="12">
        <v>252</v>
      </c>
      <c r="D118" s="12">
        <v>3</v>
      </c>
      <c r="E118" s="12" t="s">
        <v>508</v>
      </c>
    </row>
    <row r="119">
      <c r="C119" s="12">
        <v>253</v>
      </c>
      <c r="D119" s="12">
        <v>3</v>
      </c>
      <c r="E119" s="12" t="s">
        <v>508</v>
      </c>
    </row>
    <row r="120">
      <c r="C120" s="12">
        <v>254</v>
      </c>
      <c r="D120" s="12">
        <v>3</v>
      </c>
      <c r="E120" s="12" t="s">
        <v>508</v>
      </c>
    </row>
    <row r="121">
      <c r="C121" s="12">
        <v>255</v>
      </c>
      <c r="D121" s="12">
        <v>3</v>
      </c>
      <c r="E121" s="12" t="s">
        <v>508</v>
      </c>
    </row>
    <row r="122">
      <c r="C122" s="12">
        <v>256</v>
      </c>
      <c r="D122" s="12">
        <v>3</v>
      </c>
      <c r="E122" s="12" t="s">
        <v>508</v>
      </c>
    </row>
    <row r="123">
      <c r="C123" s="12">
        <v>257</v>
      </c>
      <c r="D123" s="12">
        <v>3</v>
      </c>
      <c r="E123" s="12" t="s">
        <v>508</v>
      </c>
    </row>
    <row r="124">
      <c r="C124" s="12">
        <v>258</v>
      </c>
      <c r="D124" s="12">
        <v>3</v>
      </c>
      <c r="E124" s="12" t="s">
        <v>508</v>
      </c>
    </row>
    <row r="125">
      <c r="C125" s="12">
        <v>259</v>
      </c>
      <c r="D125" s="12">
        <v>3</v>
      </c>
      <c r="E125" s="12" t="s">
        <v>508</v>
      </c>
    </row>
    <row r="126">
      <c r="C126" s="12">
        <v>260</v>
      </c>
      <c r="D126" s="12">
        <v>3</v>
      </c>
      <c r="E126" s="12" t="s">
        <v>508</v>
      </c>
    </row>
    <row r="127">
      <c r="C127" s="12">
        <v>261</v>
      </c>
      <c r="D127" s="12">
        <v>3</v>
      </c>
      <c r="E127" s="12" t="s">
        <v>508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508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508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508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508</v>
      </c>
    </row>
    <row r="165">
      <c r="C165" s="12">
        <v>150</v>
      </c>
      <c r="D165" s="12">
        <v>3</v>
      </c>
      <c r="E165" s="12" t="s">
        <v>508</v>
      </c>
    </row>
    <row r="166">
      <c r="C166" s="12">
        <v>151</v>
      </c>
      <c r="D166" s="12">
        <v>3</v>
      </c>
      <c r="E166" s="12" t="s">
        <v>508</v>
      </c>
    </row>
    <row r="167">
      <c r="C167" s="12">
        <v>152</v>
      </c>
      <c r="D167" s="12">
        <v>3</v>
      </c>
      <c r="E167" s="12" t="s">
        <v>508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508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508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508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508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508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508</v>
      </c>
    </row>
    <row r="188">
      <c r="C188" s="12">
        <v>173</v>
      </c>
      <c r="D188" s="12">
        <v>3</v>
      </c>
      <c r="E188" s="12" t="s">
        <v>508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508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508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508</v>
      </c>
    </row>
    <row r="197">
      <c r="C197" s="12">
        <v>182</v>
      </c>
      <c r="D197" s="12">
        <v>3</v>
      </c>
      <c r="E197" s="12" t="s">
        <v>508</v>
      </c>
    </row>
    <row r="198">
      <c r="C198" s="12">
        <v>183</v>
      </c>
      <c r="D198" s="12">
        <v>3</v>
      </c>
      <c r="E198" s="12" t="s">
        <v>508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508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508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508</v>
      </c>
    </row>
    <row r="205">
      <c r="C205" s="12">
        <v>190</v>
      </c>
      <c r="D205" s="12">
        <v>3</v>
      </c>
      <c r="E205" s="12" t="s">
        <v>508</v>
      </c>
    </row>
    <row r="206">
      <c r="C206" s="12">
        <v>191</v>
      </c>
      <c r="D206" s="12">
        <v>3</v>
      </c>
      <c r="E206" s="12" t="s">
        <v>508</v>
      </c>
    </row>
    <row r="207">
      <c r="C207" s="12">
        <v>192</v>
      </c>
      <c r="D207" s="12">
        <v>3</v>
      </c>
      <c r="E207" s="12" t="s">
        <v>508</v>
      </c>
    </row>
    <row r="208">
      <c r="C208" s="12">
        <v>193</v>
      </c>
      <c r="D208" s="12">
        <v>3</v>
      </c>
      <c r="E208" s="12" t="s">
        <v>508</v>
      </c>
    </row>
    <row r="209">
      <c r="C209" s="12">
        <v>194</v>
      </c>
      <c r="D209" s="12">
        <v>3</v>
      </c>
      <c r="E209" s="12" t="s">
        <v>508</v>
      </c>
    </row>
    <row r="210">
      <c r="C210" s="12">
        <v>195</v>
      </c>
      <c r="D210" s="12">
        <v>3</v>
      </c>
      <c r="E210" s="12" t="s">
        <v>508</v>
      </c>
    </row>
    <row r="211">
      <c r="C211" s="12">
        <v>196</v>
      </c>
      <c r="D211" s="12">
        <v>3</v>
      </c>
      <c r="E211" s="12" t="s">
        <v>508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508</v>
      </c>
    </row>
    <row r="215">
      <c r="C215" s="12">
        <v>200</v>
      </c>
      <c r="D215" s="12">
        <v>3</v>
      </c>
      <c r="E215" s="12" t="s">
        <v>508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508</v>
      </c>
    </row>
    <row r="218">
      <c r="C218" s="12">
        <v>203</v>
      </c>
      <c r="D218" s="12">
        <v>3</v>
      </c>
      <c r="E218" s="12" t="s">
        <v>508</v>
      </c>
    </row>
    <row r="219">
      <c r="C219" s="12">
        <v>204</v>
      </c>
      <c r="D219" s="12">
        <v>3</v>
      </c>
      <c r="E219" s="12" t="s">
        <v>508</v>
      </c>
    </row>
    <row r="220">
      <c r="C220" s="12">
        <v>205</v>
      </c>
      <c r="D220" s="12">
        <v>3</v>
      </c>
      <c r="E220" s="12" t="s">
        <v>508</v>
      </c>
    </row>
    <row r="221">
      <c r="C221" s="12">
        <v>206</v>
      </c>
      <c r="D221" s="12">
        <v>3</v>
      </c>
      <c r="E221" s="12" t="s">
        <v>508</v>
      </c>
    </row>
    <row r="222">
      <c r="C222" s="12">
        <v>207</v>
      </c>
      <c r="D222" s="12">
        <v>3</v>
      </c>
      <c r="E222" s="12" t="s">
        <v>508</v>
      </c>
    </row>
    <row r="223">
      <c r="C223" s="12">
        <v>208</v>
      </c>
      <c r="D223" s="12">
        <v>3</v>
      </c>
      <c r="E223" s="12" t="s">
        <v>508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508</v>
      </c>
    </row>
    <row r="226">
      <c r="C226" s="12">
        <v>211</v>
      </c>
      <c r="D226" s="12">
        <v>3</v>
      </c>
      <c r="E226" s="12" t="s">
        <v>508</v>
      </c>
    </row>
    <row r="227">
      <c r="C227" s="12">
        <v>262</v>
      </c>
      <c r="D227" s="12">
        <v>3</v>
      </c>
      <c r="E227" s="12" t="s">
        <v>508</v>
      </c>
    </row>
    <row r="228">
      <c r="C228" s="12">
        <v>263</v>
      </c>
      <c r="D228" s="12">
        <v>3</v>
      </c>
      <c r="E228" s="12" t="s">
        <v>508</v>
      </c>
    </row>
    <row r="229">
      <c r="C229" s="12">
        <v>264</v>
      </c>
      <c r="D229" s="12">
        <v>3</v>
      </c>
      <c r="E229" s="12" t="s">
        <v>508</v>
      </c>
    </row>
    <row r="230">
      <c r="C230" s="12">
        <v>265</v>
      </c>
      <c r="D230" s="12">
        <v>3</v>
      </c>
      <c r="E230" s="12" t="s">
        <v>508</v>
      </c>
    </row>
    <row r="231">
      <c r="C231" s="12">
        <v>266</v>
      </c>
      <c r="D231" s="12">
        <v>3</v>
      </c>
      <c r="E231" s="12" t="s">
        <v>508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508</v>
      </c>
    </row>
    <row r="234">
      <c r="C234" s="12">
        <v>269</v>
      </c>
      <c r="D234" s="12">
        <v>3</v>
      </c>
      <c r="E234" s="12" t="s">
        <v>508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508</v>
      </c>
    </row>
    <row r="238">
      <c r="C238" s="12">
        <v>273</v>
      </c>
      <c r="D238" s="12">
        <v>3</v>
      </c>
      <c r="E238" s="12" t="s">
        <v>508</v>
      </c>
    </row>
    <row r="239">
      <c r="C239" s="12">
        <v>274</v>
      </c>
      <c r="D239" s="12">
        <v>3</v>
      </c>
      <c r="E239" s="12" t="s">
        <v>508</v>
      </c>
    </row>
    <row r="240">
      <c r="C240" s="12">
        <v>275</v>
      </c>
      <c r="D240" s="12">
        <v>3</v>
      </c>
      <c r="E240" s="12" t="s">
        <v>508</v>
      </c>
    </row>
    <row r="241">
      <c r="C241" s="12">
        <v>276</v>
      </c>
      <c r="D241" s="12">
        <v>3</v>
      </c>
      <c r="E241" s="12" t="s">
        <v>508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508</v>
      </c>
    </row>
    <row r="244">
      <c r="C244" s="12">
        <v>279</v>
      </c>
      <c r="D244" s="12">
        <v>3</v>
      </c>
      <c r="E244" s="12" t="s">
        <v>508</v>
      </c>
    </row>
    <row r="245">
      <c r="C245" s="12">
        <v>280</v>
      </c>
      <c r="D245" s="12">
        <v>3</v>
      </c>
      <c r="E245" s="12" t="s">
        <v>508</v>
      </c>
    </row>
    <row r="246">
      <c r="C246" s="12">
        <v>281</v>
      </c>
      <c r="D246" s="12">
        <v>3</v>
      </c>
      <c r="E246" s="12" t="s">
        <v>508</v>
      </c>
    </row>
    <row r="247">
      <c r="C247" s="12">
        <v>282</v>
      </c>
      <c r="D247" s="12">
        <v>3</v>
      </c>
      <c r="E247" s="12" t="s">
        <v>508</v>
      </c>
    </row>
    <row r="248">
      <c r="C248" s="12">
        <v>283</v>
      </c>
      <c r="D248" s="12">
        <v>3</v>
      </c>
      <c r="E248" s="12" t="s">
        <v>508</v>
      </c>
    </row>
    <row r="249">
      <c r="C249" s="12">
        <v>284</v>
      </c>
      <c r="D249" s="12">
        <v>3</v>
      </c>
      <c r="E249" s="12" t="s">
        <v>508</v>
      </c>
    </row>
    <row r="250">
      <c r="C250" s="12">
        <v>285</v>
      </c>
      <c r="D250" s="12">
        <v>3</v>
      </c>
      <c r="E250" s="12" t="s">
        <v>508</v>
      </c>
    </row>
    <row r="251">
      <c r="C251" s="12">
        <v>286</v>
      </c>
      <c r="D251" s="12">
        <v>3</v>
      </c>
      <c r="E251" s="12" t="s">
        <v>508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508</v>
      </c>
    </row>
    <row r="254">
      <c r="C254" s="12">
        <v>289</v>
      </c>
      <c r="D254" s="12">
        <v>3</v>
      </c>
      <c r="E254" s="12" t="s">
        <v>508</v>
      </c>
    </row>
    <row r="255">
      <c r="C255" s="12">
        <v>290</v>
      </c>
      <c r="D255" s="12">
        <v>3</v>
      </c>
      <c r="E255" s="12" t="s">
        <v>508</v>
      </c>
    </row>
    <row r="256">
      <c r="C256" s="12">
        <v>291</v>
      </c>
      <c r="D256" s="12">
        <v>3</v>
      </c>
      <c r="E256" s="12" t="s">
        <v>508</v>
      </c>
    </row>
    <row r="257">
      <c r="C257" s="12">
        <v>292</v>
      </c>
      <c r="D257" s="12">
        <v>3</v>
      </c>
      <c r="E257" s="12" t="s">
        <v>508</v>
      </c>
    </row>
    <row r="258">
      <c r="C258" s="12">
        <v>293</v>
      </c>
      <c r="D258" s="12">
        <v>3</v>
      </c>
      <c r="E258" s="12" t="s">
        <v>508</v>
      </c>
    </row>
    <row r="259">
      <c r="C259" s="12">
        <v>294</v>
      </c>
      <c r="D259" s="12">
        <v>3</v>
      </c>
      <c r="E259" s="12" t="s">
        <v>508</v>
      </c>
    </row>
    <row r="260">
      <c r="C260" s="12">
        <v>295</v>
      </c>
      <c r="D260" s="12">
        <v>3</v>
      </c>
      <c r="E260" s="12" t="s">
        <v>508</v>
      </c>
    </row>
    <row r="261">
      <c r="C261" s="12">
        <v>296</v>
      </c>
      <c r="D261" s="12">
        <v>3</v>
      </c>
      <c r="E261" s="12" t="s">
        <v>508</v>
      </c>
    </row>
    <row r="262">
      <c r="C262" s="12">
        <v>297</v>
      </c>
      <c r="D262" s="12">
        <v>3</v>
      </c>
      <c r="E262" s="12" t="s">
        <v>508</v>
      </c>
    </row>
    <row r="263">
      <c r="C263" s="12">
        <v>298</v>
      </c>
      <c r="D263" s="12">
        <v>3</v>
      </c>
      <c r="E263" s="12" t="s">
        <v>508</v>
      </c>
    </row>
    <row r="264">
      <c r="C264" s="12">
        <v>299</v>
      </c>
      <c r="D264" s="12">
        <v>3</v>
      </c>
      <c r="E264" s="12" t="s">
        <v>508</v>
      </c>
    </row>
    <row r="265">
      <c r="C265" s="12">
        <v>300</v>
      </c>
      <c r="D265" s="12">
        <v>3</v>
      </c>
      <c r="E265" s="12" t="s">
        <v>508</v>
      </c>
    </row>
    <row r="266">
      <c r="C266" s="12">
        <v>301</v>
      </c>
      <c r="D266" s="12">
        <v>3</v>
      </c>
      <c r="E266" s="12" t="s">
        <v>508</v>
      </c>
    </row>
    <row r="267">
      <c r="C267" s="12">
        <v>302</v>
      </c>
      <c r="D267" s="12">
        <v>3</v>
      </c>
      <c r="E267" s="12" t="s">
        <v>508</v>
      </c>
    </row>
    <row r="268">
      <c r="C268" s="12">
        <v>303</v>
      </c>
      <c r="D268" s="12">
        <v>3</v>
      </c>
      <c r="E268" s="12" t="s">
        <v>508</v>
      </c>
    </row>
    <row r="269">
      <c r="C269" s="12">
        <v>304</v>
      </c>
      <c r="D269" s="12">
        <v>3</v>
      </c>
      <c r="E269" s="12" t="s">
        <v>508</v>
      </c>
    </row>
    <row r="270">
      <c r="C270" s="12">
        <v>305</v>
      </c>
      <c r="D270" s="12">
        <v>3</v>
      </c>
      <c r="E270" s="12" t="s">
        <v>508</v>
      </c>
    </row>
    <row r="271">
      <c r="C271" s="12">
        <v>306</v>
      </c>
      <c r="D271" s="12">
        <v>3</v>
      </c>
      <c r="E271" s="12" t="s">
        <v>508</v>
      </c>
    </row>
    <row r="272">
      <c r="C272" s="12">
        <v>307</v>
      </c>
      <c r="D272" s="12">
        <v>3</v>
      </c>
      <c r="E272" s="12" t="s">
        <v>508</v>
      </c>
    </row>
    <row r="273">
      <c r="C273" s="12">
        <v>308</v>
      </c>
      <c r="D273" s="12">
        <v>3</v>
      </c>
      <c r="E273" s="12" t="s">
        <v>508</v>
      </c>
    </row>
    <row r="274">
      <c r="C274" s="12">
        <v>309</v>
      </c>
      <c r="D274" s="12">
        <v>3</v>
      </c>
      <c r="E274" s="12" t="s">
        <v>508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508</v>
      </c>
    </row>
    <row r="277">
      <c r="C277" s="12">
        <v>312</v>
      </c>
      <c r="D277" s="12">
        <v>3</v>
      </c>
      <c r="E277" s="12" t="s">
        <v>508</v>
      </c>
    </row>
    <row r="278">
      <c r="C278" s="12">
        <v>313</v>
      </c>
      <c r="D278" s="12">
        <v>3</v>
      </c>
      <c r="E278" s="12" t="s">
        <v>508</v>
      </c>
    </row>
    <row r="279">
      <c r="C279" s="12">
        <v>314</v>
      </c>
      <c r="D279" s="12">
        <v>3</v>
      </c>
      <c r="E279" s="12" t="s">
        <v>508</v>
      </c>
    </row>
    <row r="280">
      <c r="C280" s="12">
        <v>315</v>
      </c>
      <c r="D280" s="12">
        <v>3</v>
      </c>
      <c r="E280" s="12" t="s">
        <v>508</v>
      </c>
    </row>
    <row r="281">
      <c r="C281" s="12">
        <v>316</v>
      </c>
      <c r="D281" s="12">
        <v>3</v>
      </c>
      <c r="E281" s="12" t="s">
        <v>508</v>
      </c>
    </row>
    <row r="282">
      <c r="C282" s="12">
        <v>317</v>
      </c>
      <c r="D282" s="12">
        <v>3</v>
      </c>
      <c r="E282" s="12" t="s">
        <v>508</v>
      </c>
    </row>
    <row r="283">
      <c r="C283" s="12">
        <v>318</v>
      </c>
      <c r="D283" s="12">
        <v>3</v>
      </c>
      <c r="E283" s="12" t="s">
        <v>508</v>
      </c>
    </row>
    <row r="284">
      <c r="C284" s="12">
        <v>319</v>
      </c>
      <c r="D284" s="12">
        <v>3</v>
      </c>
      <c r="E284" s="12" t="s">
        <v>508</v>
      </c>
    </row>
    <row r="285">
      <c r="C285" s="12">
        <v>320</v>
      </c>
      <c r="D285" s="12">
        <v>3</v>
      </c>
      <c r="E285" s="12" t="s">
        <v>508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508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508</v>
      </c>
    </row>
    <row r="290">
      <c r="C290" s="12">
        <v>214</v>
      </c>
      <c r="D290" s="12">
        <v>3</v>
      </c>
      <c r="E290" s="12" t="s">
        <v>508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508</v>
      </c>
    </row>
    <row r="295">
      <c r="C295" s="12">
        <v>219</v>
      </c>
      <c r="D295" s="12">
        <v>3</v>
      </c>
      <c r="E295" s="12" t="s">
        <v>508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