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OneDrive\Tài liệu\FCOvv\"/>
    </mc:Choice>
  </mc:AlternateContent>
  <xr:revisionPtr revIDLastSave="0" documentId="13_ncr:1_{D8D94CBD-65F1-4B64-81CA-5273AA0F87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iá cầu thủ" sheetId="1" r:id="rId1"/>
    <sheet name="Hướng dẫn" sheetId="2" r:id="rId2"/>
  </sheets>
  <definedNames>
    <definedName name="_xlnm._FilterDatabase" localSheetId="0" hidden="1">'Giá cầu thủ'!$A$1:$AH$372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2" i="1" l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AG351" i="1"/>
  <c r="AE351" i="1"/>
  <c r="AC351" i="1"/>
  <c r="AA351" i="1"/>
  <c r="Y351" i="1"/>
  <c r="W351" i="1"/>
  <c r="U351" i="1"/>
  <c r="S351" i="1"/>
  <c r="Q351" i="1"/>
  <c r="O351" i="1"/>
  <c r="M351" i="1"/>
  <c r="K351" i="1"/>
  <c r="I351" i="1"/>
  <c r="AG350" i="1"/>
  <c r="AE350" i="1"/>
  <c r="AC350" i="1"/>
  <c r="AA350" i="1"/>
  <c r="Y350" i="1"/>
  <c r="W350" i="1"/>
  <c r="U350" i="1"/>
  <c r="S350" i="1"/>
  <c r="Q350" i="1"/>
  <c r="O350" i="1"/>
  <c r="M350" i="1"/>
  <c r="K350" i="1"/>
  <c r="I350" i="1"/>
  <c r="AG349" i="1"/>
  <c r="AE349" i="1"/>
  <c r="AC349" i="1"/>
  <c r="AA349" i="1"/>
  <c r="Y349" i="1"/>
  <c r="W349" i="1"/>
  <c r="U349" i="1"/>
  <c r="S349" i="1"/>
  <c r="Q349" i="1"/>
  <c r="O349" i="1"/>
  <c r="M349" i="1"/>
  <c r="K349" i="1"/>
  <c r="I349" i="1"/>
  <c r="AG348" i="1"/>
  <c r="AE348" i="1"/>
  <c r="AC348" i="1"/>
  <c r="AA348" i="1"/>
  <c r="Y348" i="1"/>
  <c r="W348" i="1"/>
  <c r="U348" i="1"/>
  <c r="S348" i="1"/>
  <c r="Q348" i="1"/>
  <c r="O348" i="1"/>
  <c r="M348" i="1"/>
  <c r="K348" i="1"/>
  <c r="I348" i="1"/>
  <c r="AG372" i="1"/>
  <c r="AE372" i="1"/>
  <c r="AC372" i="1"/>
  <c r="AA372" i="1"/>
  <c r="Y372" i="1"/>
  <c r="W372" i="1"/>
  <c r="U372" i="1"/>
  <c r="S372" i="1"/>
  <c r="Q372" i="1"/>
  <c r="O372" i="1"/>
  <c r="M372" i="1"/>
  <c r="K372" i="1"/>
  <c r="I372" i="1"/>
  <c r="AG371" i="1"/>
  <c r="AE371" i="1"/>
  <c r="AC371" i="1"/>
  <c r="AA371" i="1"/>
  <c r="Y371" i="1"/>
  <c r="W371" i="1"/>
  <c r="U371" i="1"/>
  <c r="S371" i="1"/>
  <c r="Q371" i="1"/>
  <c r="O371" i="1"/>
  <c r="M371" i="1"/>
  <c r="K371" i="1"/>
  <c r="I371" i="1"/>
  <c r="AG370" i="1"/>
  <c r="AE370" i="1"/>
  <c r="AC370" i="1"/>
  <c r="AA370" i="1"/>
  <c r="Y370" i="1"/>
  <c r="W370" i="1"/>
  <c r="U370" i="1"/>
  <c r="S370" i="1"/>
  <c r="Q370" i="1"/>
  <c r="O370" i="1"/>
  <c r="M370" i="1"/>
  <c r="K370" i="1"/>
  <c r="I370" i="1"/>
  <c r="AG369" i="1"/>
  <c r="AE369" i="1"/>
  <c r="AC369" i="1"/>
  <c r="AA369" i="1"/>
  <c r="Y369" i="1"/>
  <c r="W369" i="1"/>
  <c r="U369" i="1"/>
  <c r="S369" i="1"/>
  <c r="Q369" i="1"/>
  <c r="O369" i="1"/>
  <c r="M369" i="1"/>
  <c r="K369" i="1"/>
  <c r="I369" i="1"/>
  <c r="AG368" i="1"/>
  <c r="AE368" i="1"/>
  <c r="AC368" i="1"/>
  <c r="AA368" i="1"/>
  <c r="Y368" i="1"/>
  <c r="W368" i="1"/>
  <c r="U368" i="1"/>
  <c r="S368" i="1"/>
  <c r="Q368" i="1"/>
  <c r="O368" i="1"/>
  <c r="M368" i="1"/>
  <c r="K368" i="1"/>
  <c r="I368" i="1"/>
  <c r="AG367" i="1"/>
  <c r="AE367" i="1"/>
  <c r="AC367" i="1"/>
  <c r="AA367" i="1"/>
  <c r="Y367" i="1"/>
  <c r="W367" i="1"/>
  <c r="U367" i="1"/>
  <c r="S367" i="1"/>
  <c r="Q367" i="1"/>
  <c r="O367" i="1"/>
  <c r="M367" i="1"/>
  <c r="K367" i="1"/>
  <c r="I367" i="1"/>
  <c r="AG366" i="1"/>
  <c r="AE366" i="1"/>
  <c r="AC366" i="1"/>
  <c r="AA366" i="1"/>
  <c r="Y366" i="1"/>
  <c r="W366" i="1"/>
  <c r="U366" i="1"/>
  <c r="S366" i="1"/>
  <c r="Q366" i="1"/>
  <c r="O366" i="1"/>
  <c r="M366" i="1"/>
  <c r="K366" i="1"/>
  <c r="I366" i="1"/>
  <c r="AG365" i="1"/>
  <c r="AE365" i="1"/>
  <c r="AC365" i="1"/>
  <c r="AA365" i="1"/>
  <c r="Y365" i="1"/>
  <c r="W365" i="1"/>
  <c r="U365" i="1"/>
  <c r="S365" i="1"/>
  <c r="Q365" i="1"/>
  <c r="O365" i="1"/>
  <c r="M365" i="1"/>
  <c r="K365" i="1"/>
  <c r="I365" i="1"/>
  <c r="AG364" i="1"/>
  <c r="AE364" i="1"/>
  <c r="AC364" i="1"/>
  <c r="AA364" i="1"/>
  <c r="Y364" i="1"/>
  <c r="W364" i="1"/>
  <c r="U364" i="1"/>
  <c r="S364" i="1"/>
  <c r="Q364" i="1"/>
  <c r="O364" i="1"/>
  <c r="M364" i="1"/>
  <c r="K364" i="1"/>
  <c r="I364" i="1"/>
  <c r="AG363" i="1"/>
  <c r="AE363" i="1"/>
  <c r="AC363" i="1"/>
  <c r="AA363" i="1"/>
  <c r="Y363" i="1"/>
  <c r="W363" i="1"/>
  <c r="U363" i="1"/>
  <c r="S363" i="1"/>
  <c r="Q363" i="1"/>
  <c r="O363" i="1"/>
  <c r="M363" i="1"/>
  <c r="K363" i="1"/>
  <c r="I363" i="1"/>
  <c r="AG362" i="1"/>
  <c r="AE362" i="1"/>
  <c r="AC362" i="1"/>
  <c r="AA362" i="1"/>
  <c r="Y362" i="1"/>
  <c r="W362" i="1"/>
  <c r="U362" i="1"/>
  <c r="S362" i="1"/>
  <c r="Q362" i="1"/>
  <c r="O362" i="1"/>
  <c r="M362" i="1"/>
  <c r="K362" i="1"/>
  <c r="I362" i="1"/>
  <c r="AG361" i="1"/>
  <c r="AE361" i="1"/>
  <c r="AC361" i="1"/>
  <c r="AA361" i="1"/>
  <c r="Y361" i="1"/>
  <c r="W361" i="1"/>
  <c r="U361" i="1"/>
  <c r="S361" i="1"/>
  <c r="Q361" i="1"/>
  <c r="O361" i="1"/>
  <c r="M361" i="1"/>
  <c r="K361" i="1"/>
  <c r="I361" i="1"/>
  <c r="AG360" i="1"/>
  <c r="AE360" i="1"/>
  <c r="AC360" i="1"/>
  <c r="AA360" i="1"/>
  <c r="Y360" i="1"/>
  <c r="W360" i="1"/>
  <c r="U360" i="1"/>
  <c r="S360" i="1"/>
  <c r="Q360" i="1"/>
  <c r="O360" i="1"/>
  <c r="M360" i="1"/>
  <c r="K360" i="1"/>
  <c r="I360" i="1"/>
  <c r="AG359" i="1"/>
  <c r="AE359" i="1"/>
  <c r="AC359" i="1"/>
  <c r="AA359" i="1"/>
  <c r="Y359" i="1"/>
  <c r="W359" i="1"/>
  <c r="U359" i="1"/>
  <c r="S359" i="1"/>
  <c r="Q359" i="1"/>
  <c r="O359" i="1"/>
  <c r="M359" i="1"/>
  <c r="K359" i="1"/>
  <c r="I359" i="1"/>
  <c r="AG358" i="1"/>
  <c r="AE358" i="1"/>
  <c r="AC358" i="1"/>
  <c r="AA358" i="1"/>
  <c r="Y358" i="1"/>
  <c r="W358" i="1"/>
  <c r="U358" i="1"/>
  <c r="S358" i="1"/>
  <c r="Q358" i="1"/>
  <c r="O358" i="1"/>
  <c r="M358" i="1"/>
  <c r="K358" i="1"/>
  <c r="I358" i="1"/>
  <c r="AG357" i="1"/>
  <c r="AE357" i="1"/>
  <c r="AC357" i="1"/>
  <c r="AA357" i="1"/>
  <c r="Y357" i="1"/>
  <c r="W357" i="1"/>
  <c r="U357" i="1"/>
  <c r="S357" i="1"/>
  <c r="Q357" i="1"/>
  <c r="O357" i="1"/>
  <c r="M357" i="1"/>
  <c r="K357" i="1"/>
  <c r="I357" i="1"/>
  <c r="AG356" i="1"/>
  <c r="AE356" i="1"/>
  <c r="AC356" i="1"/>
  <c r="AA356" i="1"/>
  <c r="Y356" i="1"/>
  <c r="W356" i="1"/>
  <c r="U356" i="1"/>
  <c r="S356" i="1"/>
  <c r="Q356" i="1"/>
  <c r="O356" i="1"/>
  <c r="M356" i="1"/>
  <c r="K356" i="1"/>
  <c r="I356" i="1"/>
  <c r="AG355" i="1"/>
  <c r="AE355" i="1"/>
  <c r="AC355" i="1"/>
  <c r="AA355" i="1"/>
  <c r="Y355" i="1"/>
  <c r="W355" i="1"/>
  <c r="U355" i="1"/>
  <c r="S355" i="1"/>
  <c r="Q355" i="1"/>
  <c r="O355" i="1"/>
  <c r="M355" i="1"/>
  <c r="K355" i="1"/>
  <c r="I355" i="1"/>
  <c r="AG354" i="1"/>
  <c r="AE354" i="1"/>
  <c r="AC354" i="1"/>
  <c r="AA354" i="1"/>
  <c r="Y354" i="1"/>
  <c r="W354" i="1"/>
  <c r="U354" i="1"/>
  <c r="S354" i="1"/>
  <c r="Q354" i="1"/>
  <c r="O354" i="1"/>
  <c r="M354" i="1"/>
  <c r="K354" i="1"/>
  <c r="I354" i="1"/>
  <c r="AG333" i="1"/>
  <c r="AE333" i="1"/>
  <c r="AC333" i="1"/>
  <c r="AA333" i="1"/>
  <c r="Y333" i="1"/>
  <c r="W333" i="1"/>
  <c r="U333" i="1"/>
  <c r="S333" i="1"/>
  <c r="Q333" i="1"/>
  <c r="O333" i="1"/>
  <c r="M333" i="1"/>
  <c r="K333" i="1"/>
  <c r="I333" i="1"/>
  <c r="AG332" i="1"/>
  <c r="AE332" i="1"/>
  <c r="AC332" i="1"/>
  <c r="AA332" i="1"/>
  <c r="Y332" i="1"/>
  <c r="W332" i="1"/>
  <c r="U332" i="1"/>
  <c r="S332" i="1"/>
  <c r="Q332" i="1"/>
  <c r="O332" i="1"/>
  <c r="M332" i="1"/>
  <c r="K332" i="1"/>
  <c r="I332" i="1"/>
  <c r="AG318" i="1"/>
  <c r="AE318" i="1"/>
  <c r="AC318" i="1"/>
  <c r="AA318" i="1"/>
  <c r="Y318" i="1"/>
  <c r="W318" i="1"/>
  <c r="U318" i="1"/>
  <c r="S318" i="1"/>
  <c r="Q318" i="1"/>
  <c r="O318" i="1"/>
  <c r="M318" i="1"/>
  <c r="K318" i="1"/>
  <c r="I318" i="1"/>
  <c r="AG317" i="1"/>
  <c r="AE317" i="1"/>
  <c r="AC317" i="1"/>
  <c r="AA317" i="1"/>
  <c r="Y317" i="1"/>
  <c r="W317" i="1"/>
  <c r="U317" i="1"/>
  <c r="S317" i="1"/>
  <c r="Q317" i="1"/>
  <c r="O317" i="1"/>
  <c r="M317" i="1"/>
  <c r="K317" i="1"/>
  <c r="I317" i="1"/>
  <c r="AG316" i="1"/>
  <c r="AE316" i="1"/>
  <c r="AC316" i="1"/>
  <c r="AA316" i="1"/>
  <c r="Y316" i="1"/>
  <c r="W316" i="1"/>
  <c r="U316" i="1"/>
  <c r="S316" i="1"/>
  <c r="Q316" i="1"/>
  <c r="O316" i="1"/>
  <c r="M316" i="1"/>
  <c r="K316" i="1"/>
  <c r="I316" i="1"/>
  <c r="AG315" i="1"/>
  <c r="AE315" i="1"/>
  <c r="AC315" i="1"/>
  <c r="AA315" i="1"/>
  <c r="Y315" i="1"/>
  <c r="W315" i="1"/>
  <c r="U315" i="1"/>
  <c r="S315" i="1"/>
  <c r="Q315" i="1"/>
  <c r="O315" i="1"/>
  <c r="M315" i="1"/>
  <c r="K315" i="1"/>
  <c r="I315" i="1"/>
  <c r="AG314" i="1"/>
  <c r="AE314" i="1"/>
  <c r="AC314" i="1"/>
  <c r="AA314" i="1"/>
  <c r="Y314" i="1"/>
  <c r="W314" i="1"/>
  <c r="U314" i="1"/>
  <c r="S314" i="1"/>
  <c r="Q314" i="1"/>
  <c r="O314" i="1"/>
  <c r="M314" i="1"/>
  <c r="K314" i="1"/>
  <c r="I314" i="1"/>
  <c r="AG347" i="1"/>
  <c r="AE347" i="1"/>
  <c r="AC347" i="1"/>
  <c r="AA347" i="1"/>
  <c r="Y347" i="1"/>
  <c r="W347" i="1"/>
  <c r="U347" i="1"/>
  <c r="S347" i="1"/>
  <c r="Q347" i="1"/>
  <c r="O347" i="1"/>
  <c r="M347" i="1"/>
  <c r="K347" i="1"/>
  <c r="I347" i="1"/>
  <c r="AG346" i="1"/>
  <c r="AE346" i="1"/>
  <c r="AC346" i="1"/>
  <c r="AA346" i="1"/>
  <c r="Y346" i="1"/>
  <c r="W346" i="1"/>
  <c r="U346" i="1"/>
  <c r="S346" i="1"/>
  <c r="Q346" i="1"/>
  <c r="O346" i="1"/>
  <c r="M346" i="1"/>
  <c r="K346" i="1"/>
  <c r="I346" i="1"/>
  <c r="AG345" i="1"/>
  <c r="AE345" i="1"/>
  <c r="AC345" i="1"/>
  <c r="AA345" i="1"/>
  <c r="Y345" i="1"/>
  <c r="W345" i="1"/>
  <c r="U345" i="1"/>
  <c r="S345" i="1"/>
  <c r="Q345" i="1"/>
  <c r="O345" i="1"/>
  <c r="M345" i="1"/>
  <c r="K345" i="1"/>
  <c r="I345" i="1"/>
  <c r="AG339" i="1"/>
  <c r="AE339" i="1"/>
  <c r="AC339" i="1"/>
  <c r="AA339" i="1"/>
  <c r="Y339" i="1"/>
  <c r="W339" i="1"/>
  <c r="U339" i="1"/>
  <c r="S339" i="1"/>
  <c r="Q339" i="1"/>
  <c r="O339" i="1"/>
  <c r="M339" i="1"/>
  <c r="K339" i="1"/>
  <c r="I339" i="1"/>
  <c r="AG338" i="1"/>
  <c r="AE338" i="1"/>
  <c r="AC338" i="1"/>
  <c r="AA338" i="1"/>
  <c r="Y338" i="1"/>
  <c r="W338" i="1"/>
  <c r="U338" i="1"/>
  <c r="S338" i="1"/>
  <c r="Q338" i="1"/>
  <c r="O338" i="1"/>
  <c r="M338" i="1"/>
  <c r="K338" i="1"/>
  <c r="I338" i="1"/>
  <c r="AG337" i="1"/>
  <c r="AE337" i="1"/>
  <c r="AC337" i="1"/>
  <c r="AA337" i="1"/>
  <c r="Y337" i="1"/>
  <c r="W337" i="1"/>
  <c r="U337" i="1"/>
  <c r="S337" i="1"/>
  <c r="Q337" i="1"/>
  <c r="O337" i="1"/>
  <c r="M337" i="1"/>
  <c r="K337" i="1"/>
  <c r="I337" i="1"/>
  <c r="AG336" i="1"/>
  <c r="AE336" i="1"/>
  <c r="AC336" i="1"/>
  <c r="AA336" i="1"/>
  <c r="Y336" i="1"/>
  <c r="W336" i="1"/>
  <c r="U336" i="1"/>
  <c r="S336" i="1"/>
  <c r="Q336" i="1"/>
  <c r="O336" i="1"/>
  <c r="M336" i="1"/>
  <c r="K336" i="1"/>
  <c r="I336" i="1"/>
  <c r="AG335" i="1"/>
  <c r="AE335" i="1"/>
  <c r="AC335" i="1"/>
  <c r="AA335" i="1"/>
  <c r="Y335" i="1"/>
  <c r="W335" i="1"/>
  <c r="U335" i="1"/>
  <c r="S335" i="1"/>
  <c r="Q335" i="1"/>
  <c r="O335" i="1"/>
  <c r="M335" i="1"/>
  <c r="K335" i="1"/>
  <c r="I335" i="1"/>
  <c r="AG353" i="1"/>
  <c r="AE353" i="1"/>
  <c r="AC353" i="1"/>
  <c r="AA353" i="1"/>
  <c r="Y353" i="1"/>
  <c r="W353" i="1"/>
  <c r="U353" i="1"/>
  <c r="S353" i="1"/>
  <c r="Q353" i="1"/>
  <c r="O353" i="1"/>
  <c r="M353" i="1"/>
  <c r="K353" i="1"/>
  <c r="I353" i="1"/>
  <c r="AG331" i="1"/>
  <c r="AE331" i="1"/>
  <c r="AC331" i="1"/>
  <c r="AA331" i="1"/>
  <c r="Y331" i="1"/>
  <c r="W331" i="1"/>
  <c r="U331" i="1"/>
  <c r="S331" i="1"/>
  <c r="Q331" i="1"/>
  <c r="O331" i="1"/>
  <c r="M331" i="1"/>
  <c r="K331" i="1"/>
  <c r="I331" i="1"/>
  <c r="AG330" i="1"/>
  <c r="AE330" i="1"/>
  <c r="AC330" i="1"/>
  <c r="AA330" i="1"/>
  <c r="Y330" i="1"/>
  <c r="W330" i="1"/>
  <c r="U330" i="1"/>
  <c r="S330" i="1"/>
  <c r="Q330" i="1"/>
  <c r="O330" i="1"/>
  <c r="M330" i="1"/>
  <c r="K330" i="1"/>
  <c r="I330" i="1"/>
  <c r="AG329" i="1"/>
  <c r="AE329" i="1"/>
  <c r="AC329" i="1"/>
  <c r="AA329" i="1"/>
  <c r="Y329" i="1"/>
  <c r="W329" i="1"/>
  <c r="U329" i="1"/>
  <c r="S329" i="1"/>
  <c r="Q329" i="1"/>
  <c r="O329" i="1"/>
  <c r="M329" i="1"/>
  <c r="K329" i="1"/>
  <c r="I329" i="1"/>
  <c r="AG328" i="1"/>
  <c r="AE328" i="1"/>
  <c r="AC328" i="1"/>
  <c r="AA328" i="1"/>
  <c r="Y328" i="1"/>
  <c r="W328" i="1"/>
  <c r="U328" i="1"/>
  <c r="S328" i="1"/>
  <c r="Q328" i="1"/>
  <c r="O328" i="1"/>
  <c r="M328" i="1"/>
  <c r="K328" i="1"/>
  <c r="I328" i="1"/>
  <c r="AG344" i="1"/>
  <c r="AE344" i="1"/>
  <c r="AC344" i="1"/>
  <c r="AA344" i="1"/>
  <c r="Y344" i="1"/>
  <c r="W344" i="1"/>
  <c r="U344" i="1"/>
  <c r="S344" i="1"/>
  <c r="Q344" i="1"/>
  <c r="O344" i="1"/>
  <c r="M344" i="1"/>
  <c r="K344" i="1"/>
  <c r="I344" i="1"/>
  <c r="AG343" i="1"/>
  <c r="AE343" i="1"/>
  <c r="AC343" i="1"/>
  <c r="AA343" i="1"/>
  <c r="Y343" i="1"/>
  <c r="W343" i="1"/>
  <c r="U343" i="1"/>
  <c r="S343" i="1"/>
  <c r="Q343" i="1"/>
  <c r="O343" i="1"/>
  <c r="M343" i="1"/>
  <c r="K343" i="1"/>
  <c r="I343" i="1"/>
  <c r="AG327" i="1"/>
  <c r="AE327" i="1"/>
  <c r="AC327" i="1"/>
  <c r="AA327" i="1"/>
  <c r="Y327" i="1"/>
  <c r="W327" i="1"/>
  <c r="U327" i="1"/>
  <c r="S327" i="1"/>
  <c r="Q327" i="1"/>
  <c r="O327" i="1"/>
  <c r="M327" i="1"/>
  <c r="K327" i="1"/>
  <c r="I327" i="1"/>
  <c r="AG326" i="1"/>
  <c r="AE326" i="1"/>
  <c r="AC326" i="1"/>
  <c r="AA326" i="1"/>
  <c r="Y326" i="1"/>
  <c r="W326" i="1"/>
  <c r="U326" i="1"/>
  <c r="S326" i="1"/>
  <c r="Q326" i="1"/>
  <c r="O326" i="1"/>
  <c r="M326" i="1"/>
  <c r="K326" i="1"/>
  <c r="I326" i="1"/>
  <c r="AG325" i="1"/>
  <c r="AE325" i="1"/>
  <c r="AC325" i="1"/>
  <c r="AA325" i="1"/>
  <c r="Y325" i="1"/>
  <c r="W325" i="1"/>
  <c r="U325" i="1"/>
  <c r="S325" i="1"/>
  <c r="Q325" i="1"/>
  <c r="O325" i="1"/>
  <c r="M325" i="1"/>
  <c r="K325" i="1"/>
  <c r="I325" i="1"/>
  <c r="AG324" i="1"/>
  <c r="AE324" i="1"/>
  <c r="AC324" i="1"/>
  <c r="AA324" i="1"/>
  <c r="Y324" i="1"/>
  <c r="W324" i="1"/>
  <c r="U324" i="1"/>
  <c r="S324" i="1"/>
  <c r="Q324" i="1"/>
  <c r="O324" i="1"/>
  <c r="M324" i="1"/>
  <c r="K324" i="1"/>
  <c r="I324" i="1"/>
  <c r="AG323" i="1"/>
  <c r="AE323" i="1"/>
  <c r="AC323" i="1"/>
  <c r="AA323" i="1"/>
  <c r="Y323" i="1"/>
  <c r="W323" i="1"/>
  <c r="U323" i="1"/>
  <c r="S323" i="1"/>
  <c r="Q323" i="1"/>
  <c r="O323" i="1"/>
  <c r="M323" i="1"/>
  <c r="K323" i="1"/>
  <c r="I323" i="1"/>
  <c r="AG322" i="1"/>
  <c r="AE322" i="1"/>
  <c r="AC322" i="1"/>
  <c r="AA322" i="1"/>
  <c r="Y322" i="1"/>
  <c r="W322" i="1"/>
  <c r="U322" i="1"/>
  <c r="S322" i="1"/>
  <c r="Q322" i="1"/>
  <c r="O322" i="1"/>
  <c r="M322" i="1"/>
  <c r="K322" i="1"/>
  <c r="I322" i="1"/>
  <c r="AG321" i="1"/>
  <c r="AE321" i="1"/>
  <c r="AC321" i="1"/>
  <c r="AA321" i="1"/>
  <c r="Y321" i="1"/>
  <c r="W321" i="1"/>
  <c r="U321" i="1"/>
  <c r="S321" i="1"/>
  <c r="Q321" i="1"/>
  <c r="O321" i="1"/>
  <c r="M321" i="1"/>
  <c r="K321" i="1"/>
  <c r="I321" i="1"/>
  <c r="AG320" i="1"/>
  <c r="AE320" i="1"/>
  <c r="AC320" i="1"/>
  <c r="AA320" i="1"/>
  <c r="Y320" i="1"/>
  <c r="W320" i="1"/>
  <c r="U320" i="1"/>
  <c r="S320" i="1"/>
  <c r="Q320" i="1"/>
  <c r="O320" i="1"/>
  <c r="M320" i="1"/>
  <c r="K320" i="1"/>
  <c r="I320" i="1"/>
  <c r="AG319" i="1"/>
  <c r="AE319" i="1"/>
  <c r="AC319" i="1"/>
  <c r="AA319" i="1"/>
  <c r="Y319" i="1"/>
  <c r="W319" i="1"/>
  <c r="U319" i="1"/>
  <c r="S319" i="1"/>
  <c r="Q319" i="1"/>
  <c r="O319" i="1"/>
  <c r="M319" i="1"/>
  <c r="K319" i="1"/>
  <c r="I319" i="1"/>
  <c r="AG352" i="1"/>
  <c r="AE352" i="1"/>
  <c r="AC352" i="1"/>
  <c r="AA352" i="1"/>
  <c r="Y352" i="1"/>
  <c r="W352" i="1"/>
  <c r="U352" i="1"/>
  <c r="S352" i="1"/>
  <c r="Q352" i="1"/>
  <c r="O352" i="1"/>
  <c r="M352" i="1"/>
  <c r="K352" i="1"/>
  <c r="I352" i="1"/>
  <c r="AG342" i="1"/>
  <c r="AE342" i="1"/>
  <c r="AC342" i="1"/>
  <c r="AA342" i="1"/>
  <c r="Y342" i="1"/>
  <c r="W342" i="1"/>
  <c r="U342" i="1"/>
  <c r="S342" i="1"/>
  <c r="Q342" i="1"/>
  <c r="O342" i="1"/>
  <c r="M342" i="1"/>
  <c r="K342" i="1"/>
  <c r="I342" i="1"/>
  <c r="AG341" i="1"/>
  <c r="AE341" i="1"/>
  <c r="AC341" i="1"/>
  <c r="AA341" i="1"/>
  <c r="Y341" i="1"/>
  <c r="W341" i="1"/>
  <c r="U341" i="1"/>
  <c r="S341" i="1"/>
  <c r="Q341" i="1"/>
  <c r="O341" i="1"/>
  <c r="M341" i="1"/>
  <c r="K341" i="1"/>
  <c r="I341" i="1"/>
  <c r="AG340" i="1"/>
  <c r="AE340" i="1"/>
  <c r="AC340" i="1"/>
  <c r="AA340" i="1"/>
  <c r="Y340" i="1"/>
  <c r="W340" i="1"/>
  <c r="U340" i="1"/>
  <c r="S340" i="1"/>
  <c r="Q340" i="1"/>
  <c r="O340" i="1"/>
  <c r="M340" i="1"/>
  <c r="K340" i="1"/>
  <c r="I340" i="1"/>
  <c r="AG313" i="1"/>
  <c r="AE313" i="1"/>
  <c r="AC313" i="1"/>
  <c r="AA313" i="1"/>
  <c r="Y313" i="1"/>
  <c r="W313" i="1"/>
  <c r="U313" i="1"/>
  <c r="S313" i="1"/>
  <c r="Q313" i="1"/>
  <c r="O313" i="1"/>
  <c r="M313" i="1"/>
  <c r="K313" i="1"/>
  <c r="I313" i="1"/>
  <c r="AG334" i="1"/>
  <c r="AE334" i="1"/>
  <c r="AC334" i="1"/>
  <c r="AA334" i="1"/>
  <c r="Y334" i="1"/>
  <c r="W334" i="1"/>
  <c r="U334" i="1"/>
  <c r="S334" i="1"/>
  <c r="Q334" i="1"/>
  <c r="O334" i="1"/>
  <c r="M334" i="1"/>
  <c r="K334" i="1"/>
  <c r="I334" i="1"/>
</calcChain>
</file>

<file path=xl/sharedStrings.xml><?xml version="1.0" encoding="utf-8"?>
<sst xmlns="http://schemas.openxmlformats.org/spreadsheetml/2006/main">
  <si>
    <t xml:space="preserve">ID</t>
  </si>
  <si>
    <t xml:space="preserve">Tên</t>
  </si>
  <si>
    <t xml:space="preserve">Mùa thẻ</t>
  </si>
  <si>
    <t xml:space="preserve">Vị trí</t>
  </si>
  <si>
    <t xml:space="preserve">OVR gốc</t>
  </si>
  <si>
    <t xml:space="preserve">Quốc tịch</t>
  </si>
  <si>
    <t xml:space="preserve">CLB</t>
  </si>
  <si>
    <t xml:space="preserve">Lương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</si>
  <si>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</si>
  <si>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</si>
  <si>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</si>
  <si>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</si>
  <si>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</si>
  <si>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</si>
  <si>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+7</t>
  </si>
  <si>
    <t xml:space="preserve">+8</t>
  </si>
  <si>
    <t xml:space="preserve">+9</t>
  </si>
  <si>
    <t xml:space="preserve">+10</t>
  </si>
  <si>
    <t xml:space="preserve">+11</t>
  </si>
  <si>
    <t xml:space="preserve">+12</t>
  </si>
  <si>
    <t xml:space="preserve">+13</t>
  </si>
  <si>
    <t xml:space="preserve">OVR</t>
  </si>
  <si>
    <t xml:space="preserve">Giá BP</t>
  </si>
  <si>
    <t xml:space="preserve">D. Maradona</t>
  </si>
  <si>
    <t xml:space="preserve">ICON TM</t>
  </si>
  <si>
    <t xml:space="preserve">CAM</t>
  </si>
  <si>
    <t xml:space="preserve">Argentina</t>
  </si>
  <si>
    <t xml:space="preserve">Napoli</t>
  </si>
  <si>
    <t xml:space="preserve">Pelé</t>
  </si>
  <si>
    <t xml:space="preserve">CF</t>
  </si>
  <si>
    <t xml:space="preserve">Brazil</t>
  </si>
  <si>
    <t xml:space="preserve">Santos</t>
  </si>
  <si>
    <t xml:space="preserve">F. Beckenbauer</t>
  </si>
  <si>
    <t xml:space="preserve">CB</t>
  </si>
  <si>
    <t xml:space="preserve">Đức</t>
  </si>
  <si>
    <t xml:space="preserve">Bayern</t>
  </si>
  <si>
    <t xml:space="preserve">Ferenc Puskás</t>
  </si>
  <si>
    <t xml:space="preserve">Hungary</t>
  </si>
  <si>
    <t xml:space="preserve">Madrid</t>
  </si>
  <si>
    <t xml:space="preserve">G. Müller</t>
  </si>
  <si>
    <t xml:space="preserve">ST</t>
  </si>
  <si>
    <t xml:space="preserve">J. Cruyff</t>
  </si>
  <si>
    <t xml:space="preserve">Hà Lan</t>
  </si>
  <si>
    <t xml:space="preserve">Ajax</t>
  </si>
  <si>
    <t xml:space="preserve">L. Matthäus</t>
  </si>
  <si>
    <t xml:space="preserve">CM</t>
  </si>
  <si>
    <t xml:space="preserve">L. Yashin</t>
  </si>
  <si>
    <t xml:space="preserve">GK</t>
  </si>
  <si>
    <t xml:space="preserve">Nga</t>
  </si>
  <si>
    <t xml:space="preserve">Dynamo</t>
  </si>
  <si>
    <t xml:space="preserve">M. van Basten</t>
  </si>
  <si>
    <t xml:space="preserve">Milano</t>
  </si>
  <si>
    <t xml:space="preserve">Ronaldo</t>
  </si>
  <si>
    <t xml:space="preserve">Z. Zidane</t>
  </si>
  <si>
    <t xml:space="preserve">Pháp</t>
  </si>
  <si>
    <t xml:space="preserve">B. Charlton</t>
  </si>
  <si>
    <t xml:space="preserve">Anh</t>
  </si>
  <si>
    <t xml:space="preserve">Manchester Đỏ</t>
  </si>
  <si>
    <t xml:space="preserve">Eusébio</t>
  </si>
  <si>
    <t xml:space="preserve">Bồ Đào Nha</t>
  </si>
  <si>
    <t xml:space="preserve">Benfica</t>
  </si>
  <si>
    <t xml:space="preserve">F. Baresi</t>
  </si>
  <si>
    <t xml:space="preserve">Ý</t>
  </si>
  <si>
    <t xml:space="preserve">G. Best</t>
  </si>
  <si>
    <t xml:space="preserve">RW</t>
  </si>
  <si>
    <t xml:space="preserve">Bắc Ireland</t>
  </si>
  <si>
    <t xml:space="preserve">G. Buffon</t>
  </si>
  <si>
    <t xml:space="preserve">Torino</t>
  </si>
  <si>
    <t xml:space="preserve">Garrincha</t>
  </si>
  <si>
    <t xml:space="preserve">Botafogo</t>
  </si>
  <si>
    <t xml:space="preserve">Iniesta</t>
  </si>
  <si>
    <t xml:space="preserve">Tây Ban Nha</t>
  </si>
  <si>
    <t xml:space="preserve">Barcelona</t>
  </si>
  <si>
    <t xml:space="preserve">Jairzinho</t>
  </si>
  <si>
    <t xml:space="preserve">P. Maldini</t>
  </si>
  <si>
    <t xml:space="preserve">LB</t>
  </si>
  <si>
    <t xml:space="preserve">R. Baggio</t>
  </si>
  <si>
    <t xml:space="preserve">R. Gullit</t>
  </si>
  <si>
    <t xml:space="preserve">Ronaldinho</t>
  </si>
  <si>
    <t xml:space="preserve">LW</t>
  </si>
  <si>
    <t xml:space="preserve">Xavi</t>
  </si>
  <si>
    <t xml:space="preserve">Zico</t>
  </si>
  <si>
    <t xml:space="preserve">Flamengo</t>
  </si>
  <si>
    <t xml:space="preserve">A. Nesta</t>
  </si>
  <si>
    <t xml:space="preserve">A. Pirlo</t>
  </si>
  <si>
    <t xml:space="preserve">A. Shearer</t>
  </si>
  <si>
    <t xml:space="preserve">Newcastle</t>
  </si>
  <si>
    <t xml:space="preserve">A. Shevchenko</t>
  </si>
  <si>
    <t xml:space="preserve">Ukraine</t>
  </si>
  <si>
    <t xml:space="preserve">Cafu</t>
  </si>
  <si>
    <t xml:space="preserve">RB</t>
  </si>
  <si>
    <t xml:space="preserve">Casillas</t>
  </si>
  <si>
    <t xml:space="preserve">D. Beckham</t>
  </si>
  <si>
    <t xml:space="preserve">RM</t>
  </si>
  <si>
    <t xml:space="preserve">D. Bergkamp</t>
  </si>
  <si>
    <t xml:space="preserve">Arsenal</t>
  </si>
  <si>
    <t xml:space="preserve">D. Drogba</t>
  </si>
  <si>
    <t xml:space="preserve">Bờ Biển Ngà</t>
  </si>
  <si>
    <t xml:space="preserve">Chelsea</t>
  </si>
  <si>
    <t xml:space="preserve">E. Cantona</t>
  </si>
  <si>
    <t xml:space="preserve">F. Cannavaro</t>
  </si>
  <si>
    <t xml:space="preserve">F. Rijkaard</t>
  </si>
  <si>
    <t xml:space="preserve">CDM</t>
  </si>
  <si>
    <t xml:space="preserve">F. Totti</t>
  </si>
  <si>
    <t xml:space="preserve">Roma</t>
  </si>
  <si>
    <t xml:space="preserve">Gabriel Batistuta</t>
  </si>
  <si>
    <t xml:space="preserve">Fiorentina</t>
  </si>
  <si>
    <t xml:space="preserve">H. Sánchez</t>
  </si>
  <si>
    <t xml:space="preserve">Mexico</t>
  </si>
  <si>
    <t xml:space="preserve">Kaká</t>
  </si>
  <si>
    <t xml:space="preserve">Luís Figo</t>
  </si>
  <si>
    <t xml:space="preserve">O. Kahn</t>
  </si>
  <si>
    <t xml:space="preserve">R. van Nistelrooy</t>
  </si>
  <si>
    <t xml:space="preserve">Rivaldo</t>
  </si>
  <si>
    <t xml:space="preserve">Roberto Carlos</t>
  </si>
  <si>
    <t xml:space="preserve">S. Eto'o</t>
  </si>
  <si>
    <t xml:space="preserve">Cameroon</t>
  </si>
  <si>
    <t xml:space="preserve">T. Henry</t>
  </si>
  <si>
    <t xml:space="preserve">W. Rooney</t>
  </si>
  <si>
    <t xml:space="preserve">Z. Ibrahimović</t>
  </si>
  <si>
    <t xml:space="preserve">Thụy Điển</t>
  </si>
  <si>
    <t xml:space="preserve">A. Del Piero</t>
  </si>
  <si>
    <t xml:space="preserve">B. Cha</t>
  </si>
  <si>
    <t xml:space="preserve">Hàn Quốc</t>
  </si>
  <si>
    <t xml:space="preserve">Leverkusen</t>
  </si>
  <si>
    <t xml:space="preserve">B. Moore</t>
  </si>
  <si>
    <t xml:space="preserve">West Ham</t>
  </si>
  <si>
    <t xml:space="preserve">C. Puyol</t>
  </si>
  <si>
    <t xml:space="preserve">Carlos Alberto</t>
  </si>
  <si>
    <t xml:space="preserve">Dunga</t>
  </si>
  <si>
    <t xml:space="preserve">F. Lampard</t>
  </si>
  <si>
    <t xml:space="preserve">I. Rush</t>
  </si>
  <si>
    <t xml:space="preserve">Wales</t>
  </si>
  <si>
    <t xml:space="preserve">Liverpool</t>
  </si>
  <si>
    <t xml:space="preserve">J. Zanetti</t>
  </si>
  <si>
    <t xml:space="preserve">K. Dalglish</t>
  </si>
  <si>
    <t xml:space="preserve">Scotland</t>
  </si>
  <si>
    <t xml:space="preserve">L. Thuram</t>
  </si>
  <si>
    <t xml:space="preserve">M. Ballack</t>
  </si>
  <si>
    <t xml:space="preserve">M. Klose</t>
  </si>
  <si>
    <t xml:space="preserve">M. Owen</t>
  </si>
  <si>
    <t xml:space="preserve">Marcelo</t>
  </si>
  <si>
    <t xml:space="preserve">P. Lahm</t>
  </si>
  <si>
    <t xml:space="preserve">P. Nedvěd</t>
  </si>
  <si>
    <t xml:space="preserve">Séc</t>
  </si>
  <si>
    <t xml:space="preserve">P. Schmeichel</t>
  </si>
  <si>
    <t xml:space="preserve">Đan Mạch</t>
  </si>
  <si>
    <t xml:space="preserve">P. Scholes</t>
  </si>
  <si>
    <t xml:space="preserve">P. Vieira</t>
  </si>
  <si>
    <t xml:space="preserve">R. Ferdinand</t>
  </si>
  <si>
    <t xml:space="preserve">R. Koeman</t>
  </si>
  <si>
    <t xml:space="preserve">R. van Persie</t>
  </si>
  <si>
    <t xml:space="preserve">Raúl</t>
  </si>
  <si>
    <t xml:space="preserve">S. Gerrard</t>
  </si>
  <si>
    <t xml:space="preserve">T. Kroos</t>
  </si>
  <si>
    <t xml:space="preserve">Xabi Alonso</t>
  </si>
  <si>
    <t xml:space="preserve">B. Schweinsteiger</t>
  </si>
  <si>
    <t xml:space="preserve">Butragueño</t>
  </si>
  <si>
    <t xml:space="preserve">C. Makélélé</t>
  </si>
  <si>
    <t xml:space="preserve">C. Seedorf</t>
  </si>
  <si>
    <t xml:space="preserve">D. Trezeguet</t>
  </si>
  <si>
    <t xml:space="preserve">F. Ribéry</t>
  </si>
  <si>
    <t xml:space="preserve">Fernando Hierro</t>
  </si>
  <si>
    <t xml:space="preserve">Fernando Torres</t>
  </si>
  <si>
    <t xml:space="preserve">G. Bale</t>
  </si>
  <si>
    <t xml:space="preserve">LM</t>
  </si>
  <si>
    <t xml:space="preserve">G. Chiellini</t>
  </si>
  <si>
    <t xml:space="preserve">G. Hagi</t>
  </si>
  <si>
    <t xml:space="preserve">Romania</t>
  </si>
  <si>
    <t xml:space="preserve">Galatasaray</t>
  </si>
  <si>
    <t xml:space="preserve">G. Lineker</t>
  </si>
  <si>
    <t xml:space="preserve">Tottenham</t>
  </si>
  <si>
    <t xml:space="preserve">H. Crespo</t>
  </si>
  <si>
    <t xml:space="preserve">H. Stoichkov</t>
  </si>
  <si>
    <t xml:space="preserve">Bulgaria</t>
  </si>
  <si>
    <t xml:space="preserve">L. Blanc</t>
  </si>
  <si>
    <t xml:space="preserve">M. Desailly</t>
  </si>
  <si>
    <t xml:space="preserve">M. Laudrup</t>
  </si>
  <si>
    <t xml:space="preserve">N. Vidić</t>
  </si>
  <si>
    <t xml:space="preserve">Serbia</t>
  </si>
  <si>
    <t xml:space="preserve">P. Čech</t>
  </si>
  <si>
    <t xml:space="preserve">Park Ji-sung</t>
  </si>
  <si>
    <t xml:space="preserve">R. Keane</t>
  </si>
  <si>
    <t xml:space="preserve">Ireland</t>
  </si>
  <si>
    <t xml:space="preserve">Y. Touré</t>
  </si>
  <si>
    <t xml:space="preserve">Manchester Xanh</t>
  </si>
  <si>
    <t xml:space="preserve">A. Cole</t>
  </si>
  <si>
    <t xml:space="preserve">E. Petit</t>
  </si>
  <si>
    <t xml:space="preserve">E. van der Sar</t>
  </si>
  <si>
    <t xml:space="preserve">G. Gattuso</t>
  </si>
  <si>
    <t xml:space="preserve">G. Zambrotta</t>
  </si>
  <si>
    <t xml:space="preserve">H. Larsson</t>
  </si>
  <si>
    <t xml:space="preserve">I. Wright</t>
  </si>
  <si>
    <t xml:space="preserve">M. Essien</t>
  </si>
  <si>
    <t xml:space="preserve">Ghana</t>
  </si>
  <si>
    <t xml:space="preserve">P. Kluivert</t>
  </si>
  <si>
    <t xml:space="preserve">Rui Costa</t>
  </si>
  <si>
    <t xml:space="preserve">Sócrates</t>
  </si>
  <si>
    <t xml:space="preserve">Corinthians</t>
  </si>
  <si>
    <t xml:space="preserve">Verón</t>
  </si>
  <si>
    <t xml:space="preserve">Lazio</t>
  </si>
  <si>
    <t xml:space="preserve">F. Ljungberg</t>
  </si>
  <si>
    <t xml:space="preserve">G. Zola</t>
  </si>
  <si>
    <t xml:space="preserve">J. Litmanen</t>
  </si>
  <si>
    <t xml:space="preserve">Phần Lan</t>
  </si>
  <si>
    <t xml:space="preserve">Paulo Futre</t>
  </si>
  <si>
    <t xml:space="preserve">Atlético</t>
  </si>
  <si>
    <t xml:space="preserve">R. Pirès</t>
  </si>
  <si>
    <t xml:space="preserve">Riquelme</t>
  </si>
  <si>
    <t xml:space="preserve">Boca Juniors</t>
  </si>
  <si>
    <t xml:space="preserve">S. Campbell</t>
  </si>
  <si>
    <t xml:space="preserve">D. Šuker</t>
  </si>
  <si>
    <t xml:space="preserve">Croatia</t>
  </si>
  <si>
    <t xml:space="preserve">Sevilla</t>
  </si>
  <si>
    <t xml:space="preserve">J. Barnes</t>
  </si>
  <si>
    <t xml:space="preserve">J. Carragher</t>
  </si>
  <si>
    <t xml:space="preserve">J. Okocha</t>
  </si>
  <si>
    <t xml:space="preserve">Nigeria</t>
  </si>
  <si>
    <t xml:space="preserve">Paris</t>
  </si>
  <si>
    <t xml:space="preserve">L. Hernández</t>
  </si>
  <si>
    <t xml:space="preserve">Necaxa</t>
  </si>
  <si>
    <t xml:space="preserve">O. Bierhoff</t>
  </si>
  <si>
    <t xml:space="preserve">O. Solskjaer</t>
  </si>
  <si>
    <t xml:space="preserve">Na Uy</t>
  </si>
  <si>
    <t xml:space="preserve">H. Nakata</t>
  </si>
  <si>
    <t xml:space="preserve">Nhật Bản</t>
  </si>
  <si>
    <t xml:space="preserve">Parma</t>
  </si>
  <si>
    <t xml:space="preserve">H. Kane</t>
  </si>
  <si>
    <t xml:space="preserve">26TS</t>
  </si>
  <si>
    <t xml:space="preserve">K. Mbappé</t>
  </si>
  <si>
    <t xml:space="preserve">Lamine Yamal</t>
  </si>
  <si>
    <t xml:space="preserve">M. Olise</t>
  </si>
  <si>
    <t xml:space="preserve">Bruno Fernandes</t>
  </si>
  <si>
    <t xml:space="preserve">D. Rice</t>
  </si>
  <si>
    <t xml:space="preserve">E. Haaland</t>
  </si>
  <si>
    <t xml:space="preserve">Gabriel</t>
  </si>
  <si>
    <t xml:space="preserve">L. Díaz</t>
  </si>
  <si>
    <t xml:space="preserve">Colombia</t>
  </si>
  <si>
    <t xml:space="preserve">Pedri</t>
  </si>
  <si>
    <t xml:space="preserve">Vitinha</t>
  </si>
  <si>
    <t xml:space="preserve">F. Dimarco</t>
  </si>
  <si>
    <t xml:space="preserve">LWB</t>
  </si>
  <si>
    <t xml:space="preserve">Inter</t>
  </si>
  <si>
    <t xml:space="preserve">Igor Thiago</t>
  </si>
  <si>
    <t xml:space="preserve">Brentford</t>
  </si>
  <si>
    <t xml:space="preserve">L. Modrić</t>
  </si>
  <si>
    <t xml:space="preserve">Nico Paz</t>
  </si>
  <si>
    <t xml:space="preserve">Como</t>
  </si>
  <si>
    <t xml:space="preserve">W. Saliba</t>
  </si>
  <si>
    <t xml:space="preserve">A. Semenyo</t>
  </si>
  <si>
    <t xml:space="preserve">Bruno Guimarães</t>
  </si>
  <si>
    <t xml:space="preserve">Cristiano Ronaldo</t>
  </si>
  <si>
    <t xml:space="preserve">Al Nassr</t>
  </si>
  <si>
    <t xml:space="preserve">D. Raum</t>
  </si>
  <si>
    <t xml:space="preserve">Leipzig</t>
  </si>
  <si>
    <t xml:space="preserve">D. Szoboszlai</t>
  </si>
  <si>
    <t xml:space="preserve">David Raya</t>
  </si>
  <si>
    <t xml:space="preserve">F. Valverde</t>
  </si>
  <si>
    <t xml:space="preserve">Uruguay</t>
  </si>
  <si>
    <t xml:space="preserve">J. Kimmich</t>
  </si>
  <si>
    <t xml:space="preserve">J. Veerman</t>
  </si>
  <si>
    <t xml:space="preserve">PSV</t>
  </si>
  <si>
    <t xml:space="preserve">Jacobo Ramón</t>
  </si>
  <si>
    <t xml:space="preserve">João Pedro</t>
  </si>
  <si>
    <t xml:space="preserve">K. Kvaratskhelia</t>
  </si>
  <si>
    <t xml:space="preserve">Georgia</t>
  </si>
  <si>
    <t xml:space="preserve">K. Yıldız</t>
  </si>
  <si>
    <t xml:space="preserve">Thổ Nhĩ Kỳ</t>
  </si>
  <si>
    <t xml:space="preserve">L. Martínez</t>
  </si>
  <si>
    <t xml:space="preserve">L. Messi</t>
  </si>
  <si>
    <t xml:space="preserve">Inter Miami</t>
  </si>
  <si>
    <t xml:space="preserve">L. Suárez</t>
  </si>
  <si>
    <t xml:space="preserve">Sporting</t>
  </si>
  <si>
    <t xml:space="preserve">L. Vušković</t>
  </si>
  <si>
    <t xml:space="preserve">Hamburg</t>
  </si>
  <si>
    <t xml:space="preserve">Marcos Llorente</t>
  </si>
  <si>
    <t xml:space="preserve">N. Schlotterbeck</t>
  </si>
  <si>
    <t xml:space="preserve">Dortmund</t>
  </si>
  <si>
    <t xml:space="preserve">Nuno Mendes</t>
  </si>
  <si>
    <t xml:space="preserve">O. Dembélé</t>
  </si>
  <si>
    <t xml:space="preserve">V. Muriqi</t>
  </si>
  <si>
    <t xml:space="preserve">Kosovo</t>
  </si>
  <si>
    <t xml:space="preserve">Mallorca</t>
  </si>
  <si>
    <t xml:space="preserve">V. van Dijk</t>
  </si>
  <si>
    <t xml:space="preserve">A. Pavlović</t>
  </si>
  <si>
    <t xml:space="preserve">A. Rabiot</t>
  </si>
  <si>
    <t xml:space="preserve">A. Tchouaméni</t>
  </si>
  <si>
    <t xml:space="preserve">Bremer</t>
  </si>
  <si>
    <t xml:space="preserve">Casemiro</t>
  </si>
  <si>
    <t xml:space="preserve">D. Undav</t>
  </si>
  <si>
    <t xml:space="preserve">Stuttgart</t>
  </si>
  <si>
    <t xml:space="preserve">D. Upamecano</t>
  </si>
  <si>
    <t xml:space="preserve">E. Fernández</t>
  </si>
  <si>
    <t xml:space="preserve">Eric García</t>
  </si>
  <si>
    <t xml:space="preserve">F. Thauvin</t>
  </si>
  <si>
    <t xml:space="preserve">Lens</t>
  </si>
  <si>
    <t xml:space="preserve">G. Donnarumma</t>
  </si>
  <si>
    <t xml:space="preserve">G. Kobel</t>
  </si>
  <si>
    <t xml:space="preserve">Thụy Sĩ</t>
  </si>
  <si>
    <t xml:space="preserve">G. Xhaka</t>
  </si>
  <si>
    <t xml:space="preserve">Sunderland</t>
  </si>
  <si>
    <t xml:space="preserve">Grimaldo</t>
  </si>
  <si>
    <t xml:space="preserve">I. Saibari</t>
  </si>
  <si>
    <t xml:space="preserve">Ma-rốc</t>
  </si>
  <si>
    <t xml:space="preserve">J. Alvarez</t>
  </si>
  <si>
    <t xml:space="preserve">J. Tah</t>
  </si>
  <si>
    <t xml:space="preserve">J. Timber</t>
  </si>
  <si>
    <t xml:space="preserve">Joan García</t>
  </si>
  <si>
    <t xml:space="preserve">João Félix</t>
  </si>
  <si>
    <t xml:space="preserve">M. Godts</t>
  </si>
  <si>
    <t xml:space="preserve">Bỉ</t>
  </si>
  <si>
    <t xml:space="preserve">M. Locatelli</t>
  </si>
  <si>
    <t xml:space="preserve">M. Sangaré</t>
  </si>
  <si>
    <t xml:space="preserve">Mali</t>
  </si>
  <si>
    <t xml:space="preserve">M. Sarr</t>
  </si>
  <si>
    <t xml:space="preserve">M. Udol</t>
  </si>
  <si>
    <t xml:space="preserve">Mauro Júnior</t>
  </si>
  <si>
    <t xml:space="preserve">N. O'Reilly</t>
  </si>
  <si>
    <t xml:space="preserve">Oyarzabal</t>
  </si>
  <si>
    <t xml:space="preserve">Real Sociedad</t>
  </si>
  <si>
    <t xml:space="preserve">R. Cherki</t>
  </si>
  <si>
    <t xml:space="preserve">R. James</t>
  </si>
  <si>
    <t xml:space="preserve">Raphinha</t>
  </si>
  <si>
    <t xml:space="preserve">S. Gnabry</t>
  </si>
  <si>
    <t xml:space="preserve">S. McTominay</t>
  </si>
  <si>
    <t xml:space="preserve">S. Mouriño</t>
  </si>
  <si>
    <t xml:space="preserve">Villarreal</t>
  </si>
  <si>
    <t xml:space="preserve">T. Courtois</t>
  </si>
  <si>
    <t xml:space="preserve">A. Ezzalzouli</t>
  </si>
  <si>
    <t xml:space="preserve">Real Betis</t>
  </si>
  <si>
    <t xml:space="preserve">A. Saelemaekers</t>
  </si>
  <si>
    <t xml:space="preserve">RWB</t>
  </si>
  <si>
    <t xml:space="preserve">A. Stiller</t>
  </si>
  <si>
    <t xml:space="preserve">A. Thomasson</t>
  </si>
  <si>
    <t xml:space="preserve">Aleix García</t>
  </si>
  <si>
    <t xml:space="preserve">B. Barcola</t>
  </si>
  <si>
    <t xml:space="preserve">C. Tolisso</t>
  </si>
  <si>
    <t xml:space="preserve">Lyon</t>
  </si>
  <si>
    <t xml:space="preserve">Carlos Romero</t>
  </si>
  <si>
    <t xml:space="preserve">Espanyol</t>
  </si>
  <si>
    <t xml:space="preserve">D. Bouanga</t>
  </si>
  <si>
    <t xml:space="preserve">Gabon</t>
  </si>
  <si>
    <t xml:space="preserve">LAFC</t>
  </si>
  <si>
    <t xml:space="preserve">E. Ndicka</t>
  </si>
  <si>
    <t xml:space="preserve">H. Koffi</t>
  </si>
  <si>
    <t xml:space="preserve">Burkina Faso</t>
  </si>
  <si>
    <t xml:space="preserve">Angers</t>
  </si>
  <si>
    <t xml:space="preserve">H. Son</t>
  </si>
  <si>
    <t xml:space="preserve">H. Wilson</t>
  </si>
  <si>
    <t xml:space="preserve">Fulham</t>
  </si>
  <si>
    <t xml:space="preserve">I. Toney</t>
  </si>
  <si>
    <t xml:space="preserve">Al Ahli</t>
  </si>
  <si>
    <t xml:space="preserve">J. Bednarek</t>
  </si>
  <si>
    <t xml:space="preserve">Ba Lan</t>
  </si>
  <si>
    <t xml:space="preserve">Porto</t>
  </si>
  <si>
    <t xml:space="preserve">J. Panichelli</t>
  </si>
  <si>
    <t xml:space="preserve">Strasbourg</t>
  </si>
  <si>
    <t xml:space="preserve">J. Quiñones</t>
  </si>
  <si>
    <t xml:space="preserve">Al Qadsiah</t>
  </si>
  <si>
    <t xml:space="preserve">J. Ryerson</t>
  </si>
  <si>
    <t xml:space="preserve">L. Karl</t>
  </si>
  <si>
    <t xml:space="preserve">Luis Milla</t>
  </si>
  <si>
    <t xml:space="preserve">Getafe</t>
  </si>
  <si>
    <t xml:space="preserve">M. Akanji</t>
  </si>
  <si>
    <t xml:space="preserve">M. Maignan</t>
  </si>
  <si>
    <t xml:space="preserve">M. Palestra</t>
  </si>
  <si>
    <t xml:space="preserve">Cagliari</t>
  </si>
  <si>
    <t xml:space="preserve">M. Svilar</t>
  </si>
  <si>
    <t xml:space="preserve">Marc Cucurella</t>
  </si>
  <si>
    <t xml:space="preserve">P. Zieliński</t>
  </si>
  <si>
    <t xml:space="preserve">Pablo Fornals</t>
  </si>
  <si>
    <t xml:space="preserve">Pau Cubarsí</t>
  </si>
  <si>
    <t xml:space="preserve">Pubill</t>
  </si>
  <si>
    <t xml:space="preserve">Rúben Neves</t>
  </si>
  <si>
    <t xml:space="preserve">Al Hilal</t>
  </si>
  <si>
    <t xml:space="preserve">S. Guirassy</t>
  </si>
  <si>
    <t xml:space="preserve">Guinea</t>
  </si>
  <si>
    <t xml:space="preserve">Trincão</t>
  </si>
  <si>
    <t xml:space="preserve">V. Coufal</t>
  </si>
  <si>
    <t xml:space="preserve">CH Séc</t>
  </si>
  <si>
    <t xml:space="preserve">Hoffenheim</t>
  </si>
  <si>
    <t xml:space="preserve">V. Rongier</t>
  </si>
  <si>
    <t xml:space="preserve">Rennes</t>
  </si>
  <si>
    <t xml:space="preserve">W. McKennie</t>
  </si>
  <si>
    <t xml:space="preserve">Mỹ</t>
  </si>
  <si>
    <t xml:space="preserve">W. Pacho</t>
  </si>
  <si>
    <t xml:space="preserve">Ecuador</t>
  </si>
  <si>
    <t xml:space="preserve">W. Zaïre-Emery</t>
  </si>
  <si>
    <t xml:space="preserve">Wesley</t>
  </si>
  <si>
    <t xml:space="preserve">A. Dreyer</t>
  </si>
  <si>
    <t xml:space="preserve">San Diego FC</t>
  </si>
  <si>
    <t xml:space="preserve">A. Kramarić</t>
  </si>
  <si>
    <t xml:space="preserve">A. Ueda</t>
  </si>
  <si>
    <t xml:space="preserve">Feyenoord</t>
  </si>
  <si>
    <t xml:space="preserve">Aleix Febas</t>
  </si>
  <si>
    <t xml:space="preserve">Elche</t>
  </si>
  <si>
    <t xml:space="preserve">B. André</t>
  </si>
  <si>
    <t xml:space="preserve">Lille</t>
  </si>
  <si>
    <t xml:space="preserve">Borja Iglesias</t>
  </si>
  <si>
    <t xml:space="preserve">Celta</t>
  </si>
  <si>
    <t xml:space="preserve">C. Baumgartner</t>
  </si>
  <si>
    <t xml:space="preserve">Áo</t>
  </si>
  <si>
    <t xml:space="preserve">D. Welbeck</t>
  </si>
  <si>
    <t xml:space="preserve">Brighton</t>
  </si>
  <si>
    <t xml:space="preserve">E. Lepaul</t>
  </si>
  <si>
    <t xml:space="preserve">Evander</t>
  </si>
  <si>
    <t xml:space="preserve">FC Cincinnati</t>
  </si>
  <si>
    <t xml:space="preserve">J. Kiwior</t>
  </si>
  <si>
    <t xml:space="preserve">J. Schouten</t>
  </si>
  <si>
    <t xml:space="preserve">K. Fortounis</t>
  </si>
  <si>
    <t xml:space="preserve">Hy Lạp</t>
  </si>
  <si>
    <t xml:space="preserve">Al Khaleej</t>
  </si>
  <si>
    <t xml:space="preserve">K. Koulibaly</t>
  </si>
  <si>
    <t xml:space="preserve">Senegal</t>
  </si>
  <si>
    <t xml:space="preserve">K. Sano</t>
  </si>
  <si>
    <t xml:space="preserve">NEC Nijmegen</t>
  </si>
  <si>
    <t xml:space="preserve">L. Camara</t>
  </si>
  <si>
    <t xml:space="preserve">Monaco</t>
  </si>
  <si>
    <t xml:space="preserve">M. Akliouche</t>
  </si>
  <si>
    <t xml:space="preserve">M. Niakhaté</t>
  </si>
  <si>
    <t xml:space="preserve">M. Perrone</t>
  </si>
  <si>
    <t xml:space="preserve">M. Simakan</t>
  </si>
  <si>
    <t xml:space="preserve">Moleiro</t>
  </si>
  <si>
    <t xml:space="preserve">N. Vlašić</t>
  </si>
  <si>
    <t xml:space="preserve">Torino FC</t>
  </si>
  <si>
    <t xml:space="preserve">P. Aubameyang</t>
  </si>
  <si>
    <t xml:space="preserve">Marseille</t>
  </si>
  <si>
    <t xml:space="preserve">P. Šulc</t>
  </si>
  <si>
    <t xml:space="preserve">R. Højlund</t>
  </si>
  <si>
    <t xml:space="preserve">R. Zalazar</t>
  </si>
  <si>
    <t xml:space="preserve">Braga</t>
  </si>
  <si>
    <t xml:space="preserve">S. Al Dawsari</t>
  </si>
  <si>
    <t xml:space="preserve">Ả Rập Xê Út</t>
  </si>
  <si>
    <t xml:space="preserve">S. Surridge</t>
  </si>
  <si>
    <t xml:space="preserve">Nashville SC</t>
  </si>
  <si>
    <t xml:space="preserve">T. Douvikas</t>
  </si>
  <si>
    <t xml:space="preserve">V. Pavlidis</t>
  </si>
  <si>
    <t xml:space="preserve">Y. Carrasco</t>
  </si>
  <si>
    <t xml:space="preserve">Al Shabab</t>
  </si>
  <si>
    <t xml:space="preserve">B. van Rooij</t>
  </si>
  <si>
    <t xml:space="preserve">Twente</t>
  </si>
  <si>
    <t xml:space="preserve">D. Nejašmić</t>
  </si>
  <si>
    <t xml:space="preserve">F. Aursnes</t>
  </si>
  <si>
    <t xml:space="preserve">Ibañez</t>
  </si>
  <si>
    <t xml:space="preserve">L. Carević</t>
  </si>
  <si>
    <t xml:space="preserve">Montenegro</t>
  </si>
  <si>
    <t xml:space="preserve">Famalicão</t>
  </si>
  <si>
    <t xml:space="preserve">O. Baumann</t>
  </si>
  <si>
    <t xml:space="preserve">R. Koeman Jr.</t>
  </si>
  <si>
    <t xml:space="preserve">Telstar</t>
  </si>
  <si>
    <t xml:space="preserve">S. Berhalter</t>
  </si>
  <si>
    <t xml:space="preserve">Hoa Kỳ</t>
  </si>
  <si>
    <t xml:space="preserve">Vancouver Whitecaps</t>
  </si>
  <si>
    <t xml:space="preserve">T. Watanabe</t>
  </si>
  <si>
    <t xml:space="preserve">V. Froholdt</t>
  </si>
  <si>
    <t xml:space="preserve">Y. Begraoui</t>
  </si>
  <si>
    <t xml:space="preserve">Estoril</t>
  </si>
  <si>
    <t xml:space="preserve">A. Najar</t>
  </si>
  <si>
    <t xml:space="preserve">Honduras</t>
  </si>
  <si>
    <t xml:space="preserve">C. Roldan</t>
  </si>
  <si>
    <t xml:space="preserve">Seattle Sounders</t>
  </si>
  <si>
    <t xml:space="preserve">D. St. Clair</t>
  </si>
  <si>
    <t xml:space="preserve">Canada</t>
  </si>
  <si>
    <t xml:space="preserve">J. Glesnes</t>
  </si>
  <si>
    <t xml:space="preserve">LA Galaxy</t>
  </si>
  <si>
    <t xml:space="preserve">Mailson</t>
  </si>
  <si>
    <t xml:space="preserve">Al Taawoun</t>
  </si>
  <si>
    <t xml:space="preserve">T. Blackmon</t>
  </si>
  <si>
    <t xml:space="preserve">NO.7</t>
  </si>
  <si>
    <t xml:space="preserve">B. Saka</t>
  </si>
  <si>
    <t xml:space="preserve">D. Forlán</t>
  </si>
  <si>
    <t xml:space="preserve">E. Butragueño</t>
  </si>
  <si>
    <t xml:space="preserve">Los Angeles FC</t>
  </si>
  <si>
    <t xml:space="preserve">N. Kanté</t>
  </si>
  <si>
    <t xml:space="preserve">Al Ittihad</t>
  </si>
  <si>
    <t xml:space="preserve">Park Ji Sung</t>
  </si>
  <si>
    <t xml:space="preserve">Celtic</t>
  </si>
  <si>
    <t xml:space="preserve">Ramires</t>
  </si>
  <si>
    <t xml:space="preserve">T. Rosický</t>
  </si>
  <si>
    <t xml:space="preserve">Pedro Neto</t>
  </si>
  <si>
    <t xml:space="preserve">R. Mahrez</t>
  </si>
  <si>
    <t xml:space="preserve">Algeria</t>
  </si>
  <si>
    <t xml:space="preserve">Nguyễn Quang Hải</t>
  </si>
  <si>
    <t xml:space="preserve">INFINITE PRIME</t>
  </si>
  <si>
    <t xml:space="preserve">Việt Nam</t>
  </si>
  <si>
    <t xml:space="preserve">Lúcio</t>
  </si>
  <si>
    <t xml:space="preserve">J. Stam</t>
  </si>
  <si>
    <t xml:space="preserve">Marquinhos</t>
  </si>
  <si>
    <t xml:space="preserve">Đỗ Hùng Dũng</t>
  </si>
  <si>
    <t xml:space="preserve">C. Marchisio</t>
  </si>
  <si>
    <t xml:space="preserve">Zé Roberto</t>
  </si>
  <si>
    <t xml:space="preserve">Neymar Jr</t>
  </si>
  <si>
    <t xml:space="preserve">Roy Makaay</t>
  </si>
  <si>
    <t xml:space="preserve">Iván Zamorano</t>
  </si>
  <si>
    <t xml:space="preserve">Chile</t>
  </si>
  <si>
    <t xml:space="preserve">Bảng OVR và giá BP +1 đến +13 — mô hình nâng cấp theo phân nhóm CSV</t>
  </si>
  <si>
    <t xml:space="preserve">Nhóm CSV</t>
  </si>
  <si>
    <t xml:space="preserve">Ghi chú +9…+13</t>
  </si>
  <si>
    <t xml:space="preserve">Nguồn nhóm: phan_loai_cau_thu_fco.csv (người dùng cung cấp, 23/10/2026). 83 Nhóm 1, 96 Nhóm 2, 131 Nhóm 3.</t>
  </si>
  <si>
    <t xml:space="preserve">Giữ nguyên giá +1 ở cột J. Giá +2…+13 là công thức ROUND(giá +1 × hệ số tích lũy × điều chỉnh nhóm,0).</t>
  </si>
  <si>
    <t xml:space="preserve">Hệ số từng bước: 1.637; 1.75; 2.1; 2.3; 2.6; 3.2; 4.2; 2.4; 2.5; 2.8; 3.2; 3.8. Chỉ làm tròn ở giá cuối.</t>
  </si>
  <si>
    <t xml:space="preserve">Nhóm 1: biên nhiệt 25% từ +5 trở lên, giữ biên qua +8, không nhân chồng. Nhóm 2: giữ 100% giá chuẩn.</t>
  </si>
  <si>
    <t xml:space="preserve">Nhóm 3: +2…+4 giảm 20%; +5 = 7.5× giá +1; +6/+7 nội suy biên giảm; +8…+13 giảm 45% so với chuẩn.</t>
  </si>
  <si>
    <t xml:space="preserve">Nhóm 3 từ +9: Đóng băng thanh khoản (ghi chú mô phỏng, không khóa giao dịch). CSV không cung cấp số BP sàn OVR.</t>
  </si>
  <si>
    <t xml:space="preserve">Bảo hiểm từ +8 đến +12: 95% nếu OVR gốc ≤92; 80% nếu 93…100; 60% nếu ≥101. Không cộng phí vào giá thẻ.</t>
  </si>
  <si>
    <t xml:space="preserve">OVR cộng thêm: 0,1,2,4,6,8,11,15,17,19,21,24,27. Không tự triển khai Team Color hoặc chọn chỉ số ẩn.</t>
  </si>
  <si>
    <t xml:space="preserve">Sửa giá +1 rồi lưu và chạy npm run build để cập nhật game. Nhóm chỉnh bằng CSV rồi chạy script nhập nhóm. Giá cấp cao trong game luôn được tính từ +1.</t>
  </si>
  <si>
    <t xml:space="preserve">Không đổi ID hoặc tiêu đề. Cột OVR +2…+13 là công thức liên kết OVR gốc E. Lưu Excel để tính lại trước khi import.</t>
  </si>
  <si>
    <t xml:space="preserve">Đóng băng thanh khoản</t>
  </si>
</sst>
</file>

<file path=xl/styles.xml><?xml version="1.0" encoding="utf-8"?>
<styleSheet xmlns="http://schemas.openxmlformats.org/spreadsheetml/2006/main">
  <numFmts count="1">
    <numFmt numFmtId="164" formatCode="[&gt;=1000000000]0.0#,,,&quot; tỷ&quot;;[&gt;=1000000]0.0#,,&quot; tr&quot;;#,##0"/>
  </numFmts>
  <fonts count="8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2"/>
      <name val="Arial"/>
    </font>
    <font>
      <sz val="10"/>
      <color rgb="FF000000"/>
      <name val="Arial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2E5577"/>
      </patternFill>
    </fill>
    <fill>
      <patternFill patternType="solid">
        <fgColor rgb="FFEEF3F8"/>
      </patternFill>
    </fill>
    <fill>
      <patternFill patternType="solid">
        <fgColor rgb="FFFFF2B3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1F3B57"/>
      </patternFill>
    </fill>
    <fill>
      <patternFill patternType="solid">
        <fgColor rgb="FFFFF2B3"/>
      </patternFill>
    </fill>
    <fill>
      <patternFill patternType="solid">
        <fgColor rgb="FFFFF2B3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0" fontId="4" fillId="0" borderId="0" xfId="0" applyFont="1"/>
    <xf numFmtId="0" fontId="2" fillId="0" borderId="0" xfId="0" applyFont="1"/>
    <xf numFmtId="164" fontId="5" fillId="6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0" fontId="6" fillId="8" borderId="0" xfId="0" applyFont="1" applyFill="1"/>
    <xf numFmtId="0" fontId="7" fillId="0" borderId="0" xfId="0" applyFont="1"/>
    <xf numFmtId="0" fontId="2" fillId="0" borderId="1" xfId="0" applyFont="1" applyBorder="1" applyAlignment="1">
      <alignment wrapText="1"/>
    </xf>
    <xf numFmtId="164" fontId="3" fillId="9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wrapText="1"/>
    </xf>
    <xf numFmtId="164" fontId="3" fillId="10" borderId="1" xfId="0" applyNumberFormat="1" applyFont="1" applyFill="1" applyBorder="1" applyAlignment="1">
      <alignment horizontal="right"/>
    </xf>
    <xf numFmtId="164" fontId="3" fillId="11" borderId="1" xfId="0" applyNumberFormat="1" applyFont="1" applyFill="1" applyBorder="1" applyAlignment="1">
      <alignment horizontal="right"/>
    </xf>
  </cellXfs>
  <cellStyles count="1">
    <cellStyle name="Bình thường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Views>
    <sheetView tabSelected="1" workbookViewId="0">
      <pane xSplit="2" ySplit="2" topLeftCell="C361" activePane="bottomRight" state="frozen"/>
      <selection pane="topRight"/>
      <selection pane="bottomLeft"/>
      <selection pane="bottomRight" activeCell="L372" sqref="L372"/>
    </sheetView>
  </sheetViews>
  <sheetFormatPr defaultRowHeight="14.399999618530273"/>
  <cols>
    <col min="1" max="1" width="5" customWidth="1"/>
    <col min="2" max="2" width="20" customWidth="1"/>
    <col min="3" max="3" width="15.109375" customWidth="1"/>
    <col min="4" max="4" width="7" customWidth="1"/>
    <col min="5" max="5" width="8" customWidth="1"/>
    <col min="6" max="6" width="13" customWidth="1"/>
    <col min="7" max="7" width="15" customWidth="1"/>
    <col min="8" max="8" width="7" customWidth="1"/>
    <col min="9" max="9" width="5.44140625" customWidth="1"/>
    <col min="10" max="10" width="10.44140625" customWidth="1"/>
    <col min="11" max="11" width="5.44140625" customWidth="1"/>
    <col min="12" max="12" width="10.44140625" customWidth="1"/>
    <col min="13" max="13" width="5.44140625" customWidth="1"/>
    <col min="14" max="14" width="10.44140625" customWidth="1"/>
    <col min="15" max="15" width="5.44140625" customWidth="1"/>
    <col min="16" max="16" width="10.44140625" customWidth="1"/>
    <col min="17" max="17" width="5.44140625" customWidth="1"/>
    <col min="18" max="18" width="10.44140625" customWidth="1"/>
    <col min="19" max="19" width="5.44140625" customWidth="1"/>
    <col min="20" max="20" width="10.44140625" customWidth="1"/>
    <col min="21" max="21" width="5.44140625" customWidth="1"/>
    <col min="22" max="22" width="10.44140625" customWidth="1"/>
    <col min="23" max="23" width="5.44140625" customWidth="1"/>
    <col min="24" max="24" width="10.44140625" customWidth="1"/>
    <col min="25" max="25" width="5.44140625" customWidth="1"/>
    <col min="26" max="26" width="10.44140625" customWidth="1"/>
    <col min="27" max="27" width="5.44140625" customWidth="1"/>
    <col min="28" max="28" width="10.44140625" customWidth="1"/>
    <col min="29" max="29" width="5.44140625" customWidth="1"/>
    <col min="30" max="30" width="10.44140625" customWidth="1"/>
    <col min="31" max="31" width="5.44140625" customWidth="1"/>
    <col min="32" max="32" width="10.44140625" customWidth="1"/>
    <col min="33" max="33" width="5.44140625" customWidth="1"/>
    <col min="34" max="34" width="10.44140625" customWidth="1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/>
      <c r="K1" s="15" t="s">
        <v>9</v>
      </c>
      <c r="L1" s="15"/>
      <c r="M1" s="15" t="s">
        <v>10</v>
      </c>
      <c r="N1" s="15"/>
      <c r="O1" s="15" t="s">
        <v>11</v>
      </c>
      <c r="P1" s="15"/>
      <c r="Q1" s="15" t="s">
        <v>12</v>
      </c>
      <c r="R1" s="15"/>
      <c r="S1" s="15" t="s">
        <v>13</v>
      </c>
      <c r="T1" s="15"/>
      <c r="U1" s="15" t="s">
        <v>14</v>
      </c>
      <c r="V1" s="15"/>
      <c r="W1" s="15" t="s">
        <v>15</v>
      </c>
      <c r="X1" s="15"/>
      <c r="Y1" s="15" t="s">
        <v>16</v>
      </c>
      <c r="Z1" s="15"/>
      <c r="AA1" s="15" t="s">
        <v>17</v>
      </c>
      <c r="AB1" s="15"/>
      <c r="AC1" s="15" t="s">
        <v>18</v>
      </c>
      <c r="AD1" s="15"/>
      <c r="AE1" s="15" t="s">
        <v>19</v>
      </c>
      <c r="AF1" s="15"/>
      <c r="AG1" s="15" t="s">
        <v>20</v>
      </c>
      <c r="AH1" s="15"/>
    </row>
    <row r="2" hidden="1">
      <c r="A2" s="15"/>
      <c r="B2" s="15"/>
      <c r="C2" s="15"/>
      <c r="D2" s="15"/>
      <c r="E2" s="15"/>
      <c r="F2" s="15"/>
      <c r="G2" s="15"/>
      <c r="H2" s="15"/>
      <c r="I2" s="1" t="s">
        <v>21</v>
      </c>
      <c r="J2" s="1" t="s">
        <v>22</v>
      </c>
      <c r="K2" s="1" t="s">
        <v>21</v>
      </c>
      <c r="L2" s="1" t="s">
        <v>22</v>
      </c>
      <c r="M2" s="1" t="s">
        <v>21</v>
      </c>
      <c r="N2" s="1" t="s">
        <v>22</v>
      </c>
      <c r="O2" s="1" t="s">
        <v>21</v>
      </c>
      <c r="P2" s="1" t="s">
        <v>22</v>
      </c>
      <c r="Q2" s="1" t="s">
        <v>21</v>
      </c>
      <c r="R2" s="1" t="s">
        <v>22</v>
      </c>
      <c r="S2" s="1" t="s">
        <v>21</v>
      </c>
      <c r="T2" s="1" t="s">
        <v>22</v>
      </c>
      <c r="U2" s="1" t="s">
        <v>21</v>
      </c>
      <c r="V2" s="1" t="s">
        <v>22</v>
      </c>
      <c r="W2" s="1" t="s">
        <v>21</v>
      </c>
      <c r="X2" s="1" t="s">
        <v>22</v>
      </c>
      <c r="Y2" s="1" t="s">
        <v>21</v>
      </c>
      <c r="Z2" s="1" t="s">
        <v>22</v>
      </c>
      <c r="AA2" s="1" t="s">
        <v>21</v>
      </c>
      <c r="AB2" s="1" t="s">
        <v>22</v>
      </c>
      <c r="AC2" s="1" t="s">
        <v>21</v>
      </c>
      <c r="AD2" s="1" t="s">
        <v>22</v>
      </c>
      <c r="AE2" s="1" t="s">
        <v>21</v>
      </c>
      <c r="AF2" s="1" t="s">
        <v>22</v>
      </c>
      <c r="AG2" s="1" t="s">
        <v>21</v>
      </c>
      <c r="AH2" s="1" t="s">
        <v>22</v>
      </c>
    </row>
    <row r="3" hidden="1">
      <c r="A3" s="2">
        <v>49</v>
      </c>
      <c r="B3" s="2" t="s">
        <v>23</v>
      </c>
      <c r="C3" s="2" t="s">
        <v>24</v>
      </c>
      <c r="D3" s="2" t="s">
        <v>25</v>
      </c>
      <c r="E3" s="2">
        <v>127</v>
      </c>
      <c r="F3" s="2" t="s">
        <v>26</v>
      </c>
      <c r="G3" s="2" t="s">
        <v>27</v>
      </c>
      <c r="H3" s="2">
        <v>33</v>
      </c>
      <c r="I3" s="3">
        <v>127</v>
      </c>
      <c r="J3" s="4">
        <v>5100000000</v>
      </c>
      <c r="K3" s="5" t="n">
        <f t="shared" ref="K3:K66" si="0">$E3+1</f>
        <v>128</v>
      </c>
      <c r="L3" s="9" t="n">
        <f t="shared" ref="L3:L9" si="1">ROUND($J3*1.637*1,0)</f>
        <v>8348700000</v>
      </c>
      <c r="M3" s="3" t="n">
        <f t="shared" ref="M3:M66" si="2">$E3+2</f>
        <v>129</v>
      </c>
      <c r="N3" s="10" t="n">
        <f t="shared" ref="N3:N9" si="3">ROUND($J3*1.637*1.75*1,0)</f>
        <v>14610225000</v>
      </c>
      <c r="O3" s="5" t="n">
        <f t="shared" ref="O3:O66" si="4">$E3+4</f>
        <v>131</v>
      </c>
      <c r="P3" s="9" t="n">
        <f t="shared" ref="P3:P9" si="5">ROUND($J3*1.637*1.75*2.1*1,0)</f>
        <v>30681472500</v>
      </c>
      <c r="Q3" s="3" t="n">
        <f t="shared" ref="Q3:Q66" si="6">$E3+6</f>
        <v>133</v>
      </c>
      <c r="R3" s="10" t="n">
        <f>ROUND($J3*1.637*1.75*2.1*2.3*1.25,0)</f>
        <v>88209233438</v>
      </c>
      <c r="S3" s="5" t="n">
        <f t="shared" ref="S3:S66" si="7">$E3+8</f>
        <v>135</v>
      </c>
      <c r="T3" s="9" t="n">
        <f>ROUND($J3*1.637*1.75*2.1*2.3*2.6*1.25,0)</f>
        <v>229344006938</v>
      </c>
      <c r="U3" s="3" t="n">
        <f t="shared" ref="U3:U66" si="8">$E3+11</f>
        <v>138</v>
      </c>
      <c r="V3" s="10" t="n">
        <f>ROUND($J3*1.637*1.75*2.1*2.3*2.6*3.2*1.25,0)</f>
        <v>733900822200</v>
      </c>
      <c r="W3" s="5" t="n">
        <f t="shared" ref="W3:W66" si="9">$E3+15</f>
        <v>142</v>
      </c>
      <c r="X3" s="9" t="n">
        <f>ROUND($J3*1.637*1.75*2.1*2.3*2.6*3.2*4.2*1.25,0)</f>
        <v>3082383453240</v>
      </c>
      <c r="Y3" s="3" t="n">
        <f t="shared" ref="Y3:Y66" si="10">$E3+17</f>
        <v>144</v>
      </c>
      <c r="Z3" s="10" t="n">
        <f>ROUND($J3*1.637*1.75*2.1*2.3*2.6*3.2*4.2*2.4*1.25,0)</f>
        <v>7397720287776</v>
      </c>
      <c r="AA3" s="5" t="n">
        <f t="shared" ref="AA3:AA66" si="11">$E3+19</f>
        <v>146</v>
      </c>
      <c r="AB3" s="9" t="n">
        <f>ROUND($J3*1.637*1.75*2.1*2.3*2.6*3.2*4.2*2.4*2.5*1.25,0)</f>
        <v>18494300719440</v>
      </c>
      <c r="AC3" s="3" t="n">
        <f t="shared" ref="AC3:AC66" si="12">$E3+21</f>
        <v>148</v>
      </c>
      <c r="AD3" s="10" t="n">
        <f>ROUND($J3*1.637*1.75*2.1*2.3*2.6*3.2*4.2*2.4*2.5*2.8*1.25,0)</f>
        <v>51784042014432</v>
      </c>
      <c r="AE3" s="5" t="n">
        <f t="shared" ref="AE3:AE66" si="13">$E3+24</f>
        <v>151</v>
      </c>
      <c r="AF3" s="9" t="n">
        <f>ROUND($J3*1.637*1.75*2.1*2.3*2.6*3.2*4.2*2.4*2.5*2.8*3.2*1.25,0)</f>
        <v>165708934446182</v>
      </c>
      <c r="AG3" s="3" t="n">
        <f t="shared" ref="AG3:AG66" si="14">$E3+27</f>
        <v>154</v>
      </c>
      <c r="AH3" s="10" t="n">
        <f>ROUND($J3*1.637*1.75*2.1*2.3*2.6*3.2*4.2*2.4*2.5*2.8*3.2*3.8*1.25,0)</f>
        <v>629693950895493</v>
      </c>
    </row>
    <row r="4" hidden="1">
      <c r="A4" s="2">
        <v>31</v>
      </c>
      <c r="B4" s="2" t="s">
        <v>28</v>
      </c>
      <c r="C4" s="2" t="s">
        <v>24</v>
      </c>
      <c r="D4" s="2" t="s">
        <v>29</v>
      </c>
      <c r="E4" s="2">
        <v>127</v>
      </c>
      <c r="F4" s="2" t="s">
        <v>30</v>
      </c>
      <c r="G4" s="2" t="s">
        <v>31</v>
      </c>
      <c r="H4" s="2">
        <v>34</v>
      </c>
      <c r="I4" s="3">
        <v>127</v>
      </c>
      <c r="J4" s="4">
        <v>5820000000</v>
      </c>
      <c r="K4" s="5">
        <f t="shared" si="0"/>
        <v>128</v>
      </c>
      <c r="L4" s="9">
        <f t="shared" si="1"/>
        <v>9527340000</v>
      </c>
      <c r="M4" s="3">
        <f t="shared" si="2"/>
        <v>129</v>
      </c>
      <c r="N4" s="10">
        <f t="shared" si="3"/>
        <v>16672845000</v>
      </c>
      <c r="O4" s="5">
        <f t="shared" si="4"/>
        <v>131</v>
      </c>
      <c r="P4" s="9">
        <f t="shared" si="5"/>
        <v>35012974500</v>
      </c>
      <c r="Q4" s="3">
        <f t="shared" si="6"/>
        <v>133</v>
      </c>
      <c r="R4" s="10" t="n">
        <f>ROUND($J4*1.637*1.75*2.1*2.3*1.25,0)</f>
        <v>100662301688</v>
      </c>
      <c r="S4" s="5">
        <f t="shared" si="7"/>
        <v>135</v>
      </c>
      <c r="T4" s="9" t="n">
        <f>ROUND($J4*1.637*1.75*2.1*2.3*2.6*1.25,0)</f>
        <v>261721984388</v>
      </c>
      <c r="U4" s="3">
        <f t="shared" si="8"/>
        <v>138</v>
      </c>
      <c r="V4" s="10" t="n">
        <f>ROUND($J4*1.637*1.75*2.1*2.3*2.6*3.2*1.25,0)</f>
        <v>837510350040</v>
      </c>
      <c r="W4" s="5">
        <f t="shared" si="9"/>
        <v>142</v>
      </c>
      <c r="X4" s="9" t="n">
        <f>ROUND($J4*1.637*1.75*2.1*2.3*2.6*3.2*4.2*1.25,0)</f>
        <v>3517543470168</v>
      </c>
      <c r="Y4" s="3">
        <f t="shared" si="10"/>
        <v>144</v>
      </c>
      <c r="Z4" s="10" t="n">
        <f>ROUND($J4*1.637*1.75*2.1*2.3*2.6*3.2*4.2*2.4*1.25,0)</f>
        <v>8442104328403</v>
      </c>
      <c r="AA4" s="5">
        <f t="shared" si="11"/>
        <v>146</v>
      </c>
      <c r="AB4" s="9" t="n">
        <f>ROUND($J4*1.637*1.75*2.1*2.3*2.6*3.2*4.2*2.4*2.5*1.25,0)</f>
        <v>21105260821008</v>
      </c>
      <c r="AC4" s="3">
        <f t="shared" si="12"/>
        <v>148</v>
      </c>
      <c r="AD4" s="10" t="n">
        <f>ROUND($J4*1.637*1.75*2.1*2.3*2.6*3.2*4.2*2.4*2.5*2.8*1.25,0)</f>
        <v>59094730298822</v>
      </c>
      <c r="AE4" s="5">
        <f t="shared" si="13"/>
        <v>151</v>
      </c>
      <c r="AF4" s="9" t="n">
        <f>ROUND($J4*1.637*1.75*2.1*2.3*2.6*3.2*4.2*2.4*2.5*2.8*3.2*1.25,0)</f>
        <v>189103136956232</v>
      </c>
      <c r="AG4" s="3">
        <f t="shared" si="14"/>
        <v>154</v>
      </c>
      <c r="AH4" s="10" t="n">
        <f>ROUND($J4*1.637*1.75*2.1*2.3*2.6*3.2*4.2*2.4*2.5*2.8*3.2*3.8*1.25,0)</f>
        <v>718591920433680</v>
      </c>
    </row>
    <row r="5" hidden="1">
      <c r="A5" s="2">
        <v>52</v>
      </c>
      <c r="B5" s="2" t="s">
        <v>32</v>
      </c>
      <c r="C5" s="2" t="s">
        <v>24</v>
      </c>
      <c r="D5" s="2" t="s">
        <v>33</v>
      </c>
      <c r="E5" s="2">
        <v>126</v>
      </c>
      <c r="F5" s="2" t="s">
        <v>34</v>
      </c>
      <c r="G5" s="2" t="s">
        <v>35</v>
      </c>
      <c r="H5" s="2">
        <v>33</v>
      </c>
      <c r="I5" s="3">
        <v>126</v>
      </c>
      <c r="J5" s="4">
        <v>16400000000</v>
      </c>
      <c r="K5" s="5">
        <f t="shared" si="0"/>
        <v>127</v>
      </c>
      <c r="L5" s="9">
        <f t="shared" si="1"/>
        <v>26846800000</v>
      </c>
      <c r="M5" s="3">
        <f t="shared" si="2"/>
        <v>128</v>
      </c>
      <c r="N5" s="10">
        <f t="shared" si="3"/>
        <v>46981900000</v>
      </c>
      <c r="O5" s="5">
        <f t="shared" si="4"/>
        <v>130</v>
      </c>
      <c r="P5" s="9">
        <f t="shared" si="5"/>
        <v>98661990000</v>
      </c>
      <c r="Q5" s="3">
        <f t="shared" si="6"/>
        <v>132</v>
      </c>
      <c r="R5" s="10" t="n">
        <f>ROUND($J5*1.637*1.75*2.1*2.3*1.25,0)</f>
        <v>283653221250</v>
      </c>
      <c r="S5" s="5">
        <f t="shared" si="7"/>
        <v>134</v>
      </c>
      <c r="T5" s="9" t="n">
        <f>ROUND($J5*1.637*1.75*2.1*2.3*2.6*1.25,0)</f>
        <v>737498375250</v>
      </c>
      <c r="U5" s="3">
        <f t="shared" si="8"/>
        <v>137</v>
      </c>
      <c r="V5" s="10" t="n">
        <f>ROUND($J5*1.637*1.75*2.1*2.3*2.6*3.2*1.25,0)</f>
        <v>2359994800800</v>
      </c>
      <c r="W5" s="5">
        <f t="shared" si="9"/>
        <v>141</v>
      </c>
      <c r="X5" s="9" t="n">
        <f>ROUND($J5*1.637*1.75*2.1*2.3*2.6*3.2*4.2*1.25,0)</f>
        <v>9911978163360</v>
      </c>
      <c r="Y5" s="3">
        <f t="shared" si="10"/>
        <v>143</v>
      </c>
      <c r="Z5" s="10" t="n">
        <f>ROUND($J5*1.637*1.75*2.1*2.3*2.6*3.2*4.2*2.4*1.25,0)</f>
        <v>23788747592064</v>
      </c>
      <c r="AA5" s="5">
        <f t="shared" si="11"/>
        <v>145</v>
      </c>
      <c r="AB5" s="9" t="n">
        <f>ROUND($J5*1.637*1.75*2.1*2.3*2.6*3.2*4.2*2.4*2.5*1.25,0)</f>
        <v>59471868980160</v>
      </c>
      <c r="AC5" s="3">
        <f t="shared" si="12"/>
        <v>147</v>
      </c>
      <c r="AD5" s="10" t="n">
        <f>ROUND($J5*1.637*1.75*2.1*2.3*2.6*3.2*4.2*2.4*2.5*2.8*1.25,0)</f>
        <v>166521233144448</v>
      </c>
      <c r="AE5" s="5">
        <f t="shared" si="13"/>
        <v>150</v>
      </c>
      <c r="AF5" s="9" t="n">
        <f>ROUND($J5*1.637*1.75*2.1*2.3*2.6*3.2*4.2*2.4*2.5*2.8*3.2*1.25,0)</f>
        <v>532867946062234</v>
      </c>
      <c r="AG5" s="3">
        <f t="shared" si="14"/>
        <v>153</v>
      </c>
      <c r="AH5" s="10" t="n">
        <f>ROUND($J5*1.637*1.75*2.1*2.3*2.6*3.2*4.2*2.4*2.5*2.8*3.2*3.8*1.25,0)</f>
        <v>2024898195036490</v>
      </c>
    </row>
    <row r="6" hidden="1">
      <c r="A6" s="2">
        <v>53</v>
      </c>
      <c r="B6" s="2" t="s">
        <v>36</v>
      </c>
      <c r="C6" s="2" t="s">
        <v>24</v>
      </c>
      <c r="D6" s="2" t="s">
        <v>29</v>
      </c>
      <c r="E6" s="2">
        <v>126</v>
      </c>
      <c r="F6" s="2" t="s">
        <v>37</v>
      </c>
      <c r="G6" s="2" t="s">
        <v>38</v>
      </c>
      <c r="H6" s="2">
        <v>32</v>
      </c>
      <c r="I6" s="3">
        <v>126</v>
      </c>
      <c r="J6" s="4">
        <v>1968000000</v>
      </c>
      <c r="K6" s="5">
        <f t="shared" si="0"/>
        <v>127</v>
      </c>
      <c r="L6" s="9">
        <f t="shared" si="1"/>
        <v>3221616000</v>
      </c>
      <c r="M6" s="3">
        <f t="shared" si="2"/>
        <v>128</v>
      </c>
      <c r="N6" s="10">
        <f t="shared" si="3"/>
        <v>5637828000</v>
      </c>
      <c r="O6" s="5">
        <f t="shared" si="4"/>
        <v>130</v>
      </c>
      <c r="P6" s="9">
        <f t="shared" si="5"/>
        <v>11839438800</v>
      </c>
      <c r="Q6" s="3">
        <f t="shared" si="6"/>
        <v>132</v>
      </c>
      <c r="R6" s="10" t="n">
        <f>ROUND($J6*1.637*1.75*2.1*2.3*1,0)</f>
        <v>27230709240</v>
      </c>
      <c r="S6" s="5">
        <f t="shared" si="7"/>
        <v>134</v>
      </c>
      <c r="T6" s="9" t="n">
        <f>ROUND($J6*1.637*1.75*2.1*2.3*2.6*1,0)</f>
        <v>70799844024</v>
      </c>
      <c r="U6" s="3">
        <f t="shared" si="8"/>
        <v>137</v>
      </c>
      <c r="V6" s="10" t="n">
        <f>ROUND($J6*1.637*1.75*2.1*2.3*2.6*3.2*1,0)</f>
        <v>226559500877</v>
      </c>
      <c r="W6" s="5">
        <f t="shared" si="9"/>
        <v>141</v>
      </c>
      <c r="X6" s="9" t="n">
        <f>ROUND($J6*1.637*1.75*2.1*2.3*2.6*3.2*4.2*1,0)</f>
        <v>951549903683</v>
      </c>
      <c r="Y6" s="3">
        <f t="shared" si="10"/>
        <v>143</v>
      </c>
      <c r="Z6" s="10" t="n">
        <f>ROUND($J6*1.637*1.75*2.1*2.3*2.6*3.2*4.2*2.4*1,0)</f>
        <v>2283719768838</v>
      </c>
      <c r="AA6" s="5">
        <f t="shared" si="11"/>
        <v>145</v>
      </c>
      <c r="AB6" s="9" t="n">
        <f>ROUND($J6*1.637*1.75*2.1*2.3*2.6*3.2*4.2*2.4*2.5*1,0)</f>
        <v>5709299422095</v>
      </c>
      <c r="AC6" s="3">
        <f t="shared" si="12"/>
        <v>147</v>
      </c>
      <c r="AD6" s="10" t="n">
        <f>ROUND($J6*1.637*1.75*2.1*2.3*2.6*3.2*4.2*2.4*2.5*2.8*1,0)</f>
        <v>15986038381867</v>
      </c>
      <c r="AE6" s="5">
        <f t="shared" si="13"/>
        <v>150</v>
      </c>
      <c r="AF6" s="9" t="n">
        <f>ROUND($J6*1.637*1.75*2.1*2.3*2.6*3.2*4.2*2.4*2.5*2.8*3.2*1,0)</f>
        <v>51155322821974</v>
      </c>
      <c r="AG6" s="3">
        <f t="shared" si="14"/>
        <v>153</v>
      </c>
      <c r="AH6" s="10" t="n">
        <f>ROUND($J6*1.637*1.75*2.1*2.3*2.6*3.2*4.2*2.4*2.5*2.8*3.2*3.8*1,0)</f>
        <v>194390226723503</v>
      </c>
    </row>
    <row r="7" hidden="1">
      <c r="A7" s="2">
        <v>51</v>
      </c>
      <c r="B7" s="2" t="s">
        <v>39</v>
      </c>
      <c r="C7" s="2" t="s">
        <v>24</v>
      </c>
      <c r="D7" s="2" t="s">
        <v>40</v>
      </c>
      <c r="E7" s="2">
        <v>126</v>
      </c>
      <c r="F7" s="2" t="s">
        <v>34</v>
      </c>
      <c r="G7" s="2" t="s">
        <v>35</v>
      </c>
      <c r="H7" s="2">
        <v>34</v>
      </c>
      <c r="I7" s="3">
        <v>126</v>
      </c>
      <c r="J7" s="4">
        <v>3859600000</v>
      </c>
      <c r="K7" s="5">
        <f t="shared" si="0"/>
        <v>127</v>
      </c>
      <c r="L7" s="9">
        <f t="shared" si="1"/>
        <v>6318165200</v>
      </c>
      <c r="M7" s="3">
        <f t="shared" si="2"/>
        <v>128</v>
      </c>
      <c r="N7" s="10">
        <f t="shared" si="3"/>
        <v>11056789100</v>
      </c>
      <c r="O7" s="5">
        <f t="shared" si="4"/>
        <v>130</v>
      </c>
      <c r="P7" s="9">
        <f t="shared" si="5"/>
        <v>23219257110</v>
      </c>
      <c r="Q7" s="3">
        <f t="shared" si="6"/>
        <v>132</v>
      </c>
      <c r="R7" s="10" t="n">
        <f>ROUND($J7*1.637*1.75*2.1*2.3*1.25,0)</f>
        <v>66755364191</v>
      </c>
      <c r="S7" s="5">
        <f t="shared" si="7"/>
        <v>134</v>
      </c>
      <c r="T7" s="9" t="n">
        <f>ROUND($J7*1.637*1.75*2.1*2.3*2.6*1.25,0)</f>
        <v>173563946897</v>
      </c>
      <c r="U7" s="3">
        <f t="shared" si="8"/>
        <v>137</v>
      </c>
      <c r="V7" s="10" t="n">
        <f>ROUND($J7*1.637*1.75*2.1*2.3*2.6*3.2*1.25,0)</f>
        <v>555404630071</v>
      </c>
      <c r="W7" s="5">
        <f t="shared" si="9"/>
        <v>141</v>
      </c>
      <c r="X7" s="9" t="n">
        <f>ROUND($J7*1.637*1.75*2.1*2.3*2.6*3.2*4.2*1.25,0)</f>
        <v>2332699446299</v>
      </c>
      <c r="Y7" s="3">
        <f t="shared" si="10"/>
        <v>143</v>
      </c>
      <c r="Z7" s="10" t="n">
        <f>ROUND($J7*1.637*1.75*2.1*2.3*2.6*3.2*4.2*2.4*1.25,0)</f>
        <v>5598478671118</v>
      </c>
      <c r="AA7" s="5">
        <f t="shared" si="11"/>
        <v>145</v>
      </c>
      <c r="AB7" s="9" t="n">
        <f>ROUND($J7*1.637*1.75*2.1*2.3*2.6*3.2*4.2*2.4*2.5*1.25,0)</f>
        <v>13996196677794</v>
      </c>
      <c r="AC7" s="3">
        <f t="shared" si="12"/>
        <v>147</v>
      </c>
      <c r="AD7" s="10" t="n">
        <f>ROUND($J7*1.637*1.75*2.1*2.3*2.6*3.2*4.2*2.4*2.5*2.8*1.25,0)</f>
        <v>39189350697824</v>
      </c>
      <c r="AE7" s="5">
        <f t="shared" si="13"/>
        <v>150</v>
      </c>
      <c r="AF7" s="9" t="n">
        <f>ROUND($J7*1.637*1.75*2.1*2.3*2.6*3.2*4.2*2.4*2.5*2.8*3.2*1.25,0)</f>
        <v>125405922233036</v>
      </c>
      <c r="AG7" s="3">
        <f t="shared" si="14"/>
        <v>153</v>
      </c>
      <c r="AH7" s="10" t="n">
        <f>ROUND($J7*1.637*1.75*2.1*2.3*2.6*3.2*4.2*2.4*2.5*2.8*3.2*3.8*1.25,0)</f>
        <v>476542504485538</v>
      </c>
    </row>
    <row r="8" hidden="1">
      <c r="A8" s="2">
        <v>32</v>
      </c>
      <c r="B8" s="2" t="s">
        <v>41</v>
      </c>
      <c r="C8" s="2" t="s">
        <v>24</v>
      </c>
      <c r="D8" s="2" t="s">
        <v>29</v>
      </c>
      <c r="E8" s="2">
        <v>126</v>
      </c>
      <c r="F8" s="2" t="s">
        <v>42</v>
      </c>
      <c r="G8" s="2" t="s">
        <v>43</v>
      </c>
      <c r="H8" s="2">
        <v>33</v>
      </c>
      <c r="I8" s="3">
        <v>126</v>
      </c>
      <c r="J8" s="4">
        <v>2760000000</v>
      </c>
      <c r="K8" s="5">
        <f t="shared" si="0"/>
        <v>127</v>
      </c>
      <c r="L8" s="9">
        <f t="shared" si="1"/>
        <v>4518120000</v>
      </c>
      <c r="M8" s="3">
        <f t="shared" si="2"/>
        <v>128</v>
      </c>
      <c r="N8" s="10">
        <f t="shared" si="3"/>
        <v>7906710000</v>
      </c>
      <c r="O8" s="5">
        <f t="shared" si="4"/>
        <v>130</v>
      </c>
      <c r="P8" s="9">
        <f t="shared" si="5"/>
        <v>16604091000</v>
      </c>
      <c r="Q8" s="3">
        <f t="shared" si="6"/>
        <v>132</v>
      </c>
      <c r="R8" s="10" t="n">
        <f>ROUND($J8*1.637*1.75*2.1*2.3*1.25,0)</f>
        <v>47736761625</v>
      </c>
      <c r="S8" s="5">
        <f t="shared" si="7"/>
        <v>134</v>
      </c>
      <c r="T8" s="9" t="n">
        <f>ROUND($J8*1.637*1.75*2.1*2.3*2.6*1.25,0)</f>
        <v>124115580225</v>
      </c>
      <c r="U8" s="3">
        <f t="shared" si="8"/>
        <v>137</v>
      </c>
      <c r="V8" s="10" t="n">
        <f>ROUND($J8*1.637*1.75*2.1*2.3*2.6*3.2*1.25,0)</f>
        <v>397169856720</v>
      </c>
      <c r="W8" s="5">
        <f t="shared" si="9"/>
        <v>141</v>
      </c>
      <c r="X8" s="9" t="n">
        <f>ROUND($J8*1.637*1.75*2.1*2.3*2.6*3.2*4.2*1.25,0)</f>
        <v>1668113398224</v>
      </c>
      <c r="Y8" s="3">
        <f t="shared" si="10"/>
        <v>143</v>
      </c>
      <c r="Z8" s="10" t="n">
        <f>ROUND($J8*1.637*1.75*2.1*2.3*2.6*3.2*4.2*2.4*1.25,0)</f>
        <v>4003472155738</v>
      </c>
      <c r="AA8" s="5">
        <f t="shared" si="11"/>
        <v>145</v>
      </c>
      <c r="AB8" s="9" t="n">
        <f>ROUND($J8*1.637*1.75*2.1*2.3*2.6*3.2*4.2*2.4*2.5*1.25,0)</f>
        <v>10008680389344</v>
      </c>
      <c r="AC8" s="3">
        <f t="shared" si="12"/>
        <v>147</v>
      </c>
      <c r="AD8" s="10" t="n">
        <f>ROUND($J8*1.637*1.75*2.1*2.3*2.6*3.2*4.2*2.4*2.5*2.8*1.25,0)</f>
        <v>28024305090163</v>
      </c>
      <c r="AE8" s="5">
        <f t="shared" si="13"/>
        <v>150</v>
      </c>
      <c r="AF8" s="9" t="n">
        <f>ROUND($J8*1.637*1.75*2.1*2.3*2.6*3.2*4.2*2.4*2.5*2.8*3.2*1.25,0)</f>
        <v>89677776288522</v>
      </c>
      <c r="AG8" s="3">
        <f t="shared" si="14"/>
        <v>153</v>
      </c>
      <c r="AH8" s="10" t="n">
        <f>ROUND($J8*1.637*1.75*2.1*2.3*2.6*3.2*4.2*2.4*2.5*2.8*3.2*3.8*1.25,0)</f>
        <v>340775549896384</v>
      </c>
    </row>
    <row r="9" hidden="1">
      <c r="A9" s="2">
        <v>236</v>
      </c>
      <c r="B9" s="2" t="s">
        <v>44</v>
      </c>
      <c r="C9" s="2" t="s">
        <v>24</v>
      </c>
      <c r="D9" s="2" t="s">
        <v>45</v>
      </c>
      <c r="E9" s="2">
        <v>126</v>
      </c>
      <c r="F9" s="2" t="s">
        <v>34</v>
      </c>
      <c r="G9" s="2" t="s">
        <v>35</v>
      </c>
      <c r="H9" s="2">
        <v>33</v>
      </c>
      <c r="I9" s="3">
        <v>126</v>
      </c>
      <c r="J9" s="4">
        <v>6430000000</v>
      </c>
      <c r="K9" s="5">
        <f t="shared" si="0"/>
        <v>127</v>
      </c>
      <c r="L9" s="9">
        <f t="shared" si="1"/>
        <v>10525910000</v>
      </c>
      <c r="M9" s="3">
        <f t="shared" si="2"/>
        <v>128</v>
      </c>
      <c r="N9" s="10">
        <f t="shared" si="3"/>
        <v>18420342500</v>
      </c>
      <c r="O9" s="5">
        <f t="shared" si="4"/>
        <v>130</v>
      </c>
      <c r="P9" s="9">
        <f t="shared" si="5"/>
        <v>38682719250</v>
      </c>
      <c r="Q9" s="3">
        <f t="shared" si="6"/>
        <v>132</v>
      </c>
      <c r="R9" s="10" t="n">
        <f>ROUND($J9*1.637*1.75*2.1*2.3*1.25,0)</f>
        <v>111212817844</v>
      </c>
      <c r="S9" s="5">
        <f t="shared" si="7"/>
        <v>134</v>
      </c>
      <c r="T9" s="9" t="n">
        <f>ROUND($J9*1.637*1.75*2.1*2.3*2.6*1.25,0)</f>
        <v>289153326394</v>
      </c>
      <c r="U9" s="3">
        <f t="shared" si="8"/>
        <v>137</v>
      </c>
      <c r="V9" s="10" t="n">
        <f>ROUND($J9*1.637*1.75*2.1*2.3*2.6*3.2*1.25,0)</f>
        <v>925290644460</v>
      </c>
      <c r="W9" s="5">
        <f t="shared" si="9"/>
        <v>141</v>
      </c>
      <c r="X9" s="9" t="n">
        <f>ROUND($J9*1.637*1.75*2.1*2.3*2.6*3.2*4.2*1.25,0)</f>
        <v>3886220706732</v>
      </c>
      <c r="Y9" s="3">
        <f t="shared" si="10"/>
        <v>143</v>
      </c>
      <c r="Z9" s="10" t="n">
        <f>ROUND($J9*1.637*1.75*2.1*2.3*2.6*3.2*4.2*2.4*1.25,0)</f>
        <v>9326929696157</v>
      </c>
      <c r="AA9" s="5">
        <f t="shared" si="11"/>
        <v>145</v>
      </c>
      <c r="AB9" s="9" t="n">
        <f>ROUND($J9*1.637*1.75*2.1*2.3*2.6*3.2*4.2*2.4*2.5*1.25,0)</f>
        <v>23317324240392</v>
      </c>
      <c r="AC9" s="3">
        <f t="shared" si="12"/>
        <v>147</v>
      </c>
      <c r="AD9" s="10" t="n">
        <f>ROUND($J9*1.637*1.75*2.1*2.3*2.6*3.2*4.2*2.4*2.5*2.8*1.25,0)</f>
        <v>65288507873098</v>
      </c>
      <c r="AE9" s="5">
        <f t="shared" si="13"/>
        <v>150</v>
      </c>
      <c r="AF9" s="9" t="n">
        <f>ROUND($J9*1.637*1.75*2.1*2.3*2.6*3.2*4.2*2.4*2.5*2.8*3.2*1.25,0)</f>
        <v>208923225193912</v>
      </c>
      <c r="AG9" s="3">
        <f t="shared" si="14"/>
        <v>153</v>
      </c>
      <c r="AH9" s="10" t="n">
        <f>ROUND($J9*1.637*1.75*2.1*2.3*2.6*3.2*4.2*2.4*2.5*2.8*3.2*3.8*1.25,0)</f>
        <v>793908255736867</v>
      </c>
    </row>
    <row r="10" hidden="1">
      <c r="A10" s="2">
        <v>46</v>
      </c>
      <c r="B10" s="2" t="s">
        <v>46</v>
      </c>
      <c r="C10" s="2" t="s">
        <v>24</v>
      </c>
      <c r="D10" s="2" t="s">
        <v>47</v>
      </c>
      <c r="E10" s="2">
        <v>126</v>
      </c>
      <c r="F10" s="2" t="s">
        <v>48</v>
      </c>
      <c r="G10" s="2" t="s">
        <v>49</v>
      </c>
      <c r="H10" s="2">
        <v>29</v>
      </c>
      <c r="I10" s="3">
        <v>126</v>
      </c>
      <c r="J10" s="4">
        <v>844800000</v>
      </c>
      <c r="K10" s="5">
        <f t="shared" si="0"/>
        <v>127</v>
      </c>
      <c r="L10" s="9" t="n">
        <f>ROUND($J10*1.637*0.8,0)</f>
        <v>1106350080</v>
      </c>
      <c r="M10" s="3">
        <f t="shared" si="2"/>
        <v>128</v>
      </c>
      <c r="N10" s="10" t="n">
        <f>ROUND($J10*1.637*1.75*0.8,0)</f>
        <v>1936112640</v>
      </c>
      <c r="O10" s="5">
        <f t="shared" si="4"/>
        <v>130</v>
      </c>
      <c r="P10" s="9" t="n">
        <f>ROUND($J10*1.637*1.75*2.1*0.8,0)</f>
        <v>4065836544</v>
      </c>
      <c r="Q10" s="3">
        <f t="shared" si="6"/>
        <v>132</v>
      </c>
      <c r="R10" s="10" t="n">
        <f>ROUND($J10*1.637*1.75*2.1*2.3*0.542035092435954,0)</f>
        <v>6336000000</v>
      </c>
      <c r="S10" s="5">
        <f t="shared" si="7"/>
        <v>134</v>
      </c>
      <c r="T10" s="9" t="n">
        <f>ROUND($J10*1.637*1.75*2.1*2.3*2.6*0.544690061623969,0)</f>
        <v>16554290164</v>
      </c>
      <c r="U10" s="3">
        <f t="shared" si="8"/>
        <v>137</v>
      </c>
      <c r="V10" s="10" t="n">
        <f>ROUND($J10*1.637*1.75*2.1*2.3*2.6*3.2*0.547345030811984,0)</f>
        <v>53231937049</v>
      </c>
      <c r="W10" s="5">
        <f t="shared" si="9"/>
        <v>141</v>
      </c>
      <c r="X10" s="9" t="n">
        <f>ROUND($J10*1.637*1.75*2.1*2.3*2.6*3.2*4.2*0.55,0)</f>
        <v>224658611406</v>
      </c>
      <c r="Y10" s="3">
        <f t="shared" si="10"/>
        <v>143</v>
      </c>
      <c r="Z10" s="10" t="n">
        <f>ROUND($J10*1.637*1.75*2.1*2.3*2.6*3.2*4.2*2.4*0.55,0)</f>
        <v>539180667374</v>
      </c>
      <c r="AA10" s="5">
        <f t="shared" si="11"/>
        <v>145</v>
      </c>
      <c r="AB10" s="9" t="n">
        <f>ROUND($J10*1.637*1.75*2.1*2.3*2.6*3.2*4.2*2.4*2.5*0.55,0)</f>
        <v>1347951668436</v>
      </c>
      <c r="AC10" s="3">
        <f t="shared" si="12"/>
        <v>147</v>
      </c>
      <c r="AD10" s="10" t="n">
        <f>ROUND($J10*1.637*1.75*2.1*2.3*2.6*3.2*4.2*2.4*2.5*2.8*0.55,0)</f>
        <v>3774264671621</v>
      </c>
      <c r="AE10" s="5">
        <f t="shared" si="13"/>
        <v>150</v>
      </c>
      <c r="AF10" s="9" t="n">
        <f>ROUND($J10*1.637*1.75*2.1*2.3*2.6*3.2*4.2*2.4*2.5*2.8*3.2*0.55,0)</f>
        <v>12077646949188</v>
      </c>
      <c r="AG10" s="3">
        <f t="shared" si="14"/>
        <v>153</v>
      </c>
      <c r="AH10" s="10" t="n">
        <f>ROUND($J10*1.637*1.75*2.1*2.3*2.6*3.2*4.2*2.4*2.5*2.8*3.2*3.8*0.55,0)</f>
        <v>45895058406915</v>
      </c>
    </row>
    <row r="11" hidden="1">
      <c r="A11" s="2">
        <v>50</v>
      </c>
      <c r="B11" s="2" t="s">
        <v>50</v>
      </c>
      <c r="C11" s="2" t="s">
        <v>24</v>
      </c>
      <c r="D11" s="2" t="s">
        <v>40</v>
      </c>
      <c r="E11" s="2">
        <v>126</v>
      </c>
      <c r="F11" s="2" t="s">
        <v>42</v>
      </c>
      <c r="G11" s="2" t="s">
        <v>51</v>
      </c>
      <c r="H11" s="2">
        <v>34</v>
      </c>
      <c r="I11" s="3">
        <v>126</v>
      </c>
      <c r="J11" s="4">
        <v>6500000000</v>
      </c>
      <c r="K11" s="5">
        <f t="shared" si="0"/>
        <v>127</v>
      </c>
      <c r="L11" s="9" t="n">
        <f t="shared" ref="L11:L17" si="15">ROUND($J11*1.637*1,0)</f>
        <v>10640500000</v>
      </c>
      <c r="M11" s="3">
        <f t="shared" si="2"/>
        <v>128</v>
      </c>
      <c r="N11" s="10" t="n">
        <f t="shared" ref="N11:N17" si="16">ROUND($J11*1.637*1.75*1,0)</f>
        <v>18620875000</v>
      </c>
      <c r="O11" s="5">
        <f t="shared" si="4"/>
        <v>130</v>
      </c>
      <c r="P11" s="9" t="n">
        <f t="shared" ref="P11:P17" si="17">ROUND($J11*1.637*1.75*2.1*1,0)</f>
        <v>39103837500</v>
      </c>
      <c r="Q11" s="3">
        <f t="shared" si="6"/>
        <v>132</v>
      </c>
      <c r="R11" s="10" t="n">
        <f>ROUND($J11*1.637*1.75*2.1*2.3*1.25,0)</f>
        <v>112423532813</v>
      </c>
      <c r="S11" s="5">
        <f t="shared" si="7"/>
        <v>134</v>
      </c>
      <c r="T11" s="9" t="n">
        <f>ROUND($J11*1.637*1.75*2.1*2.3*2.6*1.25,0)</f>
        <v>292301185313</v>
      </c>
      <c r="U11" s="3">
        <f t="shared" si="8"/>
        <v>137</v>
      </c>
      <c r="V11" s="10" t="n">
        <f>ROUND($J11*1.637*1.75*2.1*2.3*2.6*3.2*1.25,0)</f>
        <v>935363793000</v>
      </c>
      <c r="W11" s="5">
        <f t="shared" si="9"/>
        <v>141</v>
      </c>
      <c r="X11" s="9" t="n">
        <f>ROUND($J11*1.637*1.75*2.1*2.3*2.6*3.2*4.2*1.25,0)</f>
        <v>3928527930600</v>
      </c>
      <c r="Y11" s="3">
        <f t="shared" si="10"/>
        <v>143</v>
      </c>
      <c r="Z11" s="10" t="n">
        <f>ROUND($J11*1.637*1.75*2.1*2.3*2.6*3.2*4.2*2.4*1.25,0)</f>
        <v>9428467033440</v>
      </c>
      <c r="AA11" s="5">
        <f t="shared" si="11"/>
        <v>145</v>
      </c>
      <c r="AB11" s="9" t="n">
        <f>ROUND($J11*1.637*1.75*2.1*2.3*2.6*3.2*4.2*2.4*2.5*1.25,0)</f>
        <v>23571167583600</v>
      </c>
      <c r="AC11" s="3">
        <f t="shared" si="12"/>
        <v>147</v>
      </c>
      <c r="AD11" s="10" t="n">
        <f>ROUND($J11*1.637*1.75*2.1*2.3*2.6*3.2*4.2*2.4*2.5*2.8*1.25,0)</f>
        <v>65999269234080</v>
      </c>
      <c r="AE11" s="5">
        <f t="shared" si="13"/>
        <v>150</v>
      </c>
      <c r="AF11" s="9" t="n">
        <f>ROUND($J11*1.637*1.75*2.1*2.3*2.6*3.2*4.2*2.4*2.5*2.8*3.2*1.25,0)</f>
        <v>211197661549056</v>
      </c>
      <c r="AG11" s="3">
        <f t="shared" si="14"/>
        <v>153</v>
      </c>
      <c r="AH11" s="10" t="n">
        <f>ROUND($J11*1.637*1.75*2.1*2.3*2.6*3.2*4.2*2.4*2.5*2.8*3.2*3.8*1.25,0)</f>
        <v>802551113886413</v>
      </c>
    </row>
    <row r="12" hidden="1">
      <c r="A12" s="2">
        <v>1</v>
      </c>
      <c r="B12" s="2" t="s">
        <v>52</v>
      </c>
      <c r="C12" s="2" t="s">
        <v>24</v>
      </c>
      <c r="D12" s="2" t="s">
        <v>40</v>
      </c>
      <c r="E12" s="2">
        <v>126</v>
      </c>
      <c r="F12" s="2" t="s">
        <v>30</v>
      </c>
      <c r="G12" s="2" t="s">
        <v>51</v>
      </c>
      <c r="H12" s="2">
        <v>34</v>
      </c>
      <c r="I12" s="3">
        <v>126</v>
      </c>
      <c r="J12" s="4">
        <v>25600000000</v>
      </c>
      <c r="K12" s="5">
        <f t="shared" si="0"/>
        <v>127</v>
      </c>
      <c r="L12" s="9">
        <f t="shared" si="15"/>
        <v>41907200000</v>
      </c>
      <c r="M12" s="3">
        <f t="shared" si="2"/>
        <v>128</v>
      </c>
      <c r="N12" s="10">
        <f t="shared" si="16"/>
        <v>73337600000</v>
      </c>
      <c r="O12" s="5">
        <f t="shared" si="4"/>
        <v>130</v>
      </c>
      <c r="P12" s="9">
        <f t="shared" si="17"/>
        <v>154008960000</v>
      </c>
      <c r="Q12" s="3">
        <f t="shared" si="6"/>
        <v>132</v>
      </c>
      <c r="R12" s="10" t="n">
        <f>ROUND($J12*1.637*1.75*2.1*2.3*1.25,0)</f>
        <v>442775760000</v>
      </c>
      <c r="S12" s="5">
        <f t="shared" si="7"/>
        <v>134</v>
      </c>
      <c r="T12" s="9" t="n">
        <f>ROUND($J12*1.637*1.75*2.1*2.3*2.6*1.25,0)</f>
        <v>1151216976000</v>
      </c>
      <c r="U12" s="3">
        <f t="shared" si="8"/>
        <v>137</v>
      </c>
      <c r="V12" s="10" t="n">
        <f>ROUND($J12*1.637*1.75*2.1*2.3*2.6*3.2*1.25,0)</f>
        <v>3683894323200</v>
      </c>
      <c r="W12" s="5">
        <f t="shared" si="9"/>
        <v>141</v>
      </c>
      <c r="X12" s="9" t="n">
        <f>ROUND($J12*1.637*1.75*2.1*2.3*2.6*3.2*4.2*1.25,0)</f>
        <v>15472356157440</v>
      </c>
      <c r="Y12" s="3">
        <f t="shared" si="10"/>
        <v>143</v>
      </c>
      <c r="Z12" s="10" t="n">
        <f>ROUND($J12*1.637*1.75*2.1*2.3*2.6*3.2*4.2*2.4*1.25,0)</f>
        <v>37133654777856</v>
      </c>
      <c r="AA12" s="5">
        <f t="shared" si="11"/>
        <v>145</v>
      </c>
      <c r="AB12" s="9" t="n">
        <f>ROUND($J12*1.637*1.75*2.1*2.3*2.6*3.2*4.2*2.4*2.5*1.25,0)</f>
        <v>92834136944640</v>
      </c>
      <c r="AC12" s="3">
        <f t="shared" si="12"/>
        <v>147</v>
      </c>
      <c r="AD12" s="10" t="n">
        <f>ROUND($J12*1.637*1.75*2.1*2.3*2.6*3.2*4.2*2.4*2.5*2.8*1.25,0)</f>
        <v>259935583444992</v>
      </c>
      <c r="AE12" s="5">
        <f t="shared" si="13"/>
        <v>150</v>
      </c>
      <c r="AF12" s="9" t="n">
        <f>ROUND($J12*1.637*1.75*2.1*2.3*2.6*3.2*4.2*2.4*2.5*2.8*3.2*1.25,0)</f>
        <v>831793867023974</v>
      </c>
      <c r="AG12" s="3">
        <f t="shared" si="14"/>
        <v>153</v>
      </c>
      <c r="AH12" s="10" t="n">
        <f>ROUND($J12*1.637*1.75*2.1*2.3*2.6*3.2*4.2*2.4*2.5*2.8*3.2*3.8*1.25,0)</f>
        <v>3160816694691100</v>
      </c>
    </row>
    <row r="13" hidden="1">
      <c r="A13" s="2">
        <v>3</v>
      </c>
      <c r="B13" s="2" t="s">
        <v>53</v>
      </c>
      <c r="C13" s="2" t="s">
        <v>24</v>
      </c>
      <c r="D13" s="2" t="s">
        <v>25</v>
      </c>
      <c r="E13" s="2">
        <v>126</v>
      </c>
      <c r="F13" s="2" t="s">
        <v>54</v>
      </c>
      <c r="G13" s="2" t="s">
        <v>38</v>
      </c>
      <c r="H13" s="2">
        <v>34</v>
      </c>
      <c r="I13" s="3">
        <v>126</v>
      </c>
      <c r="J13" s="4">
        <v>21700000000</v>
      </c>
      <c r="K13" s="5">
        <f t="shared" si="0"/>
        <v>127</v>
      </c>
      <c r="L13" s="9">
        <f t="shared" si="15"/>
        <v>35522900000</v>
      </c>
      <c r="M13" s="3">
        <f t="shared" si="2"/>
        <v>128</v>
      </c>
      <c r="N13" s="10">
        <f t="shared" si="16"/>
        <v>62165075000</v>
      </c>
      <c r="O13" s="5">
        <f t="shared" si="4"/>
        <v>130</v>
      </c>
      <c r="P13" s="9">
        <f t="shared" si="17"/>
        <v>130546657500</v>
      </c>
      <c r="Q13" s="3">
        <f t="shared" si="6"/>
        <v>132</v>
      </c>
      <c r="R13" s="10" t="n">
        <f>ROUND($J13*1.637*1.75*2.1*2.3*1.25,0)</f>
        <v>375321640313</v>
      </c>
      <c r="S13" s="5">
        <f t="shared" si="7"/>
        <v>134</v>
      </c>
      <c r="T13" s="9" t="n">
        <f>ROUND($J13*1.637*1.75*2.1*2.3*2.6*1.25,0)</f>
        <v>975836264813</v>
      </c>
      <c r="U13" s="3">
        <f t="shared" si="8"/>
        <v>137</v>
      </c>
      <c r="V13" s="10" t="n">
        <f>ROUND($J13*1.637*1.75*2.1*2.3*2.6*3.2*1.25,0)</f>
        <v>3122676047400</v>
      </c>
      <c r="W13" s="5">
        <f t="shared" si="9"/>
        <v>141</v>
      </c>
      <c r="X13" s="9" t="n">
        <f>ROUND($J13*1.637*1.75*2.1*2.3*2.6*3.2*4.2*1.25,0)</f>
        <v>13115239399080</v>
      </c>
      <c r="Y13" s="3">
        <f t="shared" si="10"/>
        <v>143</v>
      </c>
      <c r="Z13" s="10" t="n">
        <f>ROUND($J13*1.637*1.75*2.1*2.3*2.6*3.2*4.2*2.4*1.25,0)</f>
        <v>31476574557792</v>
      </c>
      <c r="AA13" s="5">
        <f t="shared" si="11"/>
        <v>145</v>
      </c>
      <c r="AB13" s="9" t="n">
        <f>ROUND($J13*1.637*1.75*2.1*2.3*2.6*3.2*4.2*2.4*2.5*1.25,0)</f>
        <v>78691436394480</v>
      </c>
      <c r="AC13" s="3">
        <f t="shared" si="12"/>
        <v>147</v>
      </c>
      <c r="AD13" s="10" t="n">
        <f>ROUND($J13*1.637*1.75*2.1*2.3*2.6*3.2*4.2*2.4*2.5*2.8*1.25,0)</f>
        <v>220336021904544</v>
      </c>
      <c r="AE13" s="5">
        <f t="shared" si="13"/>
        <v>150</v>
      </c>
      <c r="AF13" s="9" t="n">
        <f>ROUND($J13*1.637*1.75*2.1*2.3*2.6*3.2*4.2*2.4*2.5*2.8*3.2*1.25,0)</f>
        <v>705075270094541</v>
      </c>
      <c r="AG13" s="3">
        <f t="shared" si="14"/>
        <v>153</v>
      </c>
      <c r="AH13" s="10" t="n">
        <f>ROUND($J13*1.637*1.75*2.1*2.3*2.6*3.2*4.2*2.4*2.5*2.8*3.2*3.8*1.25,0)</f>
        <v>2679286026359250</v>
      </c>
    </row>
    <row r="14" hidden="1">
      <c r="A14" s="2">
        <v>58</v>
      </c>
      <c r="B14" s="2" t="s">
        <v>55</v>
      </c>
      <c r="C14" s="2" t="s">
        <v>24</v>
      </c>
      <c r="D14" s="2" t="s">
        <v>25</v>
      </c>
      <c r="E14" s="2">
        <v>125</v>
      </c>
      <c r="F14" s="2" t="s">
        <v>56</v>
      </c>
      <c r="G14" s="2" t="s">
        <v>57</v>
      </c>
      <c r="H14" s="2">
        <v>32</v>
      </c>
      <c r="I14" s="3">
        <v>125</v>
      </c>
      <c r="J14" s="4">
        <v>3810000000</v>
      </c>
      <c r="K14" s="5">
        <f t="shared" si="0"/>
        <v>126</v>
      </c>
      <c r="L14" s="9">
        <f t="shared" si="15"/>
        <v>6236970000</v>
      </c>
      <c r="M14" s="3">
        <f t="shared" si="2"/>
        <v>127</v>
      </c>
      <c r="N14" s="10">
        <f t="shared" si="16"/>
        <v>10914697500</v>
      </c>
      <c r="O14" s="5">
        <f t="shared" si="4"/>
        <v>129</v>
      </c>
      <c r="P14" s="9">
        <f t="shared" si="17"/>
        <v>22920864750</v>
      </c>
      <c r="Q14" s="3">
        <f t="shared" si="6"/>
        <v>131</v>
      </c>
      <c r="R14" s="10" t="n">
        <f>ROUND($J14*1.637*1.75*2.1*2.3*1.25,0)</f>
        <v>65897486156</v>
      </c>
      <c r="S14" s="5">
        <f t="shared" si="7"/>
        <v>133</v>
      </c>
      <c r="T14" s="9" t="n">
        <f>ROUND($J14*1.637*1.75*2.1*2.3*2.6*1.25,0)</f>
        <v>171333464006</v>
      </c>
      <c r="U14" s="3">
        <f t="shared" si="8"/>
        <v>136</v>
      </c>
      <c r="V14" s="10" t="n">
        <f>ROUND($J14*1.637*1.75*2.1*2.3*2.6*3.2*1.25,0)</f>
        <v>548267084820</v>
      </c>
      <c r="W14" s="5">
        <f t="shared" si="9"/>
        <v>140</v>
      </c>
      <c r="X14" s="9" t="n">
        <f>ROUND($J14*1.637*1.75*2.1*2.3*2.6*3.2*4.2*1.25,0)</f>
        <v>2302721756244</v>
      </c>
      <c r="Y14" s="3">
        <f t="shared" si="10"/>
        <v>142</v>
      </c>
      <c r="Z14" s="10" t="n">
        <f>ROUND($J14*1.637*1.75*2.1*2.3*2.6*3.2*4.2*2.4*1.25,0)</f>
        <v>5526532214986</v>
      </c>
      <c r="AA14" s="5">
        <f t="shared" si="11"/>
        <v>144</v>
      </c>
      <c r="AB14" s="9" t="n">
        <f>ROUND($J14*1.637*1.75*2.1*2.3*2.6*3.2*4.2*2.4*2.5*1.25,0)</f>
        <v>13816330537464</v>
      </c>
      <c r="AC14" s="3">
        <f t="shared" si="12"/>
        <v>146</v>
      </c>
      <c r="AD14" s="10" t="n">
        <f>ROUND($J14*1.637*1.75*2.1*2.3*2.6*3.2*4.2*2.4*2.5*2.8*1.25,0)</f>
        <v>38685725504899</v>
      </c>
      <c r="AE14" s="5">
        <f t="shared" si="13"/>
        <v>149</v>
      </c>
      <c r="AF14" s="9" t="n">
        <f>ROUND($J14*1.637*1.75*2.1*2.3*2.6*3.2*4.2*2.4*2.5*2.8*3.2*1.25,0)</f>
        <v>123794321615677</v>
      </c>
      <c r="AG14" s="3">
        <f t="shared" si="14"/>
        <v>152</v>
      </c>
      <c r="AH14" s="10" t="n">
        <f>ROUND($J14*1.637*1.75*2.1*2.3*2.6*3.2*4.2*2.4*2.5*2.8*3.2*3.8*1.25,0)</f>
        <v>470418422139574</v>
      </c>
    </row>
    <row r="15" hidden="1">
      <c r="A15" s="2">
        <v>34</v>
      </c>
      <c r="B15" s="2" t="s">
        <v>58</v>
      </c>
      <c r="C15" s="2" t="s">
        <v>24</v>
      </c>
      <c r="D15" s="2" t="s">
        <v>40</v>
      </c>
      <c r="E15" s="2">
        <v>125</v>
      </c>
      <c r="F15" s="2" t="s">
        <v>59</v>
      </c>
      <c r="G15" s="2" t="s">
        <v>60</v>
      </c>
      <c r="H15" s="2">
        <v>33</v>
      </c>
      <c r="I15" s="3">
        <v>125</v>
      </c>
      <c r="J15" s="4">
        <v>1878000000</v>
      </c>
      <c r="K15" s="5">
        <f t="shared" si="0"/>
        <v>126</v>
      </c>
      <c r="L15" s="9">
        <f t="shared" si="15"/>
        <v>3074286000</v>
      </c>
      <c r="M15" s="3">
        <f t="shared" si="2"/>
        <v>127</v>
      </c>
      <c r="N15" s="10">
        <f t="shared" si="16"/>
        <v>5380000500</v>
      </c>
      <c r="O15" s="5">
        <f t="shared" si="4"/>
        <v>129</v>
      </c>
      <c r="P15" s="9">
        <f t="shared" si="17"/>
        <v>11298001050</v>
      </c>
      <c r="Q15" s="3">
        <f t="shared" si="6"/>
        <v>131</v>
      </c>
      <c r="R15" s="10" t="n">
        <f>ROUND($J15*1.637*1.75*2.1*2.3*1.25,0)</f>
        <v>32481753019</v>
      </c>
      <c r="S15" s="5">
        <f t="shared" si="7"/>
        <v>133</v>
      </c>
      <c r="T15" s="9" t="n">
        <f>ROUND($J15*1.637*1.75*2.1*2.3*2.6*1.25,0)</f>
        <v>84452557849</v>
      </c>
      <c r="U15" s="3">
        <f t="shared" si="8"/>
        <v>136</v>
      </c>
      <c r="V15" s="10" t="n">
        <f>ROUND($J15*1.637*1.75*2.1*2.3*2.6*3.2*1.25,0)</f>
        <v>270248185116</v>
      </c>
      <c r="W15" s="5">
        <f t="shared" si="9"/>
        <v>140</v>
      </c>
      <c r="X15" s="9" t="n">
        <f>ROUND($J15*1.637*1.75*2.1*2.3*2.6*3.2*4.2*1.25,0)</f>
        <v>1135042377487</v>
      </c>
      <c r="Y15" s="3">
        <f t="shared" si="10"/>
        <v>142</v>
      </c>
      <c r="Z15" s="10" t="n">
        <f>ROUND($J15*1.637*1.75*2.1*2.3*2.6*3.2*4.2*2.4*1.25,0)</f>
        <v>2724101705969</v>
      </c>
      <c r="AA15" s="5">
        <f t="shared" si="11"/>
        <v>144</v>
      </c>
      <c r="AB15" s="9" t="n">
        <f>ROUND($J15*1.637*1.75*2.1*2.3*2.6*3.2*4.2*2.4*2.5*1.25,0)</f>
        <v>6810254264923</v>
      </c>
      <c r="AC15" s="3">
        <f t="shared" si="12"/>
        <v>146</v>
      </c>
      <c r="AD15" s="10" t="n">
        <f>ROUND($J15*1.637*1.75*2.1*2.3*2.6*3.2*4.2*2.4*2.5*2.8*1.25,0)</f>
        <v>19068711941785</v>
      </c>
      <c r="AE15" s="5">
        <f t="shared" si="13"/>
        <v>149</v>
      </c>
      <c r="AF15" s="9" t="n">
        <f>ROUND($J15*1.637*1.75*2.1*2.3*2.6*3.2*4.2*2.4*2.5*2.8*3.2*1.25,0)</f>
        <v>61019878213712</v>
      </c>
      <c r="AG15" s="3">
        <f t="shared" si="14"/>
        <v>152</v>
      </c>
      <c r="AH15" s="10" t="n">
        <f>ROUND($J15*1.637*1.75*2.1*2.3*2.6*3.2*4.2*2.4*2.5*2.8*3.2*3.8*1.25,0)</f>
        <v>231875537212105</v>
      </c>
    </row>
    <row r="16" hidden="1">
      <c r="A16" s="2">
        <v>59</v>
      </c>
      <c r="B16" s="2" t="s">
        <v>61</v>
      </c>
      <c r="C16" s="2" t="s">
        <v>24</v>
      </c>
      <c r="D16" s="2" t="s">
        <v>33</v>
      </c>
      <c r="E16" s="2">
        <v>125</v>
      </c>
      <c r="F16" s="2" t="s">
        <v>62</v>
      </c>
      <c r="G16" s="2" t="s">
        <v>51</v>
      </c>
      <c r="H16" s="2">
        <v>32</v>
      </c>
      <c r="I16" s="3">
        <v>125</v>
      </c>
      <c r="J16" s="4">
        <v>460000000</v>
      </c>
      <c r="K16" s="5">
        <f t="shared" si="0"/>
        <v>126</v>
      </c>
      <c r="L16" s="9">
        <f t="shared" si="15"/>
        <v>753020000</v>
      </c>
      <c r="M16" s="3">
        <f t="shared" si="2"/>
        <v>127</v>
      </c>
      <c r="N16" s="10">
        <f t="shared" si="16"/>
        <v>1317785000</v>
      </c>
      <c r="O16" s="5">
        <f t="shared" si="4"/>
        <v>129</v>
      </c>
      <c r="P16" s="9">
        <f t="shared" si="17"/>
        <v>2767348500</v>
      </c>
      <c r="Q16" s="3">
        <f t="shared" si="6"/>
        <v>131</v>
      </c>
      <c r="R16" s="10" t="n">
        <f>ROUND($J16*1.637*1.75*2.1*2.3*1,0)</f>
        <v>6364901550</v>
      </c>
      <c r="S16" s="5">
        <f t="shared" si="7"/>
        <v>133</v>
      </c>
      <c r="T16" s="9" t="n">
        <f>ROUND($J16*1.637*1.75*2.1*2.3*2.6*1,0)</f>
        <v>16548744030</v>
      </c>
      <c r="U16" s="3">
        <f t="shared" si="8"/>
        <v>136</v>
      </c>
      <c r="V16" s="10" t="n">
        <f>ROUND($J16*1.637*1.75*2.1*2.3*2.6*3.2*1,0)</f>
        <v>52955980896</v>
      </c>
      <c r="W16" s="5">
        <f t="shared" si="9"/>
        <v>140</v>
      </c>
      <c r="X16" s="9" t="n">
        <f>ROUND($J16*1.637*1.75*2.1*2.3*2.6*3.2*4.2*1,0)</f>
        <v>222415119763</v>
      </c>
      <c r="Y16" s="3">
        <f t="shared" si="10"/>
        <v>142</v>
      </c>
      <c r="Z16" s="10" t="n">
        <f>ROUND($J16*1.637*1.75*2.1*2.3*2.6*3.2*4.2*2.4*1,0)</f>
        <v>533796287432</v>
      </c>
      <c r="AA16" s="5">
        <f t="shared" si="11"/>
        <v>144</v>
      </c>
      <c r="AB16" s="9" t="n">
        <f>ROUND($J16*1.637*1.75*2.1*2.3*2.6*3.2*4.2*2.4*2.5*1,0)</f>
        <v>1334490718579</v>
      </c>
      <c r="AC16" s="3">
        <f t="shared" si="12"/>
        <v>146</v>
      </c>
      <c r="AD16" s="10" t="n">
        <f>ROUND($J16*1.637*1.75*2.1*2.3*2.6*3.2*4.2*2.4*2.5*2.8*1,0)</f>
        <v>3736574012022</v>
      </c>
      <c r="AE16" s="5">
        <f t="shared" si="13"/>
        <v>149</v>
      </c>
      <c r="AF16" s="9" t="n">
        <f>ROUND($J16*1.637*1.75*2.1*2.3*2.6*3.2*4.2*2.4*2.5*2.8*3.2*1,0)</f>
        <v>11957036838470</v>
      </c>
      <c r="AG16" s="3">
        <f t="shared" si="14"/>
        <v>152</v>
      </c>
      <c r="AH16" s="10" t="n">
        <f>ROUND($J16*1.637*1.75*2.1*2.3*2.6*3.2*4.2*2.4*2.5*2.8*3.2*3.8*1,0)</f>
        <v>45436739986185</v>
      </c>
    </row>
    <row r="17" hidden="1">
      <c r="A17" s="2">
        <v>54</v>
      </c>
      <c r="B17" s="2" t="s">
        <v>63</v>
      </c>
      <c r="C17" s="2" t="s">
        <v>24</v>
      </c>
      <c r="D17" s="2" t="s">
        <v>64</v>
      </c>
      <c r="E17" s="2">
        <v>125</v>
      </c>
      <c r="F17" s="2" t="s">
        <v>65</v>
      </c>
      <c r="G17" s="2" t="s">
        <v>57</v>
      </c>
      <c r="H17" s="2">
        <v>33</v>
      </c>
      <c r="I17" s="3">
        <v>125</v>
      </c>
      <c r="J17" s="4">
        <v>7800000000</v>
      </c>
      <c r="K17" s="5">
        <f t="shared" si="0"/>
        <v>126</v>
      </c>
      <c r="L17" s="9">
        <f t="shared" si="15"/>
        <v>12768600000</v>
      </c>
      <c r="M17" s="3">
        <f t="shared" si="2"/>
        <v>127</v>
      </c>
      <c r="N17" s="10">
        <f t="shared" si="16"/>
        <v>22345050000</v>
      </c>
      <c r="O17" s="5">
        <f t="shared" si="4"/>
        <v>129</v>
      </c>
      <c r="P17" s="9">
        <f t="shared" si="17"/>
        <v>46924605000</v>
      </c>
      <c r="Q17" s="3">
        <f t="shared" si="6"/>
        <v>131</v>
      </c>
      <c r="R17" s="10" t="n">
        <f>ROUND($J17*1.637*1.75*2.1*2.3*1.25,0)</f>
        <v>134908239375</v>
      </c>
      <c r="S17" s="5">
        <f t="shared" si="7"/>
        <v>133</v>
      </c>
      <c r="T17" s="9" t="n">
        <f>ROUND($J17*1.637*1.75*2.1*2.3*2.6*1.25,0)</f>
        <v>350761422375</v>
      </c>
      <c r="U17" s="3">
        <f t="shared" si="8"/>
        <v>136</v>
      </c>
      <c r="V17" s="10" t="n">
        <f>ROUND($J17*1.637*1.75*2.1*2.3*2.6*3.2*1.25,0)</f>
        <v>1122436551600</v>
      </c>
      <c r="W17" s="5">
        <f t="shared" si="9"/>
        <v>140</v>
      </c>
      <c r="X17" s="9" t="n">
        <f>ROUND($J17*1.637*1.75*2.1*2.3*2.6*3.2*4.2*1.25,0)</f>
        <v>4714233516720</v>
      </c>
      <c r="Y17" s="3">
        <f t="shared" si="10"/>
        <v>142</v>
      </c>
      <c r="Z17" s="10" t="n">
        <f>ROUND($J17*1.637*1.75*2.1*2.3*2.6*3.2*4.2*2.4*1.25,0)</f>
        <v>11314160440128</v>
      </c>
      <c r="AA17" s="5">
        <f t="shared" si="11"/>
        <v>144</v>
      </c>
      <c r="AB17" s="9" t="n">
        <f>ROUND($J17*1.637*1.75*2.1*2.3*2.6*3.2*4.2*2.4*2.5*1.25,0)</f>
        <v>28285401100320</v>
      </c>
      <c r="AC17" s="3">
        <f t="shared" si="12"/>
        <v>146</v>
      </c>
      <c r="AD17" s="10" t="n">
        <f>ROUND($J17*1.637*1.75*2.1*2.3*2.6*3.2*4.2*2.4*2.5*2.8*1.25,0)</f>
        <v>79199123080896</v>
      </c>
      <c r="AE17" s="5">
        <f t="shared" si="13"/>
        <v>149</v>
      </c>
      <c r="AF17" s="9" t="n">
        <f>ROUND($J17*1.637*1.75*2.1*2.3*2.6*3.2*4.2*2.4*2.5*2.8*3.2*1.25,0)</f>
        <v>253437193858867</v>
      </c>
      <c r="AG17" s="3">
        <f t="shared" si="14"/>
        <v>152</v>
      </c>
      <c r="AH17" s="10" t="n">
        <f>ROUND($J17*1.637*1.75*2.1*2.3*2.6*3.2*4.2*2.4*2.5*2.8*3.2*3.8*1.25,0)</f>
        <v>963061336663695</v>
      </c>
    </row>
    <row r="18" hidden="1">
      <c r="A18" s="2">
        <v>63</v>
      </c>
      <c r="B18" s="2" t="s">
        <v>66</v>
      </c>
      <c r="C18" s="2" t="s">
        <v>24</v>
      </c>
      <c r="D18" s="2" t="s">
        <v>47</v>
      </c>
      <c r="E18" s="2">
        <v>125</v>
      </c>
      <c r="F18" s="2" t="s">
        <v>62</v>
      </c>
      <c r="G18" s="2" t="s">
        <v>67</v>
      </c>
      <c r="H18" s="2">
        <v>29</v>
      </c>
      <c r="I18" s="3">
        <v>125</v>
      </c>
      <c r="J18" s="4">
        <v>164000000</v>
      </c>
      <c r="K18" s="5">
        <f t="shared" si="0"/>
        <v>126</v>
      </c>
      <c r="L18" s="9" t="n">
        <f>ROUND($J18*1.637*0.8,0)</f>
        <v>214774400</v>
      </c>
      <c r="M18" s="3">
        <f t="shared" si="2"/>
        <v>127</v>
      </c>
      <c r="N18" s="10" t="n">
        <f>ROUND($J18*1.637*1.75*0.8,0)</f>
        <v>375855200</v>
      </c>
      <c r="O18" s="5">
        <f t="shared" si="4"/>
        <v>129</v>
      </c>
      <c r="P18" s="9" t="n">
        <f>ROUND($J18*1.637*1.75*2.1*0.8,0)</f>
        <v>789295920</v>
      </c>
      <c r="Q18" s="3">
        <f t="shared" si="6"/>
        <v>131</v>
      </c>
      <c r="R18" s="10" t="n">
        <f>ROUND($J18*1.637*1.75*2.1*2.3*0.542035092435954,0)</f>
        <v>1230000000</v>
      </c>
      <c r="S18" s="5">
        <f t="shared" si="7"/>
        <v>133</v>
      </c>
      <c r="T18" s="9" t="n">
        <f>ROUND($J18*1.637*1.75*2.1*2.3*2.6*0.544690061623969,0)</f>
        <v>3213664284</v>
      </c>
      <c r="U18" s="3">
        <f t="shared" si="8"/>
        <v>136</v>
      </c>
      <c r="V18" s="10" t="n">
        <f>ROUND($J18*1.637*1.75*2.1*2.3*2.6*3.2*0.547345030811984,0)</f>
        <v>10333851416</v>
      </c>
      <c r="W18" s="5">
        <f t="shared" si="9"/>
        <v>140</v>
      </c>
      <c r="X18" s="9" t="n">
        <f>ROUND($J18*1.637*1.75*2.1*2.3*2.6*3.2*4.2*0.55,0)</f>
        <v>43612703919</v>
      </c>
      <c r="Y18" s="3">
        <f t="shared" si="10"/>
        <v>142</v>
      </c>
      <c r="Z18" s="10" t="n">
        <f>ROUND($J18*1.637*1.75*2.1*2.3*2.6*3.2*4.2*2.4*0.55,0)</f>
        <v>104670489405</v>
      </c>
      <c r="AA18" s="5">
        <f t="shared" si="11"/>
        <v>144</v>
      </c>
      <c r="AB18" s="9" t="n">
        <f>ROUND($J18*1.637*1.75*2.1*2.3*2.6*3.2*4.2*2.4*2.5*0.55,0)</f>
        <v>261676223513</v>
      </c>
      <c r="AC18" s="3">
        <f t="shared" si="12"/>
        <v>146</v>
      </c>
      <c r="AD18" s="10" t="n">
        <f>ROUND($J18*1.637*1.75*2.1*2.3*2.6*3.2*4.2*2.4*2.5*2.8*0.55,0)</f>
        <v>732693425836</v>
      </c>
      <c r="AE18" s="5">
        <f t="shared" si="13"/>
        <v>149</v>
      </c>
      <c r="AF18" s="9" t="n">
        <f>ROUND($J18*1.637*1.75*2.1*2.3*2.6*3.2*4.2*2.4*2.5*2.8*3.2*0.55,0)</f>
        <v>2344618962674</v>
      </c>
      <c r="AG18" s="3">
        <f t="shared" si="14"/>
        <v>152</v>
      </c>
      <c r="AH18" s="10" t="n">
        <f>ROUND($J18*1.637*1.75*2.1*2.3*2.6*3.2*4.2*2.4*2.5*2.8*3.2*3.8*0.55,0)</f>
        <v>8909552058161</v>
      </c>
    </row>
    <row r="19" hidden="1">
      <c r="A19" s="2">
        <v>57</v>
      </c>
      <c r="B19" s="2" t="s">
        <v>68</v>
      </c>
      <c r="C19" s="2" t="s">
        <v>24</v>
      </c>
      <c r="D19" s="2" t="s">
        <v>64</v>
      </c>
      <c r="E19" s="2">
        <v>125</v>
      </c>
      <c r="F19" s="2" t="s">
        <v>30</v>
      </c>
      <c r="G19" s="2" t="s">
        <v>69</v>
      </c>
      <c r="H19" s="2">
        <v>32</v>
      </c>
      <c r="I19" s="3">
        <v>125</v>
      </c>
      <c r="J19" s="4">
        <v>482000000</v>
      </c>
      <c r="K19" s="5">
        <f t="shared" si="0"/>
        <v>126</v>
      </c>
      <c r="L19" s="9" t="n">
        <f t="shared" ref="L19:L29" si="18">ROUND($J19*1.637*1,0)</f>
        <v>789034000</v>
      </c>
      <c r="M19" s="3">
        <f t="shared" si="2"/>
        <v>127</v>
      </c>
      <c r="N19" s="10" t="n">
        <f t="shared" ref="N19:N29" si="19">ROUND($J19*1.637*1.75*1,0)</f>
        <v>1380809500</v>
      </c>
      <c r="O19" s="5">
        <f t="shared" si="4"/>
        <v>129</v>
      </c>
      <c r="P19" s="9" t="n">
        <f t="shared" ref="P19:P29" si="20">ROUND($J19*1.637*1.75*2.1*1,0)</f>
        <v>2899699950</v>
      </c>
      <c r="Q19" s="3">
        <f t="shared" si="6"/>
        <v>131</v>
      </c>
      <c r="R19" s="10" t="n">
        <f>ROUND($J19*1.637*1.75*2.1*2.3*1,0)</f>
        <v>6669309885</v>
      </c>
      <c r="S19" s="5">
        <f t="shared" si="7"/>
        <v>133</v>
      </c>
      <c r="T19" s="9" t="n">
        <f>ROUND($J19*1.637*1.75*2.1*2.3*2.6*1,0)</f>
        <v>17340205701</v>
      </c>
      <c r="U19" s="3">
        <f t="shared" si="8"/>
        <v>136</v>
      </c>
      <c r="V19" s="10" t="n">
        <f>ROUND($J19*1.637*1.75*2.1*2.3*2.6*3.2*1,0)</f>
        <v>55488658243</v>
      </c>
      <c r="W19" s="5">
        <f t="shared" si="9"/>
        <v>140</v>
      </c>
      <c r="X19" s="9" t="n">
        <f>ROUND($J19*1.637*1.75*2.1*2.3*2.6*3.2*4.2*1,0)</f>
        <v>233052364621</v>
      </c>
      <c r="Y19" s="3">
        <f t="shared" si="10"/>
        <v>142</v>
      </c>
      <c r="Z19" s="10" t="n">
        <f>ROUND($J19*1.637*1.75*2.1*2.3*2.6*3.2*4.2*2.4*1,0)</f>
        <v>559325675091</v>
      </c>
      <c r="AA19" s="5">
        <f t="shared" si="11"/>
        <v>144</v>
      </c>
      <c r="AB19" s="9" t="n">
        <f>ROUND($J19*1.637*1.75*2.1*2.3*2.6*3.2*4.2*2.4*2.5*1,0)</f>
        <v>1398314187729</v>
      </c>
      <c r="AC19" s="3">
        <f t="shared" si="12"/>
        <v>146</v>
      </c>
      <c r="AD19" s="10" t="n">
        <f>ROUND($J19*1.637*1.75*2.1*2.3*2.6*3.2*4.2*2.4*2.5*2.8*1,0)</f>
        <v>3915279725640</v>
      </c>
      <c r="AE19" s="5">
        <f t="shared" si="13"/>
        <v>149</v>
      </c>
      <c r="AF19" s="9" t="n">
        <f>ROUND($J19*1.637*1.75*2.1*2.3*2.6*3.2*4.2*2.4*2.5*2.8*3.2*1,0)</f>
        <v>12528895122049</v>
      </c>
      <c r="AG19" s="3">
        <f t="shared" si="14"/>
        <v>152</v>
      </c>
      <c r="AH19" s="10" t="n">
        <f>ROUND($J19*1.637*1.75*2.1*2.3*2.6*3.2*4.2*2.4*2.5*2.8*3.2*3.8*1,0)</f>
        <v>47609801463785</v>
      </c>
    </row>
    <row r="20" hidden="1">
      <c r="A20" s="2">
        <v>61</v>
      </c>
      <c r="B20" s="2" t="s">
        <v>70</v>
      </c>
      <c r="C20" s="2" t="s">
        <v>24</v>
      </c>
      <c r="D20" s="2" t="s">
        <v>45</v>
      </c>
      <c r="E20" s="2">
        <v>125</v>
      </c>
      <c r="F20" s="2" t="s">
        <v>71</v>
      </c>
      <c r="G20" s="2" t="s">
        <v>72</v>
      </c>
      <c r="H20" s="2">
        <v>32</v>
      </c>
      <c r="I20" s="3">
        <v>125</v>
      </c>
      <c r="J20" s="4">
        <v>9690000000</v>
      </c>
      <c r="K20" s="5">
        <f t="shared" si="0"/>
        <v>126</v>
      </c>
      <c r="L20" s="9">
        <f t="shared" si="18"/>
        <v>15862530000</v>
      </c>
      <c r="M20" s="3">
        <f t="shared" si="2"/>
        <v>127</v>
      </c>
      <c r="N20" s="10">
        <f t="shared" si="19"/>
        <v>27759427500</v>
      </c>
      <c r="O20" s="5">
        <f t="shared" si="4"/>
        <v>129</v>
      </c>
      <c r="P20" s="9">
        <f t="shared" si="20"/>
        <v>58294797750</v>
      </c>
      <c r="Q20" s="3">
        <f t="shared" si="6"/>
        <v>131</v>
      </c>
      <c r="R20" s="10" t="n">
        <f>ROUND($J20*1.637*1.75*2.1*2.3*1.25,0)</f>
        <v>167597543531</v>
      </c>
      <c r="S20" s="5">
        <f t="shared" si="7"/>
        <v>133</v>
      </c>
      <c r="T20" s="9" t="n">
        <f>ROUND($J20*1.637*1.75*2.1*2.3*2.6*1.25,0)</f>
        <v>435753613181</v>
      </c>
      <c r="U20" s="3">
        <f t="shared" si="8"/>
        <v>136</v>
      </c>
      <c r="V20" s="10" t="n">
        <f>ROUND($J20*1.637*1.75*2.1*2.3*2.6*3.2*1.25,0)</f>
        <v>1394411562180</v>
      </c>
      <c r="W20" s="5">
        <f t="shared" si="9"/>
        <v>140</v>
      </c>
      <c r="X20" s="9" t="n">
        <f>ROUND($J20*1.637*1.75*2.1*2.3*2.6*3.2*4.2*1.25,0)</f>
        <v>5856528561156</v>
      </c>
      <c r="Y20" s="3">
        <f t="shared" si="10"/>
        <v>142</v>
      </c>
      <c r="Z20" s="10" t="n">
        <f>ROUND($J20*1.637*1.75*2.1*2.3*2.6*3.2*4.2*2.4*1.25,0)</f>
        <v>14055668546774</v>
      </c>
      <c r="AA20" s="5">
        <f t="shared" si="11"/>
        <v>144</v>
      </c>
      <c r="AB20" s="9" t="n">
        <f>ROUND($J20*1.637*1.75*2.1*2.3*2.6*3.2*4.2*2.4*2.5*1.25,0)</f>
        <v>35139171366936</v>
      </c>
      <c r="AC20" s="3">
        <f t="shared" si="12"/>
        <v>146</v>
      </c>
      <c r="AD20" s="10" t="n">
        <f>ROUND($J20*1.637*1.75*2.1*2.3*2.6*3.2*4.2*2.4*2.5*2.8*1.25,0)</f>
        <v>98389679827421</v>
      </c>
      <c r="AE20" s="5">
        <f t="shared" si="13"/>
        <v>149</v>
      </c>
      <c r="AF20" s="9" t="n">
        <f>ROUND($J20*1.637*1.75*2.1*2.3*2.6*3.2*4.2*2.4*2.5*2.8*3.2*1.25,0)</f>
        <v>314846975447746</v>
      </c>
      <c r="AG20" s="3">
        <f t="shared" si="14"/>
        <v>152</v>
      </c>
      <c r="AH20" s="10" t="n">
        <f>ROUND($J20*1.637*1.75*2.1*2.3*2.6*3.2*4.2*2.4*2.5*2.8*3.2*3.8*1.25,0)</f>
        <v>1196418506701440</v>
      </c>
    </row>
    <row r="21" hidden="1">
      <c r="A21" s="2">
        <v>56</v>
      </c>
      <c r="B21" s="2" t="s">
        <v>73</v>
      </c>
      <c r="C21" s="2" t="s">
        <v>24</v>
      </c>
      <c r="D21" s="2" t="s">
        <v>64</v>
      </c>
      <c r="E21" s="2">
        <v>125</v>
      </c>
      <c r="F21" s="2" t="s">
        <v>30</v>
      </c>
      <c r="G21" s="2" t="s">
        <v>69</v>
      </c>
      <c r="H21" s="2">
        <v>32</v>
      </c>
      <c r="I21" s="3">
        <v>125</v>
      </c>
      <c r="J21" s="4">
        <v>451000000</v>
      </c>
      <c r="K21" s="5">
        <f t="shared" si="0"/>
        <v>126</v>
      </c>
      <c r="L21" s="9">
        <f t="shared" si="18"/>
        <v>738287000</v>
      </c>
      <c r="M21" s="3">
        <f t="shared" si="2"/>
        <v>127</v>
      </c>
      <c r="N21" s="10">
        <f t="shared" si="19"/>
        <v>1292002250</v>
      </c>
      <c r="O21" s="5">
        <f t="shared" si="4"/>
        <v>129</v>
      </c>
      <c r="P21" s="9">
        <f t="shared" si="20"/>
        <v>2713204725</v>
      </c>
      <c r="Q21" s="3">
        <f t="shared" si="6"/>
        <v>131</v>
      </c>
      <c r="R21" s="10" t="n">
        <f>ROUND($J21*1.637*1.75*2.1*2.3*1,0)</f>
        <v>6240370868</v>
      </c>
      <c r="S21" s="5">
        <f t="shared" si="7"/>
        <v>133</v>
      </c>
      <c r="T21" s="9" t="n">
        <f>ROUND($J21*1.637*1.75*2.1*2.3*2.6*1,0)</f>
        <v>16224964256</v>
      </c>
      <c r="U21" s="3">
        <f t="shared" si="8"/>
        <v>136</v>
      </c>
      <c r="V21" s="10" t="n">
        <f>ROUND($J21*1.637*1.75*2.1*2.3*2.6*3.2*1,0)</f>
        <v>51919885618</v>
      </c>
      <c r="W21" s="5">
        <f t="shared" si="9"/>
        <v>140</v>
      </c>
      <c r="X21" s="9" t="n">
        <f>ROUND($J21*1.637*1.75*2.1*2.3*2.6*3.2*4.2*1,0)</f>
        <v>218063519594</v>
      </c>
      <c r="Y21" s="3">
        <f t="shared" si="10"/>
        <v>142</v>
      </c>
      <c r="Z21" s="10" t="n">
        <f>ROUND($J21*1.637*1.75*2.1*2.3*2.6*3.2*4.2*2.4*1,0)</f>
        <v>523352447025</v>
      </c>
      <c r="AA21" s="5">
        <f t="shared" si="11"/>
        <v>144</v>
      </c>
      <c r="AB21" s="9" t="n">
        <f>ROUND($J21*1.637*1.75*2.1*2.3*2.6*3.2*4.2*2.4*2.5*1,0)</f>
        <v>1308381117564</v>
      </c>
      <c r="AC21" s="3">
        <f t="shared" si="12"/>
        <v>146</v>
      </c>
      <c r="AD21" s="10" t="n">
        <f>ROUND($J21*1.637*1.75*2.1*2.3*2.6*3.2*4.2*2.4*2.5*2.8*1,0)</f>
        <v>3663467129178</v>
      </c>
      <c r="AE21" s="5">
        <f t="shared" si="13"/>
        <v>149</v>
      </c>
      <c r="AF21" s="9" t="n">
        <f>ROUND($J21*1.637*1.75*2.1*2.3*2.6*3.2*4.2*2.4*2.5*2.8*3.2*1,0)</f>
        <v>11723094813369</v>
      </c>
      <c r="AG21" s="3">
        <f t="shared" si="14"/>
        <v>152</v>
      </c>
      <c r="AH21" s="10" t="n">
        <f>ROUND($J21*1.637*1.75*2.1*2.3*2.6*3.2*4.2*2.4*2.5*2.8*3.2*3.8*1,0)</f>
        <v>44547760290803</v>
      </c>
    </row>
    <row r="22" hidden="1">
      <c r="A22" s="2">
        <v>6</v>
      </c>
      <c r="B22" s="2" t="s">
        <v>74</v>
      </c>
      <c r="C22" s="2" t="s">
        <v>24</v>
      </c>
      <c r="D22" s="2" t="s">
        <v>75</v>
      </c>
      <c r="E22" s="2">
        <v>125</v>
      </c>
      <c r="F22" s="2" t="s">
        <v>62</v>
      </c>
      <c r="G22" s="2" t="s">
        <v>51</v>
      </c>
      <c r="H22" s="2">
        <v>32</v>
      </c>
      <c r="I22" s="3">
        <v>125</v>
      </c>
      <c r="J22" s="4">
        <v>6870000000</v>
      </c>
      <c r="K22" s="5">
        <f t="shared" si="0"/>
        <v>126</v>
      </c>
      <c r="L22" s="9">
        <f t="shared" si="18"/>
        <v>11246190000</v>
      </c>
      <c r="M22" s="3">
        <f t="shared" si="2"/>
        <v>127</v>
      </c>
      <c r="N22" s="10">
        <f t="shared" si="19"/>
        <v>19680832500</v>
      </c>
      <c r="O22" s="5">
        <f t="shared" si="4"/>
        <v>129</v>
      </c>
      <c r="P22" s="9">
        <f t="shared" si="20"/>
        <v>41329748250</v>
      </c>
      <c r="Q22" s="3">
        <f t="shared" si="6"/>
        <v>131</v>
      </c>
      <c r="R22" s="10" t="n">
        <f>ROUND($J22*1.637*1.75*2.1*2.3*1.25,0)</f>
        <v>118823026219</v>
      </c>
      <c r="S22" s="5">
        <f t="shared" si="7"/>
        <v>133</v>
      </c>
      <c r="T22" s="9" t="n">
        <f>ROUND($J22*1.637*1.75*2.1*2.3*2.6*1.25,0)</f>
        <v>308939868169</v>
      </c>
      <c r="U22" s="3">
        <f t="shared" si="8"/>
        <v>136</v>
      </c>
      <c r="V22" s="10" t="n">
        <f>ROUND($J22*1.637*1.75*2.1*2.3*2.6*3.2*1.25,0)</f>
        <v>988607578140</v>
      </c>
      <c r="W22" s="5">
        <f t="shared" si="9"/>
        <v>140</v>
      </c>
      <c r="X22" s="9" t="n">
        <f>ROUND($J22*1.637*1.75*2.1*2.3*2.6*3.2*4.2*1.25,0)</f>
        <v>4152151828188</v>
      </c>
      <c r="Y22" s="3">
        <f t="shared" si="10"/>
        <v>142</v>
      </c>
      <c r="Z22" s="10" t="n">
        <f>ROUND($J22*1.637*1.75*2.1*2.3*2.6*3.2*4.2*2.4*1.25,0)</f>
        <v>9965164387651</v>
      </c>
      <c r="AA22" s="5">
        <f t="shared" si="11"/>
        <v>144</v>
      </c>
      <c r="AB22" s="9" t="n">
        <f>ROUND($J22*1.637*1.75*2.1*2.3*2.6*3.2*4.2*2.4*2.5*1.25,0)</f>
        <v>24912910969128</v>
      </c>
      <c r="AC22" s="3">
        <f t="shared" si="12"/>
        <v>146</v>
      </c>
      <c r="AD22" s="10" t="n">
        <f>ROUND($J22*1.637*1.75*2.1*2.3*2.6*3.2*4.2*2.4*2.5*2.8*1.25,0)</f>
        <v>69756150713558</v>
      </c>
      <c r="AE22" s="5">
        <f t="shared" si="13"/>
        <v>149</v>
      </c>
      <c r="AF22" s="9" t="n">
        <f>ROUND($J22*1.637*1.75*2.1*2.3*2.6*3.2*4.2*2.4*2.5*2.8*3.2*1.25,0)</f>
        <v>223219682283387</v>
      </c>
      <c r="AG22" s="3">
        <f t="shared" si="14"/>
        <v>152</v>
      </c>
      <c r="AH22" s="10" t="n">
        <f>ROUND($J22*1.637*1.75*2.1*2.3*2.6*3.2*4.2*2.4*2.5*2.8*3.2*3.8*1.25,0)</f>
        <v>848234792676870</v>
      </c>
    </row>
    <row r="23" hidden="1">
      <c r="A23" s="2">
        <v>55</v>
      </c>
      <c r="B23" s="2" t="s">
        <v>76</v>
      </c>
      <c r="C23" s="2" t="s">
        <v>24</v>
      </c>
      <c r="D23" s="2" t="s">
        <v>29</v>
      </c>
      <c r="E23" s="2">
        <v>125</v>
      </c>
      <c r="F23" s="2" t="s">
        <v>62</v>
      </c>
      <c r="G23" s="2" t="s">
        <v>67</v>
      </c>
      <c r="H23" s="2">
        <v>33</v>
      </c>
      <c r="I23" s="3">
        <v>125</v>
      </c>
      <c r="J23" s="4">
        <v>2400000000</v>
      </c>
      <c r="K23" s="5">
        <f t="shared" si="0"/>
        <v>126</v>
      </c>
      <c r="L23" s="9">
        <f t="shared" si="18"/>
        <v>3928800000</v>
      </c>
      <c r="M23" s="3">
        <f t="shared" si="2"/>
        <v>127</v>
      </c>
      <c r="N23" s="10">
        <f t="shared" si="19"/>
        <v>6875400000</v>
      </c>
      <c r="O23" s="5">
        <f t="shared" si="4"/>
        <v>129</v>
      </c>
      <c r="P23" s="9">
        <f t="shared" si="20"/>
        <v>14438340000</v>
      </c>
      <c r="Q23" s="3">
        <f t="shared" si="6"/>
        <v>131</v>
      </c>
      <c r="R23" s="10" t="n">
        <f>ROUND($J23*1.637*1.75*2.1*2.3*1.25,0)</f>
        <v>41510227500</v>
      </c>
      <c r="S23" s="5">
        <f t="shared" si="7"/>
        <v>133</v>
      </c>
      <c r="T23" s="9" t="n">
        <f>ROUND($J23*1.637*1.75*2.1*2.3*2.6*1.25,0)</f>
        <v>107926591500</v>
      </c>
      <c r="U23" s="3">
        <f t="shared" si="8"/>
        <v>136</v>
      </c>
      <c r="V23" s="10" t="n">
        <f>ROUND($J23*1.637*1.75*2.1*2.3*2.6*3.2*1.25,0)</f>
        <v>345365092800</v>
      </c>
      <c r="W23" s="5">
        <f t="shared" si="9"/>
        <v>140</v>
      </c>
      <c r="X23" s="9" t="n">
        <f>ROUND($J23*1.637*1.75*2.1*2.3*2.6*3.2*4.2*1.25,0)</f>
        <v>1450533389760</v>
      </c>
      <c r="Y23" s="3">
        <f t="shared" si="10"/>
        <v>142</v>
      </c>
      <c r="Z23" s="10" t="n">
        <f>ROUND($J23*1.637*1.75*2.1*2.3*2.6*3.2*4.2*2.4*1.25,0)</f>
        <v>3481280135424</v>
      </c>
      <c r="AA23" s="5">
        <f t="shared" si="11"/>
        <v>144</v>
      </c>
      <c r="AB23" s="9" t="n">
        <f>ROUND($J23*1.637*1.75*2.1*2.3*2.6*3.2*4.2*2.4*2.5*1.25,0)</f>
        <v>8703200338560</v>
      </c>
      <c r="AC23" s="3">
        <f t="shared" si="12"/>
        <v>146</v>
      </c>
      <c r="AD23" s="10" t="n">
        <f>ROUND($J23*1.637*1.75*2.1*2.3*2.6*3.2*4.2*2.4*2.5*2.8*1.25,0)</f>
        <v>24368960947968</v>
      </c>
      <c r="AE23" s="5">
        <f t="shared" si="13"/>
        <v>149</v>
      </c>
      <c r="AF23" s="9" t="n">
        <f>ROUND($J23*1.637*1.75*2.1*2.3*2.6*3.2*4.2*2.4*2.5*2.8*3.2*1.25,0)</f>
        <v>77980675033498</v>
      </c>
      <c r="AG23" s="3">
        <f t="shared" si="14"/>
        <v>152</v>
      </c>
      <c r="AH23" s="10" t="n">
        <f>ROUND($J23*1.637*1.75*2.1*2.3*2.6*3.2*4.2*2.4*2.5*2.8*3.2*3.8*1.25,0)</f>
        <v>296326565127291</v>
      </c>
    </row>
    <row r="24" hidden="1">
      <c r="A24" s="2">
        <v>33</v>
      </c>
      <c r="B24" s="2" t="s">
        <v>77</v>
      </c>
      <c r="C24" s="2" t="s">
        <v>24</v>
      </c>
      <c r="D24" s="2" t="s">
        <v>29</v>
      </c>
      <c r="E24" s="2">
        <v>125</v>
      </c>
      <c r="F24" s="2" t="s">
        <v>42</v>
      </c>
      <c r="G24" s="2" t="s">
        <v>51</v>
      </c>
      <c r="H24" s="2">
        <v>34</v>
      </c>
      <c r="I24" s="3">
        <v>125</v>
      </c>
      <c r="J24" s="4">
        <v>22590000000</v>
      </c>
      <c r="K24" s="5">
        <f t="shared" si="0"/>
        <v>126</v>
      </c>
      <c r="L24" s="9">
        <f t="shared" si="18"/>
        <v>36979830000</v>
      </c>
      <c r="M24" s="3">
        <f t="shared" si="2"/>
        <v>127</v>
      </c>
      <c r="N24" s="10">
        <f t="shared" si="19"/>
        <v>64714702500</v>
      </c>
      <c r="O24" s="5">
        <f t="shared" si="4"/>
        <v>129</v>
      </c>
      <c r="P24" s="9">
        <f t="shared" si="20"/>
        <v>135900875250</v>
      </c>
      <c r="Q24" s="3">
        <f t="shared" si="6"/>
        <v>131</v>
      </c>
      <c r="R24" s="10" t="n">
        <f>ROUND($J24*1.637*1.75*2.1*2.3*1.25,0)</f>
        <v>390715016344</v>
      </c>
      <c r="S24" s="5">
        <f t="shared" si="7"/>
        <v>133</v>
      </c>
      <c r="T24" s="9" t="n">
        <f>ROUND($J24*1.637*1.75*2.1*2.3*2.6*1.25,0)</f>
        <v>1015859042494</v>
      </c>
      <c r="U24" s="3">
        <f t="shared" si="8"/>
        <v>136</v>
      </c>
      <c r="V24" s="10" t="n">
        <f>ROUND($J24*1.637*1.75*2.1*2.3*2.6*3.2*1.25,0)</f>
        <v>3250748935980</v>
      </c>
      <c r="W24" s="5">
        <f t="shared" si="9"/>
        <v>140</v>
      </c>
      <c r="X24" s="9" t="n">
        <f>ROUND($J24*1.637*1.75*2.1*2.3*2.6*3.2*4.2*1.25,0)</f>
        <v>13653145531116</v>
      </c>
      <c r="Y24" s="3">
        <f t="shared" si="10"/>
        <v>142</v>
      </c>
      <c r="Z24" s="10" t="n">
        <f>ROUND($J24*1.637*1.75*2.1*2.3*2.6*3.2*4.2*2.4*1.25,0)</f>
        <v>32767549274678</v>
      </c>
      <c r="AA24" s="5">
        <f t="shared" si="11"/>
        <v>144</v>
      </c>
      <c r="AB24" s="9" t="n">
        <f>ROUND($J24*1.637*1.75*2.1*2.3*2.6*3.2*4.2*2.4*2.5*1.25,0)</f>
        <v>81918873186696</v>
      </c>
      <c r="AC24" s="3">
        <f t="shared" si="12"/>
        <v>146</v>
      </c>
      <c r="AD24" s="10" t="n">
        <f>ROUND($J24*1.637*1.75*2.1*2.3*2.6*3.2*4.2*2.4*2.5*2.8*1.25,0)</f>
        <v>229372844922749</v>
      </c>
      <c r="AE24" s="5">
        <f t="shared" si="13"/>
        <v>149</v>
      </c>
      <c r="AF24" s="9" t="n">
        <f>ROUND($J24*1.637*1.75*2.1*2.3*2.6*3.2*4.2*2.4*2.5*2.8*3.2*1.25,0)</f>
        <v>733993103752796</v>
      </c>
      <c r="AG24" s="3">
        <f t="shared" si="14"/>
        <v>152</v>
      </c>
      <c r="AH24" s="10" t="n">
        <f>ROUND($J24*1.637*1.75*2.1*2.3*2.6*3.2*4.2*2.4*2.5*2.8*3.2*3.8*1.25,0)</f>
        <v>2789173794260620</v>
      </c>
    </row>
    <row r="25" hidden="1">
      <c r="A25" s="2">
        <v>4</v>
      </c>
      <c r="B25" s="2" t="s">
        <v>78</v>
      </c>
      <c r="C25" s="2" t="s">
        <v>24</v>
      </c>
      <c r="D25" s="2" t="s">
        <v>79</v>
      </c>
      <c r="E25" s="2">
        <v>125</v>
      </c>
      <c r="F25" s="2" t="s">
        <v>30</v>
      </c>
      <c r="G25" s="2" t="s">
        <v>72</v>
      </c>
      <c r="H25" s="2">
        <v>32</v>
      </c>
      <c r="I25" s="3">
        <v>125</v>
      </c>
      <c r="J25" s="4">
        <v>1930000000</v>
      </c>
      <c r="K25" s="5">
        <f t="shared" si="0"/>
        <v>126</v>
      </c>
      <c r="L25" s="9">
        <f t="shared" si="18"/>
        <v>3159410000</v>
      </c>
      <c r="M25" s="3">
        <f t="shared" si="2"/>
        <v>127</v>
      </c>
      <c r="N25" s="10">
        <f t="shared" si="19"/>
        <v>5528967500</v>
      </c>
      <c r="O25" s="5">
        <f t="shared" si="4"/>
        <v>129</v>
      </c>
      <c r="P25" s="9">
        <f t="shared" si="20"/>
        <v>11610831750</v>
      </c>
      <c r="Q25" s="3">
        <f t="shared" si="6"/>
        <v>131</v>
      </c>
      <c r="R25" s="10" t="n">
        <f>ROUND($J25*1.637*1.75*2.1*2.3*1.25,0)</f>
        <v>33381141281</v>
      </c>
      <c r="S25" s="5">
        <f t="shared" si="7"/>
        <v>133</v>
      </c>
      <c r="T25" s="9" t="n">
        <f>ROUND($J25*1.637*1.75*2.1*2.3*2.6*1.25,0)</f>
        <v>86790967331</v>
      </c>
      <c r="U25" s="3">
        <f t="shared" si="8"/>
        <v>136</v>
      </c>
      <c r="V25" s="10" t="n">
        <f>ROUND($J25*1.637*1.75*2.1*2.3*2.6*3.2*1.25,0)</f>
        <v>277731095460</v>
      </c>
      <c r="W25" s="5">
        <f t="shared" si="9"/>
        <v>140</v>
      </c>
      <c r="X25" s="9" t="n">
        <f>ROUND($J25*1.637*1.75*2.1*2.3*2.6*3.2*4.2*1.25,0)</f>
        <v>1166470600932</v>
      </c>
      <c r="Y25" s="3">
        <f t="shared" si="10"/>
        <v>142</v>
      </c>
      <c r="Z25" s="10" t="n">
        <f>ROUND($J25*1.637*1.75*2.1*2.3*2.6*3.2*4.2*2.4*1.25,0)</f>
        <v>2799529442237</v>
      </c>
      <c r="AA25" s="5">
        <f t="shared" si="11"/>
        <v>144</v>
      </c>
      <c r="AB25" s="9" t="n">
        <f>ROUND($J25*1.637*1.75*2.1*2.3*2.6*3.2*4.2*2.4*2.5*1.25,0)</f>
        <v>6998823605592</v>
      </c>
      <c r="AC25" s="3">
        <f t="shared" si="12"/>
        <v>146</v>
      </c>
      <c r="AD25" s="10" t="n">
        <f>ROUND($J25*1.637*1.75*2.1*2.3*2.6*3.2*4.2*2.4*2.5*2.8*1.25,0)</f>
        <v>19596706095658</v>
      </c>
      <c r="AE25" s="5">
        <f t="shared" si="13"/>
        <v>149</v>
      </c>
      <c r="AF25" s="9" t="n">
        <f>ROUND($J25*1.637*1.75*2.1*2.3*2.6*3.2*4.2*2.4*2.5*2.8*3.2*1.25,0)</f>
        <v>62709459506104</v>
      </c>
      <c r="AG25" s="3">
        <f t="shared" si="14"/>
        <v>152</v>
      </c>
      <c r="AH25" s="10" t="n">
        <f>ROUND($J25*1.637*1.75*2.1*2.3*2.6*3.2*4.2*2.4*2.5*2.8*3.2*3.8*1.25,0)</f>
        <v>238295946123196</v>
      </c>
    </row>
    <row r="26" hidden="1">
      <c r="A26" s="2">
        <v>62</v>
      </c>
      <c r="B26" s="2" t="s">
        <v>80</v>
      </c>
      <c r="C26" s="2" t="s">
        <v>24</v>
      </c>
      <c r="D26" s="2" t="s">
        <v>45</v>
      </c>
      <c r="E26" s="2">
        <v>125</v>
      </c>
      <c r="F26" s="2" t="s">
        <v>71</v>
      </c>
      <c r="G26" s="2" t="s">
        <v>72</v>
      </c>
      <c r="H26" s="2">
        <v>31</v>
      </c>
      <c r="I26" s="3">
        <v>125</v>
      </c>
      <c r="J26" s="4">
        <v>1600000000</v>
      </c>
      <c r="K26" s="5">
        <f t="shared" si="0"/>
        <v>126</v>
      </c>
      <c r="L26" s="9">
        <f t="shared" si="18"/>
        <v>2619200000</v>
      </c>
      <c r="M26" s="3">
        <f t="shared" si="2"/>
        <v>127</v>
      </c>
      <c r="N26" s="10">
        <f t="shared" si="19"/>
        <v>4583600000</v>
      </c>
      <c r="O26" s="5">
        <f t="shared" si="4"/>
        <v>129</v>
      </c>
      <c r="P26" s="9">
        <f t="shared" si="20"/>
        <v>9625560000</v>
      </c>
      <c r="Q26" s="3">
        <f t="shared" si="6"/>
        <v>131</v>
      </c>
      <c r="R26" s="10" t="n">
        <f>ROUND($J26*1.637*1.75*2.1*2.3*1,0)</f>
        <v>22138788000</v>
      </c>
      <c r="S26" s="5">
        <f t="shared" si="7"/>
        <v>133</v>
      </c>
      <c r="T26" s="9" t="n">
        <f>ROUND($J26*1.637*1.75*2.1*2.3*2.6*1,0)</f>
        <v>57560848800</v>
      </c>
      <c r="U26" s="3">
        <f t="shared" si="8"/>
        <v>136</v>
      </c>
      <c r="V26" s="10" t="n">
        <f>ROUND($J26*1.637*1.75*2.1*2.3*2.6*3.2*1,0)</f>
        <v>184194716160</v>
      </c>
      <c r="W26" s="5">
        <f t="shared" si="9"/>
        <v>140</v>
      </c>
      <c r="X26" s="9" t="n">
        <f>ROUND($J26*1.637*1.75*2.1*2.3*2.6*3.2*4.2*1,0)</f>
        <v>773617807872</v>
      </c>
      <c r="Y26" s="3">
        <f t="shared" si="10"/>
        <v>142</v>
      </c>
      <c r="Z26" s="10" t="n">
        <f>ROUND($J26*1.637*1.75*2.1*2.3*2.6*3.2*4.2*2.4*1,0)</f>
        <v>1856682738893</v>
      </c>
      <c r="AA26" s="5">
        <f t="shared" si="11"/>
        <v>144</v>
      </c>
      <c r="AB26" s="9" t="n">
        <f>ROUND($J26*1.637*1.75*2.1*2.3*2.6*3.2*4.2*2.4*2.5*1,0)</f>
        <v>4641706847232</v>
      </c>
      <c r="AC26" s="3">
        <f t="shared" si="12"/>
        <v>146</v>
      </c>
      <c r="AD26" s="10" t="n">
        <f>ROUND($J26*1.637*1.75*2.1*2.3*2.6*3.2*4.2*2.4*2.5*2.8*1,0)</f>
        <v>12996779172250</v>
      </c>
      <c r="AE26" s="5">
        <f t="shared" si="13"/>
        <v>149</v>
      </c>
      <c r="AF26" s="9" t="n">
        <f>ROUND($J26*1.637*1.75*2.1*2.3*2.6*3.2*4.2*2.4*2.5*2.8*3.2*1,0)</f>
        <v>41589693351199</v>
      </c>
      <c r="AG26" s="3">
        <f t="shared" si="14"/>
        <v>152</v>
      </c>
      <c r="AH26" s="10" t="n">
        <f>ROUND($J26*1.637*1.75*2.1*2.3*2.6*3.2*4.2*2.4*2.5*2.8*3.2*3.8*1,0)</f>
        <v>158040834734555</v>
      </c>
    </row>
    <row r="27" hidden="1">
      <c r="A27" s="2">
        <v>60</v>
      </c>
      <c r="B27" s="2" t="s">
        <v>81</v>
      </c>
      <c r="C27" s="2" t="s">
        <v>24</v>
      </c>
      <c r="D27" s="2" t="s">
        <v>25</v>
      </c>
      <c r="E27" s="2">
        <v>125</v>
      </c>
      <c r="F27" s="2" t="s">
        <v>30</v>
      </c>
      <c r="G27" s="2" t="s">
        <v>82</v>
      </c>
      <c r="H27" s="2">
        <v>32</v>
      </c>
      <c r="I27" s="3">
        <v>125</v>
      </c>
      <c r="J27" s="4">
        <v>7160000000</v>
      </c>
      <c r="K27" s="5">
        <f t="shared" si="0"/>
        <v>126</v>
      </c>
      <c r="L27" s="9">
        <f t="shared" si="18"/>
        <v>11720920000</v>
      </c>
      <c r="M27" s="3">
        <f t="shared" si="2"/>
        <v>127</v>
      </c>
      <c r="N27" s="10">
        <f t="shared" si="19"/>
        <v>20511610000</v>
      </c>
      <c r="O27" s="5">
        <f t="shared" si="4"/>
        <v>129</v>
      </c>
      <c r="P27" s="9">
        <f t="shared" si="20"/>
        <v>43074381000</v>
      </c>
      <c r="Q27" s="3">
        <f t="shared" si="6"/>
        <v>131</v>
      </c>
      <c r="R27" s="10" t="n">
        <f>ROUND($J27*1.637*1.75*2.1*2.3*1.25,0)</f>
        <v>123838845375</v>
      </c>
      <c r="S27" s="5">
        <f t="shared" si="7"/>
        <v>133</v>
      </c>
      <c r="T27" s="9" t="n">
        <f>ROUND($J27*1.637*1.75*2.1*2.3*2.6*1.25,0)</f>
        <v>321980997975</v>
      </c>
      <c r="U27" s="3">
        <f t="shared" si="8"/>
        <v>136</v>
      </c>
      <c r="V27" s="10" t="n">
        <f>ROUND($J27*1.637*1.75*2.1*2.3*2.6*3.2*1.25,0)</f>
        <v>1030339193520</v>
      </c>
      <c r="W27" s="5">
        <f t="shared" si="9"/>
        <v>140</v>
      </c>
      <c r="X27" s="9" t="n">
        <f>ROUND($J27*1.637*1.75*2.1*2.3*2.6*3.2*4.2*1.25,0)</f>
        <v>4327424612784</v>
      </c>
      <c r="Y27" s="3">
        <f t="shared" si="10"/>
        <v>142</v>
      </c>
      <c r="Z27" s="10" t="n">
        <f>ROUND($J27*1.637*1.75*2.1*2.3*2.6*3.2*4.2*2.4*1.25,0)</f>
        <v>10385819070682</v>
      </c>
      <c r="AA27" s="5">
        <f t="shared" si="11"/>
        <v>144</v>
      </c>
      <c r="AB27" s="9" t="n">
        <f>ROUND($J27*1.637*1.75*2.1*2.3*2.6*3.2*4.2*2.4*2.5*1.25,0)</f>
        <v>25964547676704</v>
      </c>
      <c r="AC27" s="3">
        <f t="shared" si="12"/>
        <v>146</v>
      </c>
      <c r="AD27" s="10" t="n">
        <f>ROUND($J27*1.637*1.75*2.1*2.3*2.6*3.2*4.2*2.4*2.5*2.8*1.25,0)</f>
        <v>72700733494771</v>
      </c>
      <c r="AE27" s="5">
        <f t="shared" si="13"/>
        <v>149</v>
      </c>
      <c r="AF27" s="9" t="n">
        <f>ROUND($J27*1.637*1.75*2.1*2.3*2.6*3.2*4.2*2.4*2.5*2.8*3.2*1.25,0)</f>
        <v>232642347183268</v>
      </c>
      <c r="AG27" s="3">
        <f t="shared" si="14"/>
        <v>152</v>
      </c>
      <c r="AH27" s="10" t="n">
        <f>ROUND($J27*1.637*1.75*2.1*2.3*2.6*3.2*4.2*2.4*2.5*2.8*3.2*3.8*1.25,0)</f>
        <v>884040919296418</v>
      </c>
    </row>
    <row r="28" hidden="1">
      <c r="A28" s="2">
        <v>76</v>
      </c>
      <c r="B28" s="2" t="s">
        <v>83</v>
      </c>
      <c r="C28" s="2" t="s">
        <v>24</v>
      </c>
      <c r="D28" s="2" t="s">
        <v>33</v>
      </c>
      <c r="E28" s="2">
        <v>124</v>
      </c>
      <c r="F28" s="2" t="s">
        <v>62</v>
      </c>
      <c r="G28" s="2" t="s">
        <v>51</v>
      </c>
      <c r="H28" s="2">
        <v>32</v>
      </c>
      <c r="I28" s="3">
        <v>124</v>
      </c>
      <c r="J28" s="4">
        <v>1010000000</v>
      </c>
      <c r="K28" s="5">
        <f t="shared" si="0"/>
        <v>125</v>
      </c>
      <c r="L28" s="9">
        <f t="shared" si="18"/>
        <v>1653370000</v>
      </c>
      <c r="M28" s="3">
        <f t="shared" si="2"/>
        <v>126</v>
      </c>
      <c r="N28" s="10">
        <f t="shared" si="19"/>
        <v>2893397500</v>
      </c>
      <c r="O28" s="5">
        <f t="shared" si="4"/>
        <v>128</v>
      </c>
      <c r="P28" s="9">
        <f t="shared" si="20"/>
        <v>6076134750</v>
      </c>
      <c r="Q28" s="3">
        <f t="shared" si="6"/>
        <v>130</v>
      </c>
      <c r="R28" s="10" t="n">
        <f>ROUND($J28*1.637*1.75*2.1*2.3*1,0)</f>
        <v>13975109925</v>
      </c>
      <c r="S28" s="5">
        <f t="shared" si="7"/>
        <v>132</v>
      </c>
      <c r="T28" s="9" t="n">
        <f>ROUND($J28*1.637*1.75*2.1*2.3*2.6*1,0)</f>
        <v>36335285805</v>
      </c>
      <c r="U28" s="3">
        <f t="shared" si="8"/>
        <v>135</v>
      </c>
      <c r="V28" s="10" t="n">
        <f>ROUND($J28*1.637*1.75*2.1*2.3*2.6*3.2*1,0)</f>
        <v>116272914576</v>
      </c>
      <c r="W28" s="5">
        <f t="shared" si="9"/>
        <v>139</v>
      </c>
      <c r="X28" s="9" t="n">
        <f>ROUND($J28*1.637*1.75*2.1*2.3*2.6*3.2*4.2*1,0)</f>
        <v>488346241219</v>
      </c>
      <c r="Y28" s="3">
        <f t="shared" si="10"/>
        <v>141</v>
      </c>
      <c r="Z28" s="10" t="n">
        <f>ROUND($J28*1.637*1.75*2.1*2.3*2.6*3.2*4.2*2.4*1,0)</f>
        <v>1172030978926</v>
      </c>
      <c r="AA28" s="5">
        <f t="shared" si="11"/>
        <v>143</v>
      </c>
      <c r="AB28" s="9" t="n">
        <f>ROUND($J28*1.637*1.75*2.1*2.3*2.6*3.2*4.2*2.4*2.5*1,0)</f>
        <v>2930077447315</v>
      </c>
      <c r="AC28" s="3">
        <f t="shared" si="12"/>
        <v>145</v>
      </c>
      <c r="AD28" s="10" t="n">
        <f>ROUND($J28*1.637*1.75*2.1*2.3*2.6*3.2*4.2*2.4*2.5*2.8*1,0)</f>
        <v>8204216852483</v>
      </c>
      <c r="AE28" s="5">
        <f t="shared" si="13"/>
        <v>148</v>
      </c>
      <c r="AF28" s="9" t="n">
        <f>ROUND($J28*1.637*1.75*2.1*2.3*2.6*3.2*4.2*2.4*2.5*2.8*3.2*1,0)</f>
        <v>26253493927944</v>
      </c>
      <c r="AG28" s="3">
        <f t="shared" si="14"/>
        <v>151</v>
      </c>
      <c r="AH28" s="10" t="n">
        <f>ROUND($J28*1.637*1.75*2.1*2.3*2.6*3.2*4.2*2.4*2.5*2.8*3.2*3.8*1,0)</f>
        <v>99763276926188</v>
      </c>
    </row>
    <row r="29" hidden="1">
      <c r="A29" s="2">
        <v>9</v>
      </c>
      <c r="B29" s="2" t="s">
        <v>84</v>
      </c>
      <c r="C29" s="2" t="s">
        <v>24</v>
      </c>
      <c r="D29" s="2" t="s">
        <v>45</v>
      </c>
      <c r="E29" s="2">
        <v>124</v>
      </c>
      <c r="F29" s="2" t="s">
        <v>62</v>
      </c>
      <c r="G29" s="2" t="s">
        <v>51</v>
      </c>
      <c r="H29" s="2">
        <v>32</v>
      </c>
      <c r="I29" s="3">
        <v>124</v>
      </c>
      <c r="J29" s="4">
        <v>1092000000</v>
      </c>
      <c r="K29" s="5">
        <f t="shared" si="0"/>
        <v>125</v>
      </c>
      <c r="L29" s="9">
        <f t="shared" si="18"/>
        <v>1787604000</v>
      </c>
      <c r="M29" s="3">
        <f t="shared" si="2"/>
        <v>126</v>
      </c>
      <c r="N29" s="10">
        <f t="shared" si="19"/>
        <v>3128307000</v>
      </c>
      <c r="O29" s="5">
        <f t="shared" si="4"/>
        <v>128</v>
      </c>
      <c r="P29" s="9">
        <f t="shared" si="20"/>
        <v>6569444700</v>
      </c>
      <c r="Q29" s="3">
        <f t="shared" si="6"/>
        <v>130</v>
      </c>
      <c r="R29" s="10" t="n">
        <f>ROUND($J29*1.637*1.75*2.1*2.3*1,0)</f>
        <v>15109722810</v>
      </c>
      <c r="S29" s="5">
        <f t="shared" si="7"/>
        <v>132</v>
      </c>
      <c r="T29" s="9" t="n">
        <f>ROUND($J29*1.637*1.75*2.1*2.3*2.6*1,0)</f>
        <v>39285279306</v>
      </c>
      <c r="U29" s="3">
        <f t="shared" si="8"/>
        <v>135</v>
      </c>
      <c r="V29" s="10" t="n">
        <f>ROUND($J29*1.637*1.75*2.1*2.3*2.6*3.2*1,0)</f>
        <v>125712893779</v>
      </c>
      <c r="W29" s="5">
        <f t="shared" si="9"/>
        <v>139</v>
      </c>
      <c r="X29" s="9" t="n">
        <f>ROUND($J29*1.637*1.75*2.1*2.3*2.6*3.2*4.2*1,0)</f>
        <v>527994153873</v>
      </c>
      <c r="Y29" s="3">
        <f t="shared" si="10"/>
        <v>141</v>
      </c>
      <c r="Z29" s="10" t="n">
        <f>ROUND($J29*1.637*1.75*2.1*2.3*2.6*3.2*4.2*2.4*1,0)</f>
        <v>1267185969294</v>
      </c>
      <c r="AA29" s="5">
        <f t="shared" si="11"/>
        <v>143</v>
      </c>
      <c r="AB29" s="9" t="n">
        <f>ROUND($J29*1.637*1.75*2.1*2.3*2.6*3.2*4.2*2.4*2.5*1,0)</f>
        <v>3167964923236</v>
      </c>
      <c r="AC29" s="3">
        <f t="shared" si="12"/>
        <v>145</v>
      </c>
      <c r="AD29" s="10" t="n">
        <f>ROUND($J29*1.637*1.75*2.1*2.3*2.6*3.2*4.2*2.4*2.5*2.8*1,0)</f>
        <v>8870301785060</v>
      </c>
      <c r="AE29" s="5">
        <f t="shared" si="13"/>
        <v>148</v>
      </c>
      <c r="AF29" s="9" t="n">
        <f>ROUND($J29*1.637*1.75*2.1*2.3*2.6*3.2*4.2*2.4*2.5*2.8*3.2*1,0)</f>
        <v>28384965712193</v>
      </c>
      <c r="AG29" s="3">
        <f t="shared" si="14"/>
        <v>151</v>
      </c>
      <c r="AH29" s="10" t="n">
        <f>ROUND($J29*1.637*1.75*2.1*2.3*2.6*3.2*4.2*2.4*2.5*2.8*3.2*3.8*1,0)</f>
        <v>107862869706334</v>
      </c>
    </row>
    <row r="30" hidden="1">
      <c r="A30" s="2">
        <v>77</v>
      </c>
      <c r="B30" s="2" t="s">
        <v>85</v>
      </c>
      <c r="C30" s="2" t="s">
        <v>24</v>
      </c>
      <c r="D30" s="2" t="s">
        <v>40</v>
      </c>
      <c r="E30" s="2">
        <v>124</v>
      </c>
      <c r="F30" s="2" t="s">
        <v>56</v>
      </c>
      <c r="G30" s="2" t="s">
        <v>86</v>
      </c>
      <c r="H30" s="2">
        <v>32</v>
      </c>
      <c r="I30" s="3">
        <v>124</v>
      </c>
      <c r="J30" s="4">
        <v>234000000</v>
      </c>
      <c r="K30" s="5">
        <f t="shared" si="0"/>
        <v>125</v>
      </c>
      <c r="L30" s="9" t="n">
        <f>ROUND($J30*1.637*0.8,0)</f>
        <v>306446400</v>
      </c>
      <c r="M30" s="3">
        <f t="shared" si="2"/>
        <v>126</v>
      </c>
      <c r="N30" s="10" t="n">
        <f>ROUND($J30*1.637*1.75*0.8,0)</f>
        <v>536281200</v>
      </c>
      <c r="O30" s="5">
        <f t="shared" si="4"/>
        <v>128</v>
      </c>
      <c r="P30" s="9" t="n">
        <f>ROUND($J30*1.637*1.75*2.1*0.8,0)</f>
        <v>1126190520</v>
      </c>
      <c r="Q30" s="3">
        <f t="shared" si="6"/>
        <v>130</v>
      </c>
      <c r="R30" s="10" t="n">
        <f>ROUND($J30*1.637*1.75*2.1*2.3*0.542035092435954,0)</f>
        <v>1755000000</v>
      </c>
      <c r="S30" s="5">
        <f t="shared" si="7"/>
        <v>132</v>
      </c>
      <c r="T30" s="9" t="n">
        <f>ROUND($J30*1.637*1.75*2.1*2.3*2.6*0.544690061623969,0)</f>
        <v>4585350258</v>
      </c>
      <c r="U30" s="3">
        <f t="shared" si="8"/>
        <v>135</v>
      </c>
      <c r="V30" s="10" t="n">
        <f>ROUND($J30*1.637*1.75*2.1*2.3*2.6*3.2*0.547345030811984,0)</f>
        <v>14744641654</v>
      </c>
      <c r="W30" s="5">
        <f t="shared" si="9"/>
        <v>139</v>
      </c>
      <c r="X30" s="9" t="n">
        <f>ROUND($J30*1.637*1.75*2.1*2.3*2.6*3.2*4.2*0.55,0)</f>
        <v>62227882421</v>
      </c>
      <c r="Y30" s="3">
        <f t="shared" si="10"/>
        <v>141</v>
      </c>
      <c r="Z30" s="10" t="n">
        <f>ROUND($J30*1.637*1.75*2.1*2.3*2.6*3.2*4.2*2.4*0.55,0)</f>
        <v>149346917810</v>
      </c>
      <c r="AA30" s="5">
        <f t="shared" si="11"/>
        <v>143</v>
      </c>
      <c r="AB30" s="9" t="n">
        <f>ROUND($J30*1.637*1.75*2.1*2.3*2.6*3.2*4.2*2.4*2.5*0.55,0)</f>
        <v>373367294524</v>
      </c>
      <c r="AC30" s="3">
        <f t="shared" si="12"/>
        <v>145</v>
      </c>
      <c r="AD30" s="10" t="n">
        <f>ROUND($J30*1.637*1.75*2.1*2.3*2.6*3.2*4.2*2.4*2.5*2.8*0.55,0)</f>
        <v>1045428424668</v>
      </c>
      <c r="AE30" s="5">
        <f t="shared" si="13"/>
        <v>148</v>
      </c>
      <c r="AF30" s="9" t="n">
        <f>ROUND($J30*1.637*1.75*2.1*2.3*2.6*3.2*4.2*2.4*2.5*2.8*3.2*0.55,0)</f>
        <v>3345370958937</v>
      </c>
      <c r="AG30" s="3">
        <f t="shared" si="14"/>
        <v>151</v>
      </c>
      <c r="AH30" s="10" t="n">
        <f>ROUND($J30*1.637*1.75*2.1*2.3*2.6*3.2*4.2*2.4*2.5*2.8*3.2*3.8*0.55,0)</f>
        <v>12712409643961</v>
      </c>
    </row>
    <row r="31" hidden="1">
      <c r="A31" s="2">
        <v>66</v>
      </c>
      <c r="B31" s="2" t="s">
        <v>87</v>
      </c>
      <c r="C31" s="2" t="s">
        <v>24</v>
      </c>
      <c r="D31" s="2" t="s">
        <v>40</v>
      </c>
      <c r="E31" s="2">
        <v>124</v>
      </c>
      <c r="F31" s="2" t="s">
        <v>88</v>
      </c>
      <c r="G31" s="2" t="s">
        <v>51</v>
      </c>
      <c r="H31" s="2">
        <v>33</v>
      </c>
      <c r="I31" s="3">
        <v>124</v>
      </c>
      <c r="J31" s="4">
        <v>8450000000</v>
      </c>
      <c r="K31" s="5">
        <f t="shared" si="0"/>
        <v>125</v>
      </c>
      <c r="L31" s="9" t="n">
        <f>ROUND($J31*1.637*1,0)</f>
        <v>13832650000</v>
      </c>
      <c r="M31" s="3">
        <f t="shared" si="2"/>
        <v>126</v>
      </c>
      <c r="N31" s="10" t="n">
        <f>ROUND($J31*1.637*1.75*1,0)</f>
        <v>24207137500</v>
      </c>
      <c r="O31" s="5">
        <f t="shared" si="4"/>
        <v>128</v>
      </c>
      <c r="P31" s="9" t="n">
        <f>ROUND($J31*1.637*1.75*2.1*1,0)</f>
        <v>50834988750</v>
      </c>
      <c r="Q31" s="3">
        <f t="shared" si="6"/>
        <v>130</v>
      </c>
      <c r="R31" s="10" t="n">
        <f>ROUND($J31*1.637*1.75*2.1*2.3*1.25,0)</f>
        <v>146150592656</v>
      </c>
      <c r="S31" s="5">
        <f t="shared" si="7"/>
        <v>132</v>
      </c>
      <c r="T31" s="9" t="n">
        <f>ROUND($J31*1.637*1.75*2.1*2.3*2.6*1.25,0)</f>
        <v>379991540906</v>
      </c>
      <c r="U31" s="3">
        <f t="shared" si="8"/>
        <v>135</v>
      </c>
      <c r="V31" s="10" t="n">
        <f>ROUND($J31*1.637*1.75*2.1*2.3*2.6*3.2*1.25,0)</f>
        <v>1215972930900</v>
      </c>
      <c r="W31" s="5">
        <f t="shared" si="9"/>
        <v>139</v>
      </c>
      <c r="X31" s="9" t="n">
        <f>ROUND($J31*1.637*1.75*2.1*2.3*2.6*3.2*4.2*1.25,0)</f>
        <v>5107086309780</v>
      </c>
      <c r="Y31" s="3">
        <f t="shared" si="10"/>
        <v>141</v>
      </c>
      <c r="Z31" s="10" t="n">
        <f>ROUND($J31*1.637*1.75*2.1*2.3*2.6*3.2*4.2*2.4*1.25,0)</f>
        <v>12257007143472</v>
      </c>
      <c r="AA31" s="5">
        <f t="shared" si="11"/>
        <v>143</v>
      </c>
      <c r="AB31" s="9" t="n">
        <f>ROUND($J31*1.637*1.75*2.1*2.3*2.6*3.2*4.2*2.4*2.5*1.25,0)</f>
        <v>30642517858680</v>
      </c>
      <c r="AC31" s="3">
        <f t="shared" si="12"/>
        <v>145</v>
      </c>
      <c r="AD31" s="10" t="n">
        <f>ROUND($J31*1.637*1.75*2.1*2.3*2.6*3.2*4.2*2.4*2.5*2.8*1.25,0)</f>
        <v>85799050004304</v>
      </c>
      <c r="AE31" s="5">
        <f t="shared" si="13"/>
        <v>148</v>
      </c>
      <c r="AF31" s="9" t="n">
        <f>ROUND($J31*1.637*1.75*2.1*2.3*2.6*3.2*4.2*2.4*2.5*2.8*3.2*1.25,0)</f>
        <v>274556960013773</v>
      </c>
      <c r="AG31" s="3">
        <f t="shared" si="14"/>
        <v>151</v>
      </c>
      <c r="AH31" s="10" t="n">
        <f>ROUND($J31*1.637*1.75*2.1*2.3*2.6*3.2*4.2*2.4*2.5*2.8*3.2*3.8*1.25,0)</f>
        <v>1043316448052340</v>
      </c>
    </row>
    <row r="32" hidden="1">
      <c r="A32" s="2">
        <v>78</v>
      </c>
      <c r="B32" s="2" t="s">
        <v>89</v>
      </c>
      <c r="C32" s="2" t="s">
        <v>24</v>
      </c>
      <c r="D32" s="2" t="s">
        <v>90</v>
      </c>
      <c r="E32" s="2">
        <v>124</v>
      </c>
      <c r="F32" s="2" t="s">
        <v>30</v>
      </c>
      <c r="G32" s="2" t="s">
        <v>51</v>
      </c>
      <c r="H32" s="2">
        <v>31</v>
      </c>
      <c r="I32" s="3">
        <v>124</v>
      </c>
      <c r="J32" s="4">
        <v>404000000</v>
      </c>
      <c r="K32" s="5">
        <f t="shared" si="0"/>
        <v>125</v>
      </c>
      <c r="L32" s="9" t="n">
        <f>ROUND($J32*1.637*1,0)</f>
        <v>661348000</v>
      </c>
      <c r="M32" s="3">
        <f t="shared" si="2"/>
        <v>126</v>
      </c>
      <c r="N32" s="10" t="n">
        <f>ROUND($J32*1.637*1.75*1,0)</f>
        <v>1157359000</v>
      </c>
      <c r="O32" s="5">
        <f t="shared" si="4"/>
        <v>128</v>
      </c>
      <c r="P32" s="9" t="n">
        <f>ROUND($J32*1.637*1.75*2.1*1,0)</f>
        <v>2430453900</v>
      </c>
      <c r="Q32" s="3">
        <f t="shared" si="6"/>
        <v>130</v>
      </c>
      <c r="R32" s="10" t="n">
        <f>ROUND($J32*1.637*1.75*2.1*2.3*1,0)</f>
        <v>5590043970</v>
      </c>
      <c r="S32" s="5">
        <f t="shared" si="7"/>
        <v>132</v>
      </c>
      <c r="T32" s="9" t="n">
        <f>ROUND($J32*1.637*1.75*2.1*2.3*2.6*1,0)</f>
        <v>14534114322</v>
      </c>
      <c r="U32" s="3">
        <f t="shared" si="8"/>
        <v>135</v>
      </c>
      <c r="V32" s="10" t="n">
        <f>ROUND($J32*1.637*1.75*2.1*2.3*2.6*3.2*1,0)</f>
        <v>46509165830</v>
      </c>
      <c r="W32" s="5">
        <f t="shared" si="9"/>
        <v>139</v>
      </c>
      <c r="X32" s="9" t="n">
        <f>ROUND($J32*1.637*1.75*2.1*2.3*2.6*3.2*4.2*1,0)</f>
        <v>195338496488</v>
      </c>
      <c r="Y32" s="3">
        <f t="shared" si="10"/>
        <v>141</v>
      </c>
      <c r="Z32" s="10" t="n">
        <f>ROUND($J32*1.637*1.75*2.1*2.3*2.6*3.2*4.2*2.4*1,0)</f>
        <v>468812391570</v>
      </c>
      <c r="AA32" s="5">
        <f t="shared" si="11"/>
        <v>143</v>
      </c>
      <c r="AB32" s="9" t="n">
        <f>ROUND($J32*1.637*1.75*2.1*2.3*2.6*3.2*4.2*2.4*2.5*1,0)</f>
        <v>1172030978926</v>
      </c>
      <c r="AC32" s="3">
        <f t="shared" si="12"/>
        <v>145</v>
      </c>
      <c r="AD32" s="10" t="n">
        <f>ROUND($J32*1.637*1.75*2.1*2.3*2.6*3.2*4.2*2.4*2.5*2.8*1,0)</f>
        <v>3281686740993</v>
      </c>
      <c r="AE32" s="5">
        <f t="shared" si="13"/>
        <v>148</v>
      </c>
      <c r="AF32" s="9" t="n">
        <f>ROUND($J32*1.637*1.75*2.1*2.3*2.6*3.2*4.2*2.4*2.5*2.8*3.2*1,0)</f>
        <v>10501397571178</v>
      </c>
      <c r="AG32" s="3">
        <f t="shared" si="14"/>
        <v>151</v>
      </c>
      <c r="AH32" s="10" t="n">
        <f>ROUND($J32*1.637*1.75*2.1*2.3*2.6*3.2*4.2*2.4*2.5*2.8*3.2*3.8*1,0)</f>
        <v>39905310770475</v>
      </c>
    </row>
    <row r="33" hidden="1">
      <c r="A33" s="2">
        <v>10</v>
      </c>
      <c r="B33" s="2" t="s">
        <v>91</v>
      </c>
      <c r="C33" s="2" t="s">
        <v>24</v>
      </c>
      <c r="D33" s="2" t="s">
        <v>47</v>
      </c>
      <c r="E33" s="2">
        <v>124</v>
      </c>
      <c r="F33" s="2" t="s">
        <v>71</v>
      </c>
      <c r="G33" s="2" t="s">
        <v>38</v>
      </c>
      <c r="H33" s="2">
        <v>27</v>
      </c>
      <c r="I33" s="3">
        <v>124</v>
      </c>
      <c r="J33" s="4">
        <v>129000000</v>
      </c>
      <c r="K33" s="5">
        <f t="shared" si="0"/>
        <v>125</v>
      </c>
      <c r="L33" s="9" t="n">
        <f>ROUND($J33*1.637*0.8,0)</f>
        <v>168938400</v>
      </c>
      <c r="M33" s="3">
        <f t="shared" si="2"/>
        <v>126</v>
      </c>
      <c r="N33" s="10" t="n">
        <f>ROUND($J33*1.637*1.75*0.8,0)</f>
        <v>295642200</v>
      </c>
      <c r="O33" s="5">
        <f t="shared" si="4"/>
        <v>128</v>
      </c>
      <c r="P33" s="9" t="n">
        <f>ROUND($J33*1.637*1.75*2.1*0.8,0)</f>
        <v>620848620</v>
      </c>
      <c r="Q33" s="3">
        <f t="shared" si="6"/>
        <v>130</v>
      </c>
      <c r="R33" s="10" t="n">
        <f>ROUND($J33*1.637*1.75*2.1*2.3*0.542035092435954,0)</f>
        <v>967500000</v>
      </c>
      <c r="S33" s="5">
        <f t="shared" si="7"/>
        <v>132</v>
      </c>
      <c r="T33" s="9" t="n">
        <f>ROUND($J33*1.637*1.75*2.1*2.3*2.6*0.544690061623969,0)</f>
        <v>2527821296</v>
      </c>
      <c r="U33" s="3">
        <f t="shared" si="8"/>
        <v>135</v>
      </c>
      <c r="V33" s="10" t="n">
        <f>ROUND($J33*1.637*1.75*2.1*2.3*2.6*3.2*0.547345030811984,0)</f>
        <v>8128456296</v>
      </c>
      <c r="W33" s="5">
        <f t="shared" si="9"/>
        <v>139</v>
      </c>
      <c r="X33" s="9" t="n">
        <f>ROUND($J33*1.637*1.75*2.1*2.3*2.6*3.2*4.2*0.55,0)</f>
        <v>34305114668</v>
      </c>
      <c r="Y33" s="3">
        <f t="shared" si="10"/>
        <v>141</v>
      </c>
      <c r="Z33" s="10" t="n">
        <f>ROUND($J33*1.637*1.75*2.1*2.3*2.6*3.2*4.2*2.4*0.55,0)</f>
        <v>82332275203</v>
      </c>
      <c r="AA33" s="5">
        <f t="shared" si="11"/>
        <v>143</v>
      </c>
      <c r="AB33" s="9" t="n">
        <f>ROUND($J33*1.637*1.75*2.1*2.3*2.6*3.2*4.2*2.4*2.5*0.55,0)</f>
        <v>205830688007</v>
      </c>
      <c r="AC33" s="3">
        <f t="shared" si="12"/>
        <v>145</v>
      </c>
      <c r="AD33" s="10" t="n">
        <f>ROUND($J33*1.637*1.75*2.1*2.3*2.6*3.2*4.2*2.4*2.5*2.8*0.55,0)</f>
        <v>576325926419</v>
      </c>
      <c r="AE33" s="5">
        <f t="shared" si="13"/>
        <v>148</v>
      </c>
      <c r="AF33" s="9" t="n">
        <f>ROUND($J33*1.637*1.75*2.1*2.3*2.6*3.2*4.2*2.4*2.5*2.8*3.2*0.55,0)</f>
        <v>1844242964542</v>
      </c>
      <c r="AG33" s="3">
        <f t="shared" si="14"/>
        <v>151</v>
      </c>
      <c r="AH33" s="10" t="n">
        <f>ROUND($J33*1.637*1.75*2.1*2.3*2.6*3.2*4.2*2.4*2.5*2.8*3.2*3.8*0.55,0)</f>
        <v>7008123265260</v>
      </c>
    </row>
    <row r="34" hidden="1">
      <c r="A34" s="2">
        <v>8</v>
      </c>
      <c r="B34" s="2" t="s">
        <v>92</v>
      </c>
      <c r="C34" s="2" t="s">
        <v>24</v>
      </c>
      <c r="D34" s="2" t="s">
        <v>93</v>
      </c>
      <c r="E34" s="2">
        <v>124</v>
      </c>
      <c r="F34" s="2" t="s">
        <v>56</v>
      </c>
      <c r="G34" s="2" t="s">
        <v>57</v>
      </c>
      <c r="H34" s="2">
        <v>32</v>
      </c>
      <c r="I34" s="3">
        <v>124</v>
      </c>
      <c r="J34" s="4">
        <v>5000000000</v>
      </c>
      <c r="K34" s="5">
        <f t="shared" si="0"/>
        <v>125</v>
      </c>
      <c r="L34" s="9" t="n">
        <f t="shared" ref="L34:L44" si="21">ROUND($J34*1.637*1,0)</f>
        <v>8185000000</v>
      </c>
      <c r="M34" s="3">
        <f t="shared" si="2"/>
        <v>126</v>
      </c>
      <c r="N34" s="10" t="n">
        <f t="shared" ref="N34:N44" si="22">ROUND($J34*1.637*1.75*1,0)</f>
        <v>14323750000</v>
      </c>
      <c r="O34" s="5">
        <f t="shared" si="4"/>
        <v>128</v>
      </c>
      <c r="P34" s="9" t="n">
        <f t="shared" ref="P34:P44" si="23">ROUND($J34*1.637*1.75*2.1*1,0)</f>
        <v>30079875000</v>
      </c>
      <c r="Q34" s="3">
        <f t="shared" si="6"/>
        <v>130</v>
      </c>
      <c r="R34" s="10" t="n">
        <f>ROUND($J34*1.637*1.75*2.1*2.3*1.25,0)</f>
        <v>86479640625</v>
      </c>
      <c r="S34" s="5">
        <f t="shared" si="7"/>
        <v>132</v>
      </c>
      <c r="T34" s="9" t="n">
        <f>ROUND($J34*1.637*1.75*2.1*2.3*2.6*1.25,0)</f>
        <v>224847065625</v>
      </c>
      <c r="U34" s="3">
        <f t="shared" si="8"/>
        <v>135</v>
      </c>
      <c r="V34" s="10" t="n">
        <f>ROUND($J34*1.637*1.75*2.1*2.3*2.6*3.2*1.25,0)</f>
        <v>719510610000</v>
      </c>
      <c r="W34" s="5">
        <f t="shared" si="9"/>
        <v>139</v>
      </c>
      <c r="X34" s="9" t="n">
        <f>ROUND($J34*1.637*1.75*2.1*2.3*2.6*3.2*4.2*1.25,0)</f>
        <v>3021944562000</v>
      </c>
      <c r="Y34" s="3">
        <f t="shared" si="10"/>
        <v>141</v>
      </c>
      <c r="Z34" s="10" t="n">
        <f>ROUND($J34*1.637*1.75*2.1*2.3*2.6*3.2*4.2*2.4*1.25,0)</f>
        <v>7252666948800</v>
      </c>
      <c r="AA34" s="5">
        <f t="shared" si="11"/>
        <v>143</v>
      </c>
      <c r="AB34" s="9" t="n">
        <f>ROUND($J34*1.637*1.75*2.1*2.3*2.6*3.2*4.2*2.4*2.5*1.25,0)</f>
        <v>18131667372000</v>
      </c>
      <c r="AC34" s="3">
        <f t="shared" si="12"/>
        <v>145</v>
      </c>
      <c r="AD34" s="10" t="n">
        <f>ROUND($J34*1.637*1.75*2.1*2.3*2.6*3.2*4.2*2.4*2.5*2.8*1.25,0)</f>
        <v>50768668641600</v>
      </c>
      <c r="AE34" s="5">
        <f t="shared" si="13"/>
        <v>148</v>
      </c>
      <c r="AF34" s="9" t="n">
        <f>ROUND($J34*1.637*1.75*2.1*2.3*2.6*3.2*4.2*2.4*2.5*2.8*3.2*1.25,0)</f>
        <v>162459739653120</v>
      </c>
      <c r="AG34" s="3">
        <f t="shared" si="14"/>
        <v>151</v>
      </c>
      <c r="AH34" s="10" t="n">
        <f>ROUND($J34*1.637*1.75*2.1*2.3*2.6*3.2*4.2*2.4*2.5*2.8*3.2*3.8*1.25,0)</f>
        <v>617347010681856</v>
      </c>
    </row>
    <row r="35" hidden="1">
      <c r="A35" s="2">
        <v>75</v>
      </c>
      <c r="B35" s="2" t="s">
        <v>94</v>
      </c>
      <c r="C35" s="2" t="s">
        <v>24</v>
      </c>
      <c r="D35" s="2" t="s">
        <v>29</v>
      </c>
      <c r="E35" s="2">
        <v>124</v>
      </c>
      <c r="F35" s="2" t="s">
        <v>42</v>
      </c>
      <c r="G35" s="2" t="s">
        <v>95</v>
      </c>
      <c r="H35" s="2">
        <v>32</v>
      </c>
      <c r="I35" s="3">
        <v>124</v>
      </c>
      <c r="J35" s="4">
        <v>1200000000</v>
      </c>
      <c r="K35" s="5">
        <f t="shared" si="0"/>
        <v>125</v>
      </c>
      <c r="L35" s="9">
        <f t="shared" si="21"/>
        <v>1964400000</v>
      </c>
      <c r="M35" s="3">
        <f t="shared" si="2"/>
        <v>126</v>
      </c>
      <c r="N35" s="10">
        <f t="shared" si="22"/>
        <v>3437700000</v>
      </c>
      <c r="O35" s="5">
        <f t="shared" si="4"/>
        <v>128</v>
      </c>
      <c r="P35" s="9">
        <f t="shared" si="23"/>
        <v>7219170000</v>
      </c>
      <c r="Q35" s="3">
        <f t="shared" si="6"/>
        <v>130</v>
      </c>
      <c r="R35" s="10" t="n">
        <f>ROUND($J35*1.637*1.75*2.1*2.3*1,0)</f>
        <v>16604091000</v>
      </c>
      <c r="S35" s="5">
        <f t="shared" si="7"/>
        <v>132</v>
      </c>
      <c r="T35" s="9" t="n">
        <f>ROUND($J35*1.637*1.75*2.1*2.3*2.6*1,0)</f>
        <v>43170636600</v>
      </c>
      <c r="U35" s="3">
        <f t="shared" si="8"/>
        <v>135</v>
      </c>
      <c r="V35" s="10" t="n">
        <f>ROUND($J35*1.637*1.75*2.1*2.3*2.6*3.2*1,0)</f>
        <v>138146037120</v>
      </c>
      <c r="W35" s="5">
        <f t="shared" si="9"/>
        <v>139</v>
      </c>
      <c r="X35" s="9" t="n">
        <f>ROUND($J35*1.637*1.75*2.1*2.3*2.6*3.2*4.2*1,0)</f>
        <v>580213355904</v>
      </c>
      <c r="Y35" s="3">
        <f t="shared" si="10"/>
        <v>141</v>
      </c>
      <c r="Z35" s="10" t="n">
        <f>ROUND($J35*1.637*1.75*2.1*2.3*2.6*3.2*4.2*2.4*1,0)</f>
        <v>1392512054170</v>
      </c>
      <c r="AA35" s="5">
        <f t="shared" si="11"/>
        <v>143</v>
      </c>
      <c r="AB35" s="9" t="n">
        <f>ROUND($J35*1.637*1.75*2.1*2.3*2.6*3.2*4.2*2.4*2.5*1,0)</f>
        <v>3481280135424</v>
      </c>
      <c r="AC35" s="3">
        <f t="shared" si="12"/>
        <v>145</v>
      </c>
      <c r="AD35" s="10" t="n">
        <f>ROUND($J35*1.637*1.75*2.1*2.3*2.6*3.2*4.2*2.4*2.5*2.8*1,0)</f>
        <v>9747584379187</v>
      </c>
      <c r="AE35" s="5">
        <f t="shared" si="13"/>
        <v>148</v>
      </c>
      <c r="AF35" s="9" t="n">
        <f>ROUND($J35*1.637*1.75*2.1*2.3*2.6*3.2*4.2*2.4*2.5*2.8*3.2*1,0)</f>
        <v>31192270013399</v>
      </c>
      <c r="AG35" s="3">
        <f t="shared" si="14"/>
        <v>151</v>
      </c>
      <c r="AH35" s="10" t="n">
        <f>ROUND($J35*1.637*1.75*2.1*2.3*2.6*3.2*4.2*2.4*2.5*2.8*3.2*3.8*1,0)</f>
        <v>118530626050916</v>
      </c>
    </row>
    <row r="36" hidden="1">
      <c r="A36" s="2">
        <v>36</v>
      </c>
      <c r="B36" s="2" t="s">
        <v>96</v>
      </c>
      <c r="C36" s="2" t="s">
        <v>24</v>
      </c>
      <c r="D36" s="2" t="s">
        <v>40</v>
      </c>
      <c r="E36" s="2">
        <v>124</v>
      </c>
      <c r="F36" s="2" t="s">
        <v>97</v>
      </c>
      <c r="G36" s="2" t="s">
        <v>98</v>
      </c>
      <c r="H36" s="2">
        <v>33</v>
      </c>
      <c r="I36" s="3">
        <v>124</v>
      </c>
      <c r="J36" s="4">
        <v>8500000000</v>
      </c>
      <c r="K36" s="5">
        <f t="shared" si="0"/>
        <v>125</v>
      </c>
      <c r="L36" s="9">
        <f t="shared" si="21"/>
        <v>13914500000</v>
      </c>
      <c r="M36" s="3">
        <f t="shared" si="2"/>
        <v>126</v>
      </c>
      <c r="N36" s="10">
        <f t="shared" si="22"/>
        <v>24350375000</v>
      </c>
      <c r="O36" s="5">
        <f t="shared" si="4"/>
        <v>128</v>
      </c>
      <c r="P36" s="9">
        <f t="shared" si="23"/>
        <v>51135787500</v>
      </c>
      <c r="Q36" s="3">
        <f t="shared" si="6"/>
        <v>130</v>
      </c>
      <c r="R36" s="10" t="n">
        <f>ROUND($J36*1.637*1.75*2.1*2.3*1.25,0)</f>
        <v>147015389063</v>
      </c>
      <c r="S36" s="5">
        <f t="shared" si="7"/>
        <v>132</v>
      </c>
      <c r="T36" s="9" t="n">
        <f>ROUND($J36*1.637*1.75*2.1*2.3*2.6*1.25,0)</f>
        <v>382240011563</v>
      </c>
      <c r="U36" s="3">
        <f t="shared" si="8"/>
        <v>135</v>
      </c>
      <c r="V36" s="10" t="n">
        <f>ROUND($J36*1.637*1.75*2.1*2.3*2.6*3.2*1.25,0)</f>
        <v>1223168037000</v>
      </c>
      <c r="W36" s="5">
        <f t="shared" si="9"/>
        <v>139</v>
      </c>
      <c r="X36" s="9" t="n">
        <f>ROUND($J36*1.637*1.75*2.1*2.3*2.6*3.2*4.2*1.25,0)</f>
        <v>5137305755400</v>
      </c>
      <c r="Y36" s="3">
        <f t="shared" si="10"/>
        <v>141</v>
      </c>
      <c r="Z36" s="10" t="n">
        <f>ROUND($J36*1.637*1.75*2.1*2.3*2.6*3.2*4.2*2.4*1.25,0)</f>
        <v>12329533812960</v>
      </c>
      <c r="AA36" s="5">
        <f t="shared" si="11"/>
        <v>143</v>
      </c>
      <c r="AB36" s="9" t="n">
        <f>ROUND($J36*1.637*1.75*2.1*2.3*2.6*3.2*4.2*2.4*2.5*1.25,0)</f>
        <v>30823834532400</v>
      </c>
      <c r="AC36" s="3">
        <f t="shared" si="12"/>
        <v>145</v>
      </c>
      <c r="AD36" s="10" t="n">
        <f>ROUND($J36*1.637*1.75*2.1*2.3*2.6*3.2*4.2*2.4*2.5*2.8*1.25,0)</f>
        <v>86306736690720</v>
      </c>
      <c r="AE36" s="5">
        <f t="shared" si="13"/>
        <v>148</v>
      </c>
      <c r="AF36" s="9" t="n">
        <f>ROUND($J36*1.637*1.75*2.1*2.3*2.6*3.2*4.2*2.4*2.5*2.8*3.2*1.25,0)</f>
        <v>276181557410304</v>
      </c>
      <c r="AG36" s="3">
        <f t="shared" si="14"/>
        <v>151</v>
      </c>
      <c r="AH36" s="10" t="n">
        <f>ROUND($J36*1.637*1.75*2.1*2.3*2.6*3.2*4.2*2.4*2.5*2.8*3.2*3.8*1.25,0)</f>
        <v>1049489918159160</v>
      </c>
    </row>
    <row r="37" hidden="1">
      <c r="A37" s="2">
        <v>64</v>
      </c>
      <c r="B37" s="2" t="s">
        <v>99</v>
      </c>
      <c r="C37" s="2" t="s">
        <v>24</v>
      </c>
      <c r="D37" s="2" t="s">
        <v>29</v>
      </c>
      <c r="E37" s="2">
        <v>124</v>
      </c>
      <c r="F37" s="2" t="s">
        <v>54</v>
      </c>
      <c r="G37" s="2" t="s">
        <v>57</v>
      </c>
      <c r="H37" s="2">
        <v>33</v>
      </c>
      <c r="I37" s="3">
        <v>124</v>
      </c>
      <c r="J37" s="4">
        <v>3816000000</v>
      </c>
      <c r="K37" s="5">
        <f t="shared" si="0"/>
        <v>125</v>
      </c>
      <c r="L37" s="9">
        <f t="shared" si="21"/>
        <v>6246792000</v>
      </c>
      <c r="M37" s="3">
        <f t="shared" si="2"/>
        <v>126</v>
      </c>
      <c r="N37" s="10">
        <f t="shared" si="22"/>
        <v>10931886000</v>
      </c>
      <c r="O37" s="5">
        <f t="shared" si="4"/>
        <v>128</v>
      </c>
      <c r="P37" s="9">
        <f t="shared" si="23"/>
        <v>22956960600</v>
      </c>
      <c r="Q37" s="3">
        <f t="shared" si="6"/>
        <v>130</v>
      </c>
      <c r="R37" s="10" t="n">
        <f>ROUND($J37*1.637*1.75*2.1*2.3*1.25,0)</f>
        <v>66001261725</v>
      </c>
      <c r="S37" s="5">
        <f t="shared" si="7"/>
        <v>132</v>
      </c>
      <c r="T37" s="9" t="n">
        <f>ROUND($J37*1.637*1.75*2.1*2.3*2.6*1.25,0)</f>
        <v>171603280485</v>
      </c>
      <c r="U37" s="3">
        <f t="shared" si="8"/>
        <v>135</v>
      </c>
      <c r="V37" s="10" t="n">
        <f>ROUND($J37*1.637*1.75*2.1*2.3*2.6*3.2*1.25,0)</f>
        <v>549130497552</v>
      </c>
      <c r="W37" s="5">
        <f t="shared" si="9"/>
        <v>139</v>
      </c>
      <c r="X37" s="9" t="n">
        <f>ROUND($J37*1.637*1.75*2.1*2.3*2.6*3.2*4.2*1.25,0)</f>
        <v>2306348089718</v>
      </c>
      <c r="Y37" s="3">
        <f t="shared" si="10"/>
        <v>141</v>
      </c>
      <c r="Z37" s="10" t="n">
        <f>ROUND($J37*1.637*1.75*2.1*2.3*2.6*3.2*4.2*2.4*1.25,0)</f>
        <v>5535235415324</v>
      </c>
      <c r="AA37" s="5">
        <f t="shared" si="11"/>
        <v>143</v>
      </c>
      <c r="AB37" s="9" t="n">
        <f>ROUND($J37*1.637*1.75*2.1*2.3*2.6*3.2*4.2*2.4*2.5*1.25,0)</f>
        <v>13838088538310</v>
      </c>
      <c r="AC37" s="3">
        <f t="shared" si="12"/>
        <v>145</v>
      </c>
      <c r="AD37" s="10" t="n">
        <f>ROUND($J37*1.637*1.75*2.1*2.3*2.6*3.2*4.2*2.4*2.5*2.8*1.25,0)</f>
        <v>38746647907269</v>
      </c>
      <c r="AE37" s="5">
        <f t="shared" si="13"/>
        <v>148</v>
      </c>
      <c r="AF37" s="9" t="n">
        <f>ROUND($J37*1.637*1.75*2.1*2.3*2.6*3.2*4.2*2.4*2.5*2.8*3.2*1.25,0)</f>
        <v>123989273303261</v>
      </c>
      <c r="AG37" s="3">
        <f t="shared" si="14"/>
        <v>151</v>
      </c>
      <c r="AH37" s="10" t="n">
        <f>ROUND($J37*1.637*1.75*2.1*2.3*2.6*3.2*4.2*2.4*2.5*2.8*3.2*3.8*1.25,0)</f>
        <v>471159238552392</v>
      </c>
    </row>
    <row r="38" hidden="1">
      <c r="A38" s="2">
        <v>79</v>
      </c>
      <c r="B38" s="2" t="s">
        <v>100</v>
      </c>
      <c r="C38" s="2" t="s">
        <v>24</v>
      </c>
      <c r="D38" s="2" t="s">
        <v>33</v>
      </c>
      <c r="E38" s="2">
        <v>124</v>
      </c>
      <c r="F38" s="2" t="s">
        <v>62</v>
      </c>
      <c r="G38" s="2" t="s">
        <v>38</v>
      </c>
      <c r="H38" s="2">
        <v>31</v>
      </c>
      <c r="I38" s="3">
        <v>124</v>
      </c>
      <c r="J38" s="4">
        <v>722000000</v>
      </c>
      <c r="K38" s="5">
        <f t="shared" si="0"/>
        <v>125</v>
      </c>
      <c r="L38" s="9">
        <f t="shared" si="21"/>
        <v>1181914000</v>
      </c>
      <c r="M38" s="3">
        <f t="shared" si="2"/>
        <v>126</v>
      </c>
      <c r="N38" s="10">
        <f t="shared" si="22"/>
        <v>2068349500</v>
      </c>
      <c r="O38" s="5">
        <f t="shared" si="4"/>
        <v>128</v>
      </c>
      <c r="P38" s="9">
        <f t="shared" si="23"/>
        <v>4343533950</v>
      </c>
      <c r="Q38" s="3">
        <f t="shared" si="6"/>
        <v>130</v>
      </c>
      <c r="R38" s="10" t="n">
        <f>ROUND($J38*1.637*1.75*2.1*2.3*1,0)</f>
        <v>9990128085</v>
      </c>
      <c r="S38" s="5">
        <f t="shared" si="7"/>
        <v>132</v>
      </c>
      <c r="T38" s="9" t="n">
        <f>ROUND($J38*1.637*1.75*2.1*2.3*2.6*1,0)</f>
        <v>25974333021</v>
      </c>
      <c r="U38" s="3">
        <f t="shared" si="8"/>
        <v>135</v>
      </c>
      <c r="V38" s="10" t="n">
        <f>ROUND($J38*1.637*1.75*2.1*2.3*2.6*3.2*1,0)</f>
        <v>83117865667</v>
      </c>
      <c r="W38" s="5">
        <f t="shared" si="9"/>
        <v>139</v>
      </c>
      <c r="X38" s="9" t="n">
        <f>ROUND($J38*1.637*1.75*2.1*2.3*2.6*3.2*4.2*1,0)</f>
        <v>349095035802</v>
      </c>
      <c r="Y38" s="3">
        <f t="shared" si="10"/>
        <v>141</v>
      </c>
      <c r="Z38" s="10" t="n">
        <f>ROUND($J38*1.637*1.75*2.1*2.3*2.6*3.2*4.2*2.4*1,0)</f>
        <v>837828085925</v>
      </c>
      <c r="AA38" s="5">
        <f t="shared" si="11"/>
        <v>143</v>
      </c>
      <c r="AB38" s="9" t="n">
        <f>ROUND($J38*1.637*1.75*2.1*2.3*2.6*3.2*4.2*2.4*2.5*1,0)</f>
        <v>2094570214813</v>
      </c>
      <c r="AC38" s="3">
        <f t="shared" si="12"/>
        <v>145</v>
      </c>
      <c r="AD38" s="10" t="n">
        <f>ROUND($J38*1.637*1.75*2.1*2.3*2.6*3.2*4.2*2.4*2.5*2.8*1,0)</f>
        <v>5864796601478</v>
      </c>
      <c r="AE38" s="5">
        <f t="shared" si="13"/>
        <v>148</v>
      </c>
      <c r="AF38" s="9" t="n">
        <f>ROUND($J38*1.637*1.75*2.1*2.3*2.6*3.2*4.2*2.4*2.5*2.8*3.2*1,0)</f>
        <v>18767349124728</v>
      </c>
      <c r="AG38" s="3">
        <f t="shared" si="14"/>
        <v>151</v>
      </c>
      <c r="AH38" s="10" t="n">
        <f>ROUND($J38*1.637*1.75*2.1*2.3*2.6*3.2*4.2*2.4*2.5*2.8*3.2*3.8*1,0)</f>
        <v>71315926673968</v>
      </c>
    </row>
    <row r="39" hidden="1">
      <c r="A39" s="2">
        <v>69</v>
      </c>
      <c r="B39" s="2" t="s">
        <v>101</v>
      </c>
      <c r="C39" s="2" t="s">
        <v>24</v>
      </c>
      <c r="D39" s="2" t="s">
        <v>102</v>
      </c>
      <c r="E39" s="2">
        <v>124</v>
      </c>
      <c r="F39" s="2" t="s">
        <v>42</v>
      </c>
      <c r="G39" s="2" t="s">
        <v>51</v>
      </c>
      <c r="H39" s="2">
        <v>32</v>
      </c>
      <c r="I39" s="3">
        <v>124</v>
      </c>
      <c r="J39" s="4">
        <v>5910000000</v>
      </c>
      <c r="K39" s="5">
        <f t="shared" si="0"/>
        <v>125</v>
      </c>
      <c r="L39" s="9">
        <f t="shared" si="21"/>
        <v>9674670000</v>
      </c>
      <c r="M39" s="3">
        <f t="shared" si="2"/>
        <v>126</v>
      </c>
      <c r="N39" s="10">
        <f t="shared" si="22"/>
        <v>16930672500</v>
      </c>
      <c r="O39" s="5">
        <f t="shared" si="4"/>
        <v>128</v>
      </c>
      <c r="P39" s="9">
        <f t="shared" si="23"/>
        <v>35554412250</v>
      </c>
      <c r="Q39" s="3">
        <f t="shared" si="6"/>
        <v>130</v>
      </c>
      <c r="R39" s="10" t="n">
        <f>ROUND($J39*1.637*1.75*2.1*2.3*1.25,0)</f>
        <v>102218935219</v>
      </c>
      <c r="S39" s="5">
        <f t="shared" si="7"/>
        <v>132</v>
      </c>
      <c r="T39" s="9" t="n">
        <f>ROUND($J39*1.637*1.75*2.1*2.3*2.6*1.25,0)</f>
        <v>265769231569</v>
      </c>
      <c r="U39" s="3">
        <f t="shared" si="8"/>
        <v>135</v>
      </c>
      <c r="V39" s="10" t="n">
        <f>ROUND($J39*1.637*1.75*2.1*2.3*2.6*3.2*1.25,0)</f>
        <v>850461541020</v>
      </c>
      <c r="W39" s="5">
        <f t="shared" si="9"/>
        <v>139</v>
      </c>
      <c r="X39" s="9" t="n">
        <f>ROUND($J39*1.637*1.75*2.1*2.3*2.6*3.2*4.2*1.25,0)</f>
        <v>3571938472284</v>
      </c>
      <c r="Y39" s="3">
        <f t="shared" si="10"/>
        <v>141</v>
      </c>
      <c r="Z39" s="10" t="n">
        <f>ROUND($J39*1.637*1.75*2.1*2.3*2.6*3.2*4.2*2.4*1.25,0)</f>
        <v>8572652333482</v>
      </c>
      <c r="AA39" s="5">
        <f t="shared" si="11"/>
        <v>143</v>
      </c>
      <c r="AB39" s="9" t="n">
        <f>ROUND($J39*1.637*1.75*2.1*2.3*2.6*3.2*4.2*2.4*2.5*1.25,0)</f>
        <v>21431630833704</v>
      </c>
      <c r="AC39" s="3">
        <f t="shared" si="12"/>
        <v>145</v>
      </c>
      <c r="AD39" s="10" t="n">
        <f>ROUND($J39*1.637*1.75*2.1*2.3*2.6*3.2*4.2*2.4*2.5*2.8*1.25,0)</f>
        <v>60008566334371</v>
      </c>
      <c r="AE39" s="5">
        <f t="shared" si="13"/>
        <v>148</v>
      </c>
      <c r="AF39" s="9" t="n">
        <f>ROUND($J39*1.637*1.75*2.1*2.3*2.6*3.2*4.2*2.4*2.5*2.8*3.2*1.25,0)</f>
        <v>192027412269988</v>
      </c>
      <c r="AG39" s="3">
        <f t="shared" si="14"/>
        <v>151</v>
      </c>
      <c r="AH39" s="10" t="n">
        <f>ROUND($J39*1.637*1.75*2.1*2.3*2.6*3.2*4.2*2.4*2.5*2.8*3.2*3.8*1.25,0)</f>
        <v>729704166625954</v>
      </c>
    </row>
    <row r="40" hidden="1">
      <c r="A40" s="2">
        <v>67</v>
      </c>
      <c r="B40" s="2" t="s">
        <v>103</v>
      </c>
      <c r="C40" s="2" t="s">
        <v>24</v>
      </c>
      <c r="D40" s="2" t="s">
        <v>29</v>
      </c>
      <c r="E40" s="2">
        <v>124</v>
      </c>
      <c r="F40" s="2" t="s">
        <v>62</v>
      </c>
      <c r="G40" s="2" t="s">
        <v>104</v>
      </c>
      <c r="H40" s="2">
        <v>33</v>
      </c>
      <c r="I40" s="3">
        <v>124</v>
      </c>
      <c r="J40" s="4">
        <v>4300000000</v>
      </c>
      <c r="K40" s="5">
        <f t="shared" si="0"/>
        <v>125</v>
      </c>
      <c r="L40" s="9">
        <f t="shared" si="21"/>
        <v>7039100000</v>
      </c>
      <c r="M40" s="3">
        <f t="shared" si="2"/>
        <v>126</v>
      </c>
      <c r="N40" s="10">
        <f t="shared" si="22"/>
        <v>12318425000</v>
      </c>
      <c r="O40" s="5">
        <f t="shared" si="4"/>
        <v>128</v>
      </c>
      <c r="P40" s="9">
        <f t="shared" si="23"/>
        <v>25868692500</v>
      </c>
      <c r="Q40" s="3">
        <f t="shared" si="6"/>
        <v>130</v>
      </c>
      <c r="R40" s="10" t="n">
        <f>ROUND($J40*1.637*1.75*2.1*2.3*1.25,0)</f>
        <v>74372490938</v>
      </c>
      <c r="S40" s="5">
        <f t="shared" si="7"/>
        <v>132</v>
      </c>
      <c r="T40" s="9" t="n">
        <f>ROUND($J40*1.637*1.75*2.1*2.3*2.6*1.25,0)</f>
        <v>193368476438</v>
      </c>
      <c r="U40" s="3">
        <f t="shared" si="8"/>
        <v>135</v>
      </c>
      <c r="V40" s="10" t="n">
        <f>ROUND($J40*1.637*1.75*2.1*2.3*2.6*3.2*1.25,0)</f>
        <v>618779124600</v>
      </c>
      <c r="W40" s="5">
        <f t="shared" si="9"/>
        <v>139</v>
      </c>
      <c r="X40" s="9" t="n">
        <f>ROUND($J40*1.637*1.75*2.1*2.3*2.6*3.2*4.2*1.25,0)</f>
        <v>2598872323320</v>
      </c>
      <c r="Y40" s="3">
        <f t="shared" si="10"/>
        <v>141</v>
      </c>
      <c r="Z40" s="10" t="n">
        <f>ROUND($J40*1.637*1.75*2.1*2.3*2.6*3.2*4.2*2.4*1.25,0)</f>
        <v>6237293575968</v>
      </c>
      <c r="AA40" s="5">
        <f t="shared" si="11"/>
        <v>143</v>
      </c>
      <c r="AB40" s="9" t="n">
        <f>ROUND($J40*1.637*1.75*2.1*2.3*2.6*3.2*4.2*2.4*2.5*1.25,0)</f>
        <v>15593233939920</v>
      </c>
      <c r="AC40" s="3">
        <f t="shared" si="12"/>
        <v>145</v>
      </c>
      <c r="AD40" s="10" t="n">
        <f>ROUND($J40*1.637*1.75*2.1*2.3*2.6*3.2*4.2*2.4*2.5*2.8*1.25,0)</f>
        <v>43661055031776</v>
      </c>
      <c r="AE40" s="5">
        <f t="shared" si="13"/>
        <v>148</v>
      </c>
      <c r="AF40" s="9" t="n">
        <f>ROUND($J40*1.637*1.75*2.1*2.3*2.6*3.2*4.2*2.4*2.5*2.8*3.2*1.25,0)</f>
        <v>139715376101683</v>
      </c>
      <c r="AG40" s="3">
        <f t="shared" si="14"/>
        <v>151</v>
      </c>
      <c r="AH40" s="10" t="n">
        <f>ROUND($J40*1.637*1.75*2.1*2.3*2.6*3.2*4.2*2.4*2.5*2.8*3.2*3.8*1.25,0)</f>
        <v>530918429186396</v>
      </c>
    </row>
    <row r="41" hidden="1">
      <c r="A41" s="2">
        <v>68</v>
      </c>
      <c r="B41" s="2" t="s">
        <v>105</v>
      </c>
      <c r="C41" s="2" t="s">
        <v>24</v>
      </c>
      <c r="D41" s="2" t="s">
        <v>40</v>
      </c>
      <c r="E41" s="2">
        <v>124</v>
      </c>
      <c r="F41" s="2" t="s">
        <v>26</v>
      </c>
      <c r="G41" s="2" t="s">
        <v>106</v>
      </c>
      <c r="H41" s="2">
        <v>32</v>
      </c>
      <c r="I41" s="3">
        <v>124</v>
      </c>
      <c r="J41" s="4">
        <v>4440000000</v>
      </c>
      <c r="K41" s="5">
        <f t="shared" si="0"/>
        <v>125</v>
      </c>
      <c r="L41" s="9">
        <f t="shared" si="21"/>
        <v>7268280000</v>
      </c>
      <c r="M41" s="3">
        <f t="shared" si="2"/>
        <v>126</v>
      </c>
      <c r="N41" s="10">
        <f t="shared" si="22"/>
        <v>12719490000</v>
      </c>
      <c r="O41" s="5">
        <f t="shared" si="4"/>
        <v>128</v>
      </c>
      <c r="P41" s="9">
        <f t="shared" si="23"/>
        <v>26710929000</v>
      </c>
      <c r="Q41" s="3">
        <f t="shared" si="6"/>
        <v>130</v>
      </c>
      <c r="R41" s="10" t="n">
        <f>ROUND($J41*1.637*1.75*2.1*2.3*1.25,0)</f>
        <v>76793920875</v>
      </c>
      <c r="S41" s="5">
        <f t="shared" si="7"/>
        <v>132</v>
      </c>
      <c r="T41" s="9" t="n">
        <f>ROUND($J41*1.637*1.75*2.1*2.3*2.6*1.25,0)</f>
        <v>199664194275</v>
      </c>
      <c r="U41" s="3">
        <f t="shared" si="8"/>
        <v>135</v>
      </c>
      <c r="V41" s="10" t="n">
        <f>ROUND($J41*1.637*1.75*2.1*2.3*2.6*3.2*1.25,0)</f>
        <v>638925421680</v>
      </c>
      <c r="W41" s="5">
        <f t="shared" si="9"/>
        <v>139</v>
      </c>
      <c r="X41" s="9" t="n">
        <f>ROUND($J41*1.637*1.75*2.1*2.3*2.6*3.2*4.2*1.25,0)</f>
        <v>2683486771056</v>
      </c>
      <c r="Y41" s="3">
        <f t="shared" si="10"/>
        <v>141</v>
      </c>
      <c r="Z41" s="10" t="n">
        <f>ROUND($J41*1.637*1.75*2.1*2.3*2.6*3.2*4.2*2.4*1.25,0)</f>
        <v>6440368250534</v>
      </c>
      <c r="AA41" s="5">
        <f t="shared" si="11"/>
        <v>143</v>
      </c>
      <c r="AB41" s="9" t="n">
        <f>ROUND($J41*1.637*1.75*2.1*2.3*2.6*3.2*4.2*2.4*2.5*1.25,0)</f>
        <v>16100920626336</v>
      </c>
      <c r="AC41" s="3">
        <f t="shared" si="12"/>
        <v>145</v>
      </c>
      <c r="AD41" s="10" t="n">
        <f>ROUND($J41*1.637*1.75*2.1*2.3*2.6*3.2*4.2*2.4*2.5*2.8*1.25,0)</f>
        <v>45082577753741</v>
      </c>
      <c r="AE41" s="5">
        <f t="shared" si="13"/>
        <v>148</v>
      </c>
      <c r="AF41" s="9" t="n">
        <f>ROUND($J41*1.637*1.75*2.1*2.3*2.6*3.2*4.2*2.4*2.5*2.8*3.2*1.25,0)</f>
        <v>144264248811971</v>
      </c>
      <c r="AG41" s="3">
        <f t="shared" si="14"/>
        <v>151</v>
      </c>
      <c r="AH41" s="10" t="n">
        <f>ROUND($J41*1.637*1.75*2.1*2.3*2.6*3.2*4.2*2.4*2.5*2.8*3.2*3.8*1.25,0)</f>
        <v>548204145485488</v>
      </c>
    </row>
    <row r="42" hidden="1">
      <c r="A42" s="2">
        <v>70</v>
      </c>
      <c r="B42" s="2" t="s">
        <v>107</v>
      </c>
      <c r="C42" s="2" t="s">
        <v>24</v>
      </c>
      <c r="D42" s="2" t="s">
        <v>40</v>
      </c>
      <c r="E42" s="2">
        <v>124</v>
      </c>
      <c r="F42" s="2" t="s">
        <v>108</v>
      </c>
      <c r="G42" s="2" t="s">
        <v>38</v>
      </c>
      <c r="H42" s="2">
        <v>32</v>
      </c>
      <c r="I42" s="3">
        <v>124</v>
      </c>
      <c r="J42" s="4">
        <v>300000000</v>
      </c>
      <c r="K42" s="5">
        <f t="shared" si="0"/>
        <v>125</v>
      </c>
      <c r="L42" s="9">
        <f t="shared" si="21"/>
        <v>491100000</v>
      </c>
      <c r="M42" s="3">
        <f t="shared" si="2"/>
        <v>126</v>
      </c>
      <c r="N42" s="10">
        <f t="shared" si="22"/>
        <v>859425000</v>
      </c>
      <c r="O42" s="5">
        <f t="shared" si="4"/>
        <v>128</v>
      </c>
      <c r="P42" s="9">
        <f t="shared" si="23"/>
        <v>1804792500</v>
      </c>
      <c r="Q42" s="3">
        <f t="shared" si="6"/>
        <v>130</v>
      </c>
      <c r="R42" s="10" t="n">
        <f>ROUND($J42*1.637*1.75*2.1*2.3*1,0)</f>
        <v>4151022750</v>
      </c>
      <c r="S42" s="5">
        <f t="shared" si="7"/>
        <v>132</v>
      </c>
      <c r="T42" s="9" t="n">
        <f>ROUND($J42*1.637*1.75*2.1*2.3*2.6*1,0)</f>
        <v>10792659150</v>
      </c>
      <c r="U42" s="3">
        <f t="shared" si="8"/>
        <v>135</v>
      </c>
      <c r="V42" s="10" t="n">
        <f>ROUND($J42*1.637*1.75*2.1*2.3*2.6*3.2*1,0)</f>
        <v>34536509280</v>
      </c>
      <c r="W42" s="5">
        <f t="shared" si="9"/>
        <v>139</v>
      </c>
      <c r="X42" s="9" t="n">
        <f>ROUND($J42*1.637*1.75*2.1*2.3*2.6*3.2*4.2*1,0)</f>
        <v>145053338976</v>
      </c>
      <c r="Y42" s="3">
        <f t="shared" si="10"/>
        <v>141</v>
      </c>
      <c r="Z42" s="10" t="n">
        <f>ROUND($J42*1.637*1.75*2.1*2.3*2.6*3.2*4.2*2.4*1,0)</f>
        <v>348128013542</v>
      </c>
      <c r="AA42" s="5">
        <f t="shared" si="11"/>
        <v>143</v>
      </c>
      <c r="AB42" s="9" t="n">
        <f>ROUND($J42*1.637*1.75*2.1*2.3*2.6*3.2*4.2*2.4*2.5*1,0)</f>
        <v>870320033856</v>
      </c>
      <c r="AC42" s="3">
        <f t="shared" si="12"/>
        <v>145</v>
      </c>
      <c r="AD42" s="10" t="n">
        <f>ROUND($J42*1.637*1.75*2.1*2.3*2.6*3.2*4.2*2.4*2.5*2.8*1,0)</f>
        <v>2436896094797</v>
      </c>
      <c r="AE42" s="5">
        <f t="shared" si="13"/>
        <v>148</v>
      </c>
      <c r="AF42" s="9" t="n">
        <f>ROUND($J42*1.637*1.75*2.1*2.3*2.6*3.2*4.2*2.4*2.5*2.8*3.2*1,0)</f>
        <v>7798067503350</v>
      </c>
      <c r="AG42" s="3">
        <f t="shared" si="14"/>
        <v>151</v>
      </c>
      <c r="AH42" s="10" t="n">
        <f>ROUND($J42*1.637*1.75*2.1*2.3*2.6*3.2*4.2*2.4*2.5*2.8*3.2*3.8*1,0)</f>
        <v>29632656512729</v>
      </c>
    </row>
    <row r="43" hidden="1">
      <c r="A43" s="2">
        <v>38</v>
      </c>
      <c r="B43" s="2" t="s">
        <v>109</v>
      </c>
      <c r="C43" s="2" t="s">
        <v>24</v>
      </c>
      <c r="D43" s="2" t="s">
        <v>25</v>
      </c>
      <c r="E43" s="2">
        <v>124</v>
      </c>
      <c r="F43" s="2" t="s">
        <v>30</v>
      </c>
      <c r="G43" s="2" t="s">
        <v>51</v>
      </c>
      <c r="H43" s="2">
        <v>33</v>
      </c>
      <c r="I43" s="3">
        <v>124</v>
      </c>
      <c r="J43" s="4">
        <v>3640000000</v>
      </c>
      <c r="K43" s="5">
        <f t="shared" si="0"/>
        <v>125</v>
      </c>
      <c r="L43" s="9">
        <f t="shared" si="21"/>
        <v>5958680000</v>
      </c>
      <c r="M43" s="3">
        <f t="shared" si="2"/>
        <v>126</v>
      </c>
      <c r="N43" s="10">
        <f t="shared" si="22"/>
        <v>10427690000</v>
      </c>
      <c r="O43" s="5">
        <f t="shared" si="4"/>
        <v>128</v>
      </c>
      <c r="P43" s="9">
        <f t="shared" si="23"/>
        <v>21898149000</v>
      </c>
      <c r="Q43" s="3">
        <f t="shared" si="6"/>
        <v>130</v>
      </c>
      <c r="R43" s="10" t="n">
        <f>ROUND($J43*1.637*1.75*2.1*2.3*1.25,0)</f>
        <v>62957178375</v>
      </c>
      <c r="S43" s="5">
        <f t="shared" si="7"/>
        <v>132</v>
      </c>
      <c r="T43" s="9" t="n">
        <f>ROUND($J43*1.637*1.75*2.1*2.3*2.6*1.25,0)</f>
        <v>163688663775</v>
      </c>
      <c r="U43" s="3">
        <f t="shared" si="8"/>
        <v>135</v>
      </c>
      <c r="V43" s="10" t="n">
        <f>ROUND($J43*1.637*1.75*2.1*2.3*2.6*3.2*1.25,0)</f>
        <v>523803724080</v>
      </c>
      <c r="W43" s="5">
        <f t="shared" si="9"/>
        <v>139</v>
      </c>
      <c r="X43" s="9" t="n">
        <f>ROUND($J43*1.637*1.75*2.1*2.3*2.6*3.2*4.2*1.25,0)</f>
        <v>2199975641136</v>
      </c>
      <c r="Y43" s="3">
        <f t="shared" si="10"/>
        <v>141</v>
      </c>
      <c r="Z43" s="10" t="n">
        <f>ROUND($J43*1.637*1.75*2.1*2.3*2.6*3.2*4.2*2.4*1.25,0)</f>
        <v>5279941538726</v>
      </c>
      <c r="AA43" s="5">
        <f t="shared" si="11"/>
        <v>143</v>
      </c>
      <c r="AB43" s="9" t="n">
        <f>ROUND($J43*1.637*1.75*2.1*2.3*2.6*3.2*4.2*2.4*2.5*1.25,0)</f>
        <v>13199853846816</v>
      </c>
      <c r="AC43" s="3">
        <f t="shared" si="12"/>
        <v>145</v>
      </c>
      <c r="AD43" s="10" t="n">
        <f>ROUND($J43*1.637*1.75*2.1*2.3*2.6*3.2*4.2*2.4*2.5*2.8*1.25,0)</f>
        <v>36959590771085</v>
      </c>
      <c r="AE43" s="5">
        <f t="shared" si="13"/>
        <v>148</v>
      </c>
      <c r="AF43" s="9" t="n">
        <f>ROUND($J43*1.637*1.75*2.1*2.3*2.6*3.2*4.2*2.4*2.5*2.8*3.2*1.25,0)</f>
        <v>118270690467471</v>
      </c>
      <c r="AG43" s="3">
        <f t="shared" si="14"/>
        <v>151</v>
      </c>
      <c r="AH43" s="10" t="n">
        <f>ROUND($J43*1.637*1.75*2.1*2.3*2.6*3.2*4.2*2.4*2.5*2.8*3.2*3.8*1.25,0)</f>
        <v>449428623776391</v>
      </c>
    </row>
    <row r="44" hidden="1">
      <c r="A44" s="2">
        <v>73</v>
      </c>
      <c r="B44" s="2" t="s">
        <v>110</v>
      </c>
      <c r="C44" s="2" t="s">
        <v>24</v>
      </c>
      <c r="D44" s="2" t="s">
        <v>64</v>
      </c>
      <c r="E44" s="2">
        <v>124</v>
      </c>
      <c r="F44" s="2" t="s">
        <v>59</v>
      </c>
      <c r="G44" s="2" t="s">
        <v>38</v>
      </c>
      <c r="H44" s="2">
        <v>32</v>
      </c>
      <c r="I44" s="3">
        <v>124</v>
      </c>
      <c r="J44" s="4">
        <v>4080000000</v>
      </c>
      <c r="K44" s="5">
        <f t="shared" si="0"/>
        <v>125</v>
      </c>
      <c r="L44" s="9">
        <f t="shared" si="21"/>
        <v>6678960000</v>
      </c>
      <c r="M44" s="3">
        <f t="shared" si="2"/>
        <v>126</v>
      </c>
      <c r="N44" s="10">
        <f t="shared" si="22"/>
        <v>11688180000</v>
      </c>
      <c r="O44" s="5">
        <f t="shared" si="4"/>
        <v>128</v>
      </c>
      <c r="P44" s="9">
        <f t="shared" si="23"/>
        <v>24545178000</v>
      </c>
      <c r="Q44" s="3">
        <f t="shared" si="6"/>
        <v>130</v>
      </c>
      <c r="R44" s="10" t="n">
        <f>ROUND($J44*1.637*1.75*2.1*2.3*1.25,0)</f>
        <v>70567386750</v>
      </c>
      <c r="S44" s="5">
        <f t="shared" si="7"/>
        <v>132</v>
      </c>
      <c r="T44" s="9" t="n">
        <f>ROUND($J44*1.637*1.75*2.1*2.3*2.6*1.25,0)</f>
        <v>183475205550</v>
      </c>
      <c r="U44" s="3">
        <f t="shared" si="8"/>
        <v>135</v>
      </c>
      <c r="V44" s="10" t="n">
        <f>ROUND($J44*1.637*1.75*2.1*2.3*2.6*3.2*1.25,0)</f>
        <v>587120657760</v>
      </c>
      <c r="W44" s="5">
        <f t="shared" si="9"/>
        <v>139</v>
      </c>
      <c r="X44" s="9" t="n">
        <f>ROUND($J44*1.637*1.75*2.1*2.3*2.6*3.2*4.2*1.25,0)</f>
        <v>2465906762592</v>
      </c>
      <c r="Y44" s="3">
        <f t="shared" si="10"/>
        <v>141</v>
      </c>
      <c r="Z44" s="10" t="n">
        <f>ROUND($J44*1.637*1.75*2.1*2.3*2.6*3.2*4.2*2.4*1.25,0)</f>
        <v>5918176230221</v>
      </c>
      <c r="AA44" s="5">
        <f t="shared" si="11"/>
        <v>143</v>
      </c>
      <c r="AB44" s="9" t="n">
        <f>ROUND($J44*1.637*1.75*2.1*2.3*2.6*3.2*4.2*2.4*2.5*1.25,0)</f>
        <v>14795440575552</v>
      </c>
      <c r="AC44" s="3">
        <f t="shared" si="12"/>
        <v>145</v>
      </c>
      <c r="AD44" s="10" t="n">
        <f>ROUND($J44*1.637*1.75*2.1*2.3*2.6*3.2*4.2*2.4*2.5*2.8*1.25,0)</f>
        <v>41427233611546</v>
      </c>
      <c r="AE44" s="5">
        <f t="shared" si="13"/>
        <v>148</v>
      </c>
      <c r="AF44" s="9" t="n">
        <f>ROUND($J44*1.637*1.75*2.1*2.3*2.6*3.2*4.2*2.4*2.5*2.8*3.2*1.25,0)</f>
        <v>132567147556946</v>
      </c>
      <c r="AG44" s="3">
        <f t="shared" si="14"/>
        <v>151</v>
      </c>
      <c r="AH44" s="10" t="n">
        <f>ROUND($J44*1.637*1.75*2.1*2.3*2.6*3.2*4.2*2.4*2.5*2.8*3.2*3.8*1.25,0)</f>
        <v>503755160716394</v>
      </c>
    </row>
    <row r="45" hidden="1">
      <c r="A45" s="2">
        <v>80</v>
      </c>
      <c r="B45" s="2" t="s">
        <v>111</v>
      </c>
      <c r="C45" s="2" t="s">
        <v>24</v>
      </c>
      <c r="D45" s="2" t="s">
        <v>47</v>
      </c>
      <c r="E45" s="2">
        <v>124</v>
      </c>
      <c r="F45" s="2" t="s">
        <v>34</v>
      </c>
      <c r="G45" s="2" t="s">
        <v>35</v>
      </c>
      <c r="H45" s="2">
        <v>28</v>
      </c>
      <c r="I45" s="3">
        <v>124</v>
      </c>
      <c r="J45" s="4">
        <v>291400000</v>
      </c>
      <c r="K45" s="5">
        <f t="shared" si="0"/>
        <v>125</v>
      </c>
      <c r="L45" s="9" t="n">
        <f>ROUND($J45*1.637*0.8,0)</f>
        <v>381617440</v>
      </c>
      <c r="M45" s="3">
        <f t="shared" si="2"/>
        <v>126</v>
      </c>
      <c r="N45" s="10" t="n">
        <f>ROUND($J45*1.637*1.75*0.8,0)</f>
        <v>667830520</v>
      </c>
      <c r="O45" s="5">
        <f t="shared" si="4"/>
        <v>128</v>
      </c>
      <c r="P45" s="9" t="n">
        <f>ROUND($J45*1.637*1.75*2.1*0.8,0)</f>
        <v>1402444092</v>
      </c>
      <c r="Q45" s="3">
        <f t="shared" si="6"/>
        <v>130</v>
      </c>
      <c r="R45" s="10" t="n">
        <f>ROUND($J45*1.637*1.75*2.1*2.3*0.542035092435954,0)</f>
        <v>2185500000</v>
      </c>
      <c r="S45" s="5">
        <f t="shared" si="7"/>
        <v>132</v>
      </c>
      <c r="T45" s="9" t="n">
        <f>ROUND($J45*1.637*1.75*2.1*2.3*2.6*0.544690061623969,0)</f>
        <v>5710132758</v>
      </c>
      <c r="U45" s="3">
        <f t="shared" si="8"/>
        <v>135</v>
      </c>
      <c r="V45" s="10" t="n">
        <f>ROUND($J45*1.637*1.75*2.1*2.3*2.6*3.2*0.547345030811984,0)</f>
        <v>18361489650</v>
      </c>
      <c r="W45" s="5">
        <f t="shared" si="9"/>
        <v>139</v>
      </c>
      <c r="X45" s="9" t="n">
        <f>ROUND($J45*1.637*1.75*2.1*2.3*2.6*3.2*4.2*0.55,0)</f>
        <v>77492328792</v>
      </c>
      <c r="Y45" s="3">
        <f t="shared" si="10"/>
        <v>141</v>
      </c>
      <c r="Z45" s="10" t="n">
        <f>ROUND($J45*1.637*1.75*2.1*2.3*2.6*3.2*4.2*2.4*0.55,0)</f>
        <v>185981589101</v>
      </c>
      <c r="AA45" s="5">
        <f t="shared" si="11"/>
        <v>143</v>
      </c>
      <c r="AB45" s="9" t="n">
        <f>ROUND($J45*1.637*1.75*2.1*2.3*2.6*3.2*4.2*2.4*2.5*0.55,0)</f>
        <v>464953972754</v>
      </c>
      <c r="AC45" s="3">
        <f t="shared" si="12"/>
        <v>145</v>
      </c>
      <c r="AD45" s="10" t="n">
        <f>ROUND($J45*1.637*1.75*2.1*2.3*2.6*3.2*4.2*2.4*2.5*2.8*0.55,0)</f>
        <v>1301871123710</v>
      </c>
      <c r="AE45" s="5">
        <f t="shared" si="13"/>
        <v>148</v>
      </c>
      <c r="AF45" s="9" t="n">
        <f>ROUND($J45*1.637*1.75*2.1*2.3*2.6*3.2*4.2*2.4*2.5*2.8*3.2*0.55,0)</f>
        <v>4165987595873</v>
      </c>
      <c r="AG45" s="3">
        <f t="shared" si="14"/>
        <v>151</v>
      </c>
      <c r="AH45" s="10" t="n">
        <f>ROUND($J45*1.637*1.75*2.1*2.3*2.6*3.2*4.2*2.4*2.5*2.8*3.2*3.8*0.55,0)</f>
        <v>15830752864317</v>
      </c>
    </row>
    <row r="46" hidden="1">
      <c r="A46" s="2">
        <v>71</v>
      </c>
      <c r="B46" s="2" t="s">
        <v>112</v>
      </c>
      <c r="C46" s="2" t="s">
        <v>24</v>
      </c>
      <c r="D46" s="2" t="s">
        <v>40</v>
      </c>
      <c r="E46" s="2">
        <v>124</v>
      </c>
      <c r="F46" s="2" t="s">
        <v>42</v>
      </c>
      <c r="G46" s="2" t="s">
        <v>57</v>
      </c>
      <c r="H46" s="2">
        <v>32</v>
      </c>
      <c r="I46" s="3">
        <v>124</v>
      </c>
      <c r="J46" s="4">
        <v>856000000</v>
      </c>
      <c r="K46" s="5">
        <f t="shared" si="0"/>
        <v>125</v>
      </c>
      <c r="L46" s="9" t="n">
        <f t="shared" ref="L46:L54" si="24">ROUND($J46*1.637*1,0)</f>
        <v>1401272000</v>
      </c>
      <c r="M46" s="3">
        <f t="shared" si="2"/>
        <v>126</v>
      </c>
      <c r="N46" s="10" t="n">
        <f t="shared" ref="N46:N54" si="25">ROUND($J46*1.637*1.75*1,0)</f>
        <v>2452226000</v>
      </c>
      <c r="O46" s="5">
        <f t="shared" si="4"/>
        <v>128</v>
      </c>
      <c r="P46" s="9" t="n">
        <f t="shared" ref="P46:P54" si="26">ROUND($J46*1.637*1.75*2.1*1,0)</f>
        <v>5149674600</v>
      </c>
      <c r="Q46" s="3">
        <f t="shared" si="6"/>
        <v>130</v>
      </c>
      <c r="R46" s="10" t="n">
        <f>ROUND($J46*1.637*1.75*2.1*2.3*1,0)</f>
        <v>11844251580</v>
      </c>
      <c r="S46" s="5">
        <f t="shared" si="7"/>
        <v>132</v>
      </c>
      <c r="T46" s="9" t="n">
        <f>ROUND($J46*1.637*1.75*2.1*2.3*2.6*1,0)</f>
        <v>30795054108</v>
      </c>
      <c r="U46" s="3">
        <f t="shared" si="8"/>
        <v>135</v>
      </c>
      <c r="V46" s="10" t="n">
        <f>ROUND($J46*1.637*1.75*2.1*2.3*2.6*3.2*1,0)</f>
        <v>98544173146</v>
      </c>
      <c r="W46" s="5">
        <f t="shared" si="9"/>
        <v>139</v>
      </c>
      <c r="X46" s="9" t="n">
        <f>ROUND($J46*1.637*1.75*2.1*2.3*2.6*3.2*4.2*1,0)</f>
        <v>413885527212</v>
      </c>
      <c r="Y46" s="3">
        <f t="shared" si="10"/>
        <v>141</v>
      </c>
      <c r="Z46" s="10" t="n">
        <f>ROUND($J46*1.637*1.75*2.1*2.3*2.6*3.2*4.2*2.4*1,0)</f>
        <v>993325265308</v>
      </c>
      <c r="AA46" s="5">
        <f t="shared" si="11"/>
        <v>143</v>
      </c>
      <c r="AB46" s="9" t="n">
        <f>ROUND($J46*1.637*1.75*2.1*2.3*2.6*3.2*4.2*2.4*2.5*1,0)</f>
        <v>2483313163269</v>
      </c>
      <c r="AC46" s="3">
        <f t="shared" si="12"/>
        <v>145</v>
      </c>
      <c r="AD46" s="10" t="n">
        <f>ROUND($J46*1.637*1.75*2.1*2.3*2.6*3.2*4.2*2.4*2.5*2.8*1,0)</f>
        <v>6953276857154</v>
      </c>
      <c r="AE46" s="5">
        <f t="shared" si="13"/>
        <v>148</v>
      </c>
      <c r="AF46" s="9" t="n">
        <f>ROUND($J46*1.637*1.75*2.1*2.3*2.6*3.2*4.2*2.4*2.5*2.8*3.2*1,0)</f>
        <v>22250485942891</v>
      </c>
      <c r="AG46" s="3">
        <f t="shared" si="14"/>
        <v>151</v>
      </c>
      <c r="AH46" s="10" t="n">
        <f>ROUND($J46*1.637*1.75*2.1*2.3*2.6*3.2*4.2*2.4*2.5*2.8*3.2*3.8*1,0)</f>
        <v>84551846582987</v>
      </c>
    </row>
    <row r="47" hidden="1">
      <c r="A47" s="2">
        <v>74</v>
      </c>
      <c r="B47" s="2" t="s">
        <v>113</v>
      </c>
      <c r="C47" s="2" t="s">
        <v>24</v>
      </c>
      <c r="D47" s="2" t="s">
        <v>25</v>
      </c>
      <c r="E47" s="2">
        <v>124</v>
      </c>
      <c r="F47" s="2" t="s">
        <v>30</v>
      </c>
      <c r="G47" s="2" t="s">
        <v>72</v>
      </c>
      <c r="H47" s="2">
        <v>32</v>
      </c>
      <c r="I47" s="3">
        <v>124</v>
      </c>
      <c r="J47" s="4">
        <v>582000000</v>
      </c>
      <c r="K47" s="5">
        <f t="shared" si="0"/>
        <v>125</v>
      </c>
      <c r="L47" s="9">
        <f t="shared" si="24"/>
        <v>952734000</v>
      </c>
      <c r="M47" s="3">
        <f t="shared" si="2"/>
        <v>126</v>
      </c>
      <c r="N47" s="10">
        <f t="shared" si="25"/>
        <v>1667284500</v>
      </c>
      <c r="O47" s="5">
        <f t="shared" si="4"/>
        <v>128</v>
      </c>
      <c r="P47" s="9">
        <f t="shared" si="26"/>
        <v>3501297450</v>
      </c>
      <c r="Q47" s="3">
        <f t="shared" si="6"/>
        <v>130</v>
      </c>
      <c r="R47" s="10" t="n">
        <f>ROUND($J47*1.637*1.75*2.1*2.3*1,0)</f>
        <v>8052984135</v>
      </c>
      <c r="S47" s="5">
        <f t="shared" si="7"/>
        <v>132</v>
      </c>
      <c r="T47" s="9" t="n">
        <f>ROUND($J47*1.637*1.75*2.1*2.3*2.6*1,0)</f>
        <v>20937758751</v>
      </c>
      <c r="U47" s="3">
        <f t="shared" si="8"/>
        <v>135</v>
      </c>
      <c r="V47" s="10" t="n">
        <f>ROUND($J47*1.637*1.75*2.1*2.3*2.6*3.2*1,0)</f>
        <v>67000828003</v>
      </c>
      <c r="W47" s="5">
        <f t="shared" si="9"/>
        <v>139</v>
      </c>
      <c r="X47" s="9" t="n">
        <f>ROUND($J47*1.637*1.75*2.1*2.3*2.6*3.2*4.2*1,0)</f>
        <v>281403477613</v>
      </c>
      <c r="Y47" s="3">
        <f t="shared" si="10"/>
        <v>141</v>
      </c>
      <c r="Z47" s="10" t="n">
        <f>ROUND($J47*1.637*1.75*2.1*2.3*2.6*3.2*4.2*2.4*1,0)</f>
        <v>675368346272</v>
      </c>
      <c r="AA47" s="5">
        <f t="shared" si="11"/>
        <v>143</v>
      </c>
      <c r="AB47" s="9" t="n">
        <f>ROUND($J47*1.637*1.75*2.1*2.3*2.6*3.2*4.2*2.4*2.5*1,0)</f>
        <v>1688420865681</v>
      </c>
      <c r="AC47" s="3">
        <f t="shared" si="12"/>
        <v>145</v>
      </c>
      <c r="AD47" s="10" t="n">
        <f>ROUND($J47*1.637*1.75*2.1*2.3*2.6*3.2*4.2*2.4*2.5*2.8*1,0)</f>
        <v>4727578423906</v>
      </c>
      <c r="AE47" s="5">
        <f t="shared" si="13"/>
        <v>148</v>
      </c>
      <c r="AF47" s="9" t="n">
        <f>ROUND($J47*1.637*1.75*2.1*2.3*2.6*3.2*4.2*2.4*2.5*2.8*3.2*1,0)</f>
        <v>15128250956499</v>
      </c>
      <c r="AG47" s="3">
        <f t="shared" si="14"/>
        <v>151</v>
      </c>
      <c r="AH47" s="10" t="n">
        <f>ROUND($J47*1.637*1.75*2.1*2.3*2.6*3.2*4.2*2.4*2.5*2.8*3.2*3.8*1,0)</f>
        <v>57487353634694</v>
      </c>
    </row>
    <row r="48" hidden="1">
      <c r="A48" s="2">
        <v>45</v>
      </c>
      <c r="B48" s="2" t="s">
        <v>114</v>
      </c>
      <c r="C48" s="2" t="s">
        <v>24</v>
      </c>
      <c r="D48" s="2" t="s">
        <v>75</v>
      </c>
      <c r="E48" s="2">
        <v>124</v>
      </c>
      <c r="F48" s="2" t="s">
        <v>30</v>
      </c>
      <c r="G48" s="2" t="s">
        <v>38</v>
      </c>
      <c r="H48" s="2">
        <v>32</v>
      </c>
      <c r="I48" s="3">
        <v>124</v>
      </c>
      <c r="J48" s="4">
        <v>1063000000</v>
      </c>
      <c r="K48" s="5">
        <f t="shared" si="0"/>
        <v>125</v>
      </c>
      <c r="L48" s="9">
        <f t="shared" si="24"/>
        <v>1740131000</v>
      </c>
      <c r="M48" s="3">
        <f t="shared" si="2"/>
        <v>126</v>
      </c>
      <c r="N48" s="10">
        <f t="shared" si="25"/>
        <v>3045229250</v>
      </c>
      <c r="O48" s="5">
        <f t="shared" si="4"/>
        <v>128</v>
      </c>
      <c r="P48" s="9">
        <f t="shared" si="26"/>
        <v>6394981425</v>
      </c>
      <c r="Q48" s="3">
        <f t="shared" si="6"/>
        <v>130</v>
      </c>
      <c r="R48" s="10" t="n">
        <f>ROUND($J48*1.637*1.75*2.1*2.3*1,0)</f>
        <v>14708457278</v>
      </c>
      <c r="S48" s="5">
        <f t="shared" si="7"/>
        <v>132</v>
      </c>
      <c r="T48" s="9" t="n">
        <f>ROUND($J48*1.637*1.75*2.1*2.3*2.6*1,0)</f>
        <v>38241988922</v>
      </c>
      <c r="U48" s="3">
        <f t="shared" si="8"/>
        <v>135</v>
      </c>
      <c r="V48" s="10" t="n">
        <f>ROUND($J48*1.637*1.75*2.1*2.3*2.6*3.2*1,0)</f>
        <v>122374364549</v>
      </c>
      <c r="W48" s="5">
        <f t="shared" si="9"/>
        <v>139</v>
      </c>
      <c r="X48" s="9" t="n">
        <f>ROUND($J48*1.637*1.75*2.1*2.3*2.6*3.2*4.2*1,0)</f>
        <v>513972331105</v>
      </c>
      <c r="Y48" s="3">
        <f t="shared" si="10"/>
        <v>141</v>
      </c>
      <c r="Z48" s="10" t="n">
        <f>ROUND($J48*1.637*1.75*2.1*2.3*2.6*3.2*4.2*2.4*1,0)</f>
        <v>1233533594652</v>
      </c>
      <c r="AA48" s="5">
        <f t="shared" si="11"/>
        <v>143</v>
      </c>
      <c r="AB48" s="9" t="n">
        <f>ROUND($J48*1.637*1.75*2.1*2.3*2.6*3.2*4.2*2.4*2.5*1,0)</f>
        <v>3083833986630</v>
      </c>
      <c r="AC48" s="3">
        <f t="shared" si="12"/>
        <v>145</v>
      </c>
      <c r="AD48" s="10" t="n">
        <f>ROUND($J48*1.637*1.75*2.1*2.3*2.6*3.2*4.2*2.4*2.5*2.8*1,0)</f>
        <v>8634735162563</v>
      </c>
      <c r="AE48" s="5">
        <f t="shared" si="13"/>
        <v>148</v>
      </c>
      <c r="AF48" s="9" t="n">
        <f>ROUND($J48*1.637*1.75*2.1*2.3*2.6*3.2*4.2*2.4*2.5*2.8*3.2*1,0)</f>
        <v>27631152520203</v>
      </c>
      <c r="AG48" s="3">
        <f t="shared" si="14"/>
        <v>151</v>
      </c>
      <c r="AH48" s="10" t="n">
        <f>ROUND($J48*1.637*1.75*2.1*2.3*2.6*3.2*4.2*2.4*2.5*2.8*3.2*3.8*1,0)</f>
        <v>104998379576770</v>
      </c>
    </row>
    <row r="49" hidden="1">
      <c r="A49" s="2">
        <v>72</v>
      </c>
      <c r="B49" s="2" t="s">
        <v>115</v>
      </c>
      <c r="C49" s="2" t="s">
        <v>24</v>
      </c>
      <c r="D49" s="2" t="s">
        <v>40</v>
      </c>
      <c r="E49" s="2">
        <v>124</v>
      </c>
      <c r="F49" s="2" t="s">
        <v>116</v>
      </c>
      <c r="G49" s="2" t="s">
        <v>72</v>
      </c>
      <c r="H49" s="2">
        <v>32</v>
      </c>
      <c r="I49" s="3">
        <v>124</v>
      </c>
      <c r="J49" s="4">
        <v>3250000000</v>
      </c>
      <c r="K49" s="5">
        <f t="shared" si="0"/>
        <v>125</v>
      </c>
      <c r="L49" s="9">
        <f t="shared" si="24"/>
        <v>5320250000</v>
      </c>
      <c r="M49" s="3">
        <f t="shared" si="2"/>
        <v>126</v>
      </c>
      <c r="N49" s="10">
        <f t="shared" si="25"/>
        <v>9310437500</v>
      </c>
      <c r="O49" s="5">
        <f t="shared" si="4"/>
        <v>128</v>
      </c>
      <c r="P49" s="9">
        <f t="shared" si="26"/>
        <v>19551918750</v>
      </c>
      <c r="Q49" s="3">
        <f t="shared" si="6"/>
        <v>130</v>
      </c>
      <c r="R49" s="10" t="n">
        <f>ROUND($J49*1.637*1.75*2.1*2.3*1.25,0)</f>
        <v>56211766406</v>
      </c>
      <c r="S49" s="5">
        <f t="shared" si="7"/>
        <v>132</v>
      </c>
      <c r="T49" s="9" t="n">
        <f>ROUND($J49*1.637*1.75*2.1*2.3*2.6*1.25,0)</f>
        <v>146150592656</v>
      </c>
      <c r="U49" s="3">
        <f t="shared" si="8"/>
        <v>135</v>
      </c>
      <c r="V49" s="10" t="n">
        <f>ROUND($J49*1.637*1.75*2.1*2.3*2.6*3.2*1.25,0)</f>
        <v>467681896500</v>
      </c>
      <c r="W49" s="5">
        <f t="shared" si="9"/>
        <v>139</v>
      </c>
      <c r="X49" s="9" t="n">
        <f>ROUND($J49*1.637*1.75*2.1*2.3*2.6*3.2*4.2*1.25,0)</f>
        <v>1964263965300</v>
      </c>
      <c r="Y49" s="3">
        <f t="shared" si="10"/>
        <v>141</v>
      </c>
      <c r="Z49" s="10" t="n">
        <f>ROUND($J49*1.637*1.75*2.1*2.3*2.6*3.2*4.2*2.4*1.25,0)</f>
        <v>4714233516720</v>
      </c>
      <c r="AA49" s="5">
        <f t="shared" si="11"/>
        <v>143</v>
      </c>
      <c r="AB49" s="9" t="n">
        <f>ROUND($J49*1.637*1.75*2.1*2.3*2.6*3.2*4.2*2.4*2.5*1.25,0)</f>
        <v>11785583791800</v>
      </c>
      <c r="AC49" s="3">
        <f t="shared" si="12"/>
        <v>145</v>
      </c>
      <c r="AD49" s="10" t="n">
        <f>ROUND($J49*1.637*1.75*2.1*2.3*2.6*3.2*4.2*2.4*2.5*2.8*1.25,0)</f>
        <v>32999634617040</v>
      </c>
      <c r="AE49" s="5">
        <f t="shared" si="13"/>
        <v>148</v>
      </c>
      <c r="AF49" s="9" t="n">
        <f>ROUND($J49*1.637*1.75*2.1*2.3*2.6*3.2*4.2*2.4*2.5*2.8*3.2*1.25,0)</f>
        <v>105598830774528</v>
      </c>
      <c r="AG49" s="3">
        <f t="shared" si="14"/>
        <v>151</v>
      </c>
      <c r="AH49" s="10" t="n">
        <f>ROUND($J49*1.637*1.75*2.1*2.3*2.6*3.2*4.2*2.4*2.5*2.8*3.2*3.8*1.25,0)</f>
        <v>401275556943206</v>
      </c>
    </row>
    <row r="50" hidden="1">
      <c r="A50" s="2">
        <v>5</v>
      </c>
      <c r="B50" s="2" t="s">
        <v>117</v>
      </c>
      <c r="C50" s="2" t="s">
        <v>24</v>
      </c>
      <c r="D50" s="2" t="s">
        <v>40</v>
      </c>
      <c r="E50" s="2">
        <v>124</v>
      </c>
      <c r="F50" s="2" t="s">
        <v>54</v>
      </c>
      <c r="G50" s="2" t="s">
        <v>95</v>
      </c>
      <c r="H50" s="2">
        <v>32</v>
      </c>
      <c r="I50" s="3">
        <v>124</v>
      </c>
      <c r="J50" s="4">
        <v>3310000000</v>
      </c>
      <c r="K50" s="5">
        <f t="shared" si="0"/>
        <v>125</v>
      </c>
      <c r="L50" s="9">
        <f t="shared" si="24"/>
        <v>5418470000</v>
      </c>
      <c r="M50" s="3">
        <f t="shared" si="2"/>
        <v>126</v>
      </c>
      <c r="N50" s="10">
        <f t="shared" si="25"/>
        <v>9482322500</v>
      </c>
      <c r="O50" s="5">
        <f t="shared" si="4"/>
        <v>128</v>
      </c>
      <c r="P50" s="9">
        <f t="shared" si="26"/>
        <v>19912877250</v>
      </c>
      <c r="Q50" s="3">
        <f t="shared" si="6"/>
        <v>130</v>
      </c>
      <c r="R50" s="10" t="n">
        <f>ROUND($J50*1.637*1.75*2.1*2.3*1.25,0)</f>
        <v>57249522094</v>
      </c>
      <c r="S50" s="5">
        <f t="shared" si="7"/>
        <v>132</v>
      </c>
      <c r="T50" s="9" t="n">
        <f>ROUND($J50*1.637*1.75*2.1*2.3*2.6*1.25,0)</f>
        <v>148848757444</v>
      </c>
      <c r="U50" s="3">
        <f t="shared" si="8"/>
        <v>135</v>
      </c>
      <c r="V50" s="10" t="n">
        <f>ROUND($J50*1.637*1.75*2.1*2.3*2.6*3.2*1.25,0)</f>
        <v>476316023820</v>
      </c>
      <c r="W50" s="5">
        <f t="shared" si="9"/>
        <v>139</v>
      </c>
      <c r="X50" s="9" t="n">
        <f>ROUND($J50*1.637*1.75*2.1*2.3*2.6*3.2*4.2*1.25,0)</f>
        <v>2000527300044</v>
      </c>
      <c r="Y50" s="3">
        <f t="shared" si="10"/>
        <v>141</v>
      </c>
      <c r="Z50" s="10" t="n">
        <f>ROUND($J50*1.637*1.75*2.1*2.3*2.6*3.2*4.2*2.4*1.25,0)</f>
        <v>4801265520106</v>
      </c>
      <c r="AA50" s="5">
        <f t="shared" si="11"/>
        <v>143</v>
      </c>
      <c r="AB50" s="9" t="n">
        <f>ROUND($J50*1.637*1.75*2.1*2.3*2.6*3.2*4.2*2.4*2.5*1.25,0)</f>
        <v>12003163800264</v>
      </c>
      <c r="AC50" s="3">
        <f t="shared" si="12"/>
        <v>145</v>
      </c>
      <c r="AD50" s="10" t="n">
        <f>ROUND($J50*1.637*1.75*2.1*2.3*2.6*3.2*4.2*2.4*2.5*2.8*1.25,0)</f>
        <v>33608858640739</v>
      </c>
      <c r="AE50" s="5">
        <f t="shared" si="13"/>
        <v>148</v>
      </c>
      <c r="AF50" s="9" t="n">
        <f>ROUND($J50*1.637*1.75*2.1*2.3*2.6*3.2*4.2*2.4*2.5*2.8*3.2*1.25,0)</f>
        <v>107548347650365</v>
      </c>
      <c r="AG50" s="3">
        <f t="shared" si="14"/>
        <v>151</v>
      </c>
      <c r="AH50" s="10" t="n">
        <f>ROUND($J50*1.637*1.75*2.1*2.3*2.6*3.2*4.2*2.4*2.5*2.8*3.2*3.8*1.25,0)</f>
        <v>408683721071389</v>
      </c>
    </row>
    <row r="51" hidden="1">
      <c r="A51" s="2">
        <v>35</v>
      </c>
      <c r="B51" s="2" t="s">
        <v>118</v>
      </c>
      <c r="C51" s="2" t="s">
        <v>24</v>
      </c>
      <c r="D51" s="2" t="s">
        <v>40</v>
      </c>
      <c r="E51" s="2">
        <v>124</v>
      </c>
      <c r="F51" s="2" t="s">
        <v>56</v>
      </c>
      <c r="G51" s="2" t="s">
        <v>57</v>
      </c>
      <c r="H51" s="2">
        <v>32</v>
      </c>
      <c r="I51" s="3">
        <v>124</v>
      </c>
      <c r="J51" s="4">
        <v>5000000000</v>
      </c>
      <c r="K51" s="5">
        <f t="shared" si="0"/>
        <v>125</v>
      </c>
      <c r="L51" s="9">
        <f t="shared" si="24"/>
        <v>8185000000</v>
      </c>
      <c r="M51" s="3">
        <f t="shared" si="2"/>
        <v>126</v>
      </c>
      <c r="N51" s="10">
        <f t="shared" si="25"/>
        <v>14323750000</v>
      </c>
      <c r="O51" s="5">
        <f t="shared" si="4"/>
        <v>128</v>
      </c>
      <c r="P51" s="9">
        <f t="shared" si="26"/>
        <v>30079875000</v>
      </c>
      <c r="Q51" s="3">
        <f t="shared" si="6"/>
        <v>130</v>
      </c>
      <c r="R51" s="10" t="n">
        <f>ROUND($J51*1.637*1.75*2.1*2.3*1.25,0)</f>
        <v>86479640625</v>
      </c>
      <c r="S51" s="5">
        <f t="shared" si="7"/>
        <v>132</v>
      </c>
      <c r="T51" s="9" t="n">
        <f>ROUND($J51*1.637*1.75*2.1*2.3*2.6*1.25,0)</f>
        <v>224847065625</v>
      </c>
      <c r="U51" s="3">
        <f t="shared" si="8"/>
        <v>135</v>
      </c>
      <c r="V51" s="10" t="n">
        <f>ROUND($J51*1.637*1.75*2.1*2.3*2.6*3.2*1.25,0)</f>
        <v>719510610000</v>
      </c>
      <c r="W51" s="5">
        <f t="shared" si="9"/>
        <v>139</v>
      </c>
      <c r="X51" s="9" t="n">
        <f>ROUND($J51*1.637*1.75*2.1*2.3*2.6*3.2*4.2*1.25,0)</f>
        <v>3021944562000</v>
      </c>
      <c r="Y51" s="3">
        <f t="shared" si="10"/>
        <v>141</v>
      </c>
      <c r="Z51" s="10" t="n">
        <f>ROUND($J51*1.637*1.75*2.1*2.3*2.6*3.2*4.2*2.4*1.25,0)</f>
        <v>7252666948800</v>
      </c>
      <c r="AA51" s="5">
        <f t="shared" si="11"/>
        <v>143</v>
      </c>
      <c r="AB51" s="9" t="n">
        <f>ROUND($J51*1.637*1.75*2.1*2.3*2.6*3.2*4.2*2.4*2.5*1.25,0)</f>
        <v>18131667372000</v>
      </c>
      <c r="AC51" s="3">
        <f t="shared" si="12"/>
        <v>145</v>
      </c>
      <c r="AD51" s="10" t="n">
        <f>ROUND($J51*1.637*1.75*2.1*2.3*2.6*3.2*4.2*2.4*2.5*2.8*1.25,0)</f>
        <v>50768668641600</v>
      </c>
      <c r="AE51" s="5">
        <f t="shared" si="13"/>
        <v>148</v>
      </c>
      <c r="AF51" s="9" t="n">
        <f>ROUND($J51*1.637*1.75*2.1*2.3*2.6*3.2*4.2*2.4*2.5*2.8*3.2*1.25,0)</f>
        <v>162459739653120</v>
      </c>
      <c r="AG51" s="3">
        <f t="shared" si="14"/>
        <v>151</v>
      </c>
      <c r="AH51" s="10" t="n">
        <f>ROUND($J51*1.637*1.75*2.1*2.3*2.6*3.2*4.2*2.4*2.5*2.8*3.2*3.8*1.25,0)</f>
        <v>617347010681856</v>
      </c>
    </row>
    <row r="52" hidden="1">
      <c r="A52" s="2">
        <v>65</v>
      </c>
      <c r="B52" s="2" t="s">
        <v>119</v>
      </c>
      <c r="C52" s="2" t="s">
        <v>24</v>
      </c>
      <c r="D52" s="2" t="s">
        <v>40</v>
      </c>
      <c r="E52" s="2">
        <v>124</v>
      </c>
      <c r="F52" s="2" t="s">
        <v>120</v>
      </c>
      <c r="G52" s="2" t="s">
        <v>51</v>
      </c>
      <c r="H52" s="2">
        <v>33</v>
      </c>
      <c r="I52" s="3">
        <v>124</v>
      </c>
      <c r="J52" s="4">
        <v>8100000000</v>
      </c>
      <c r="K52" s="5">
        <f t="shared" si="0"/>
        <v>125</v>
      </c>
      <c r="L52" s="9">
        <f t="shared" si="24"/>
        <v>13259700000</v>
      </c>
      <c r="M52" s="3">
        <f t="shared" si="2"/>
        <v>126</v>
      </c>
      <c r="N52" s="10">
        <f t="shared" si="25"/>
        <v>23204475000</v>
      </c>
      <c r="O52" s="5">
        <f t="shared" si="4"/>
        <v>128</v>
      </c>
      <c r="P52" s="9">
        <f t="shared" si="26"/>
        <v>48729397500</v>
      </c>
      <c r="Q52" s="3">
        <f t="shared" si="6"/>
        <v>130</v>
      </c>
      <c r="R52" s="10" t="n">
        <f>ROUND($J52*1.637*1.75*2.1*2.3*1.25,0)</f>
        <v>140097017813</v>
      </c>
      <c r="S52" s="5">
        <f t="shared" si="7"/>
        <v>132</v>
      </c>
      <c r="T52" s="9" t="n">
        <f>ROUND($J52*1.637*1.75*2.1*2.3*2.6*1.25,0)</f>
        <v>364252246313</v>
      </c>
      <c r="U52" s="3">
        <f t="shared" si="8"/>
        <v>135</v>
      </c>
      <c r="V52" s="10" t="n">
        <f>ROUND($J52*1.637*1.75*2.1*2.3*2.6*3.2*1.25,0)</f>
        <v>1165607188200</v>
      </c>
      <c r="W52" s="5">
        <f t="shared" si="9"/>
        <v>139</v>
      </c>
      <c r="X52" s="9" t="n">
        <f>ROUND($J52*1.637*1.75*2.1*2.3*2.6*3.2*4.2*1.25,0)</f>
        <v>4895550190440</v>
      </c>
      <c r="Y52" s="3">
        <f t="shared" si="10"/>
        <v>141</v>
      </c>
      <c r="Z52" s="10" t="n">
        <f>ROUND($J52*1.637*1.75*2.1*2.3*2.6*3.2*4.2*2.4*1.25,0)</f>
        <v>11749320457056</v>
      </c>
      <c r="AA52" s="5">
        <f t="shared" si="11"/>
        <v>143</v>
      </c>
      <c r="AB52" s="9" t="n">
        <f>ROUND($J52*1.637*1.75*2.1*2.3*2.6*3.2*4.2*2.4*2.5*1.25,0)</f>
        <v>29373301142640</v>
      </c>
      <c r="AC52" s="3">
        <f t="shared" si="12"/>
        <v>145</v>
      </c>
      <c r="AD52" s="10" t="n">
        <f>ROUND($J52*1.637*1.75*2.1*2.3*2.6*3.2*4.2*2.4*2.5*2.8*1.25,0)</f>
        <v>82245243199392</v>
      </c>
      <c r="AE52" s="5">
        <f t="shared" si="13"/>
        <v>148</v>
      </c>
      <c r="AF52" s="9" t="n">
        <f>ROUND($J52*1.637*1.75*2.1*2.3*2.6*3.2*4.2*2.4*2.5*2.8*3.2*1.25,0)</f>
        <v>263184778238054</v>
      </c>
      <c r="AG52" s="3">
        <f t="shared" si="14"/>
        <v>151</v>
      </c>
      <c r="AH52" s="10" t="n">
        <f>ROUND($J52*1.637*1.75*2.1*2.3*2.6*3.2*4.2*2.4*2.5*2.8*3.2*3.8*1.25,0)</f>
        <v>1000102157304610</v>
      </c>
    </row>
    <row r="53" hidden="1">
      <c r="A53" s="2">
        <v>90</v>
      </c>
      <c r="B53" s="2" t="s">
        <v>121</v>
      </c>
      <c r="C53" s="2" t="s">
        <v>24</v>
      </c>
      <c r="D53" s="2" t="s">
        <v>29</v>
      </c>
      <c r="E53" s="2">
        <v>123</v>
      </c>
      <c r="F53" s="2" t="s">
        <v>62</v>
      </c>
      <c r="G53" s="2" t="s">
        <v>67</v>
      </c>
      <c r="H53" s="2">
        <v>32</v>
      </c>
      <c r="I53" s="3">
        <v>123</v>
      </c>
      <c r="J53" s="4">
        <v>1160000000</v>
      </c>
      <c r="K53" s="5">
        <f t="shared" si="0"/>
        <v>124</v>
      </c>
      <c r="L53" s="9">
        <f t="shared" si="24"/>
        <v>1898920000</v>
      </c>
      <c r="M53" s="3">
        <f t="shared" si="2"/>
        <v>125</v>
      </c>
      <c r="N53" s="10">
        <f t="shared" si="25"/>
        <v>3323110000</v>
      </c>
      <c r="O53" s="5">
        <f t="shared" si="4"/>
        <v>127</v>
      </c>
      <c r="P53" s="9">
        <f t="shared" si="26"/>
        <v>6978531000</v>
      </c>
      <c r="Q53" s="3">
        <f t="shared" si="6"/>
        <v>129</v>
      </c>
      <c r="R53" s="10" t="n">
        <f>ROUND($J53*1.637*1.75*2.1*2.3*1,0)</f>
        <v>16050621300</v>
      </c>
      <c r="S53" s="5">
        <f t="shared" si="7"/>
        <v>131</v>
      </c>
      <c r="T53" s="9" t="n">
        <f>ROUND($J53*1.637*1.75*2.1*2.3*2.6*1,0)</f>
        <v>41731615380</v>
      </c>
      <c r="U53" s="3">
        <f t="shared" si="8"/>
        <v>134</v>
      </c>
      <c r="V53" s="10" t="n">
        <f>ROUND($J53*1.637*1.75*2.1*2.3*2.6*3.2*1,0)</f>
        <v>133541169216</v>
      </c>
      <c r="W53" s="5">
        <f t="shared" si="9"/>
        <v>138</v>
      </c>
      <c r="X53" s="9" t="n">
        <f>ROUND($J53*1.637*1.75*2.1*2.3*2.6*3.2*4.2*1,0)</f>
        <v>560872910707</v>
      </c>
      <c r="Y53" s="3">
        <f t="shared" si="10"/>
        <v>140</v>
      </c>
      <c r="Z53" s="10" t="n">
        <f>ROUND($J53*1.637*1.75*2.1*2.3*2.6*3.2*4.2*2.4*1,0)</f>
        <v>1346094985697</v>
      </c>
      <c r="AA53" s="5">
        <f t="shared" si="11"/>
        <v>142</v>
      </c>
      <c r="AB53" s="9" t="n">
        <f>ROUND($J53*1.637*1.75*2.1*2.3*2.6*3.2*4.2*2.4*2.5*1,0)</f>
        <v>3365237464243</v>
      </c>
      <c r="AC53" s="3">
        <f t="shared" si="12"/>
        <v>144</v>
      </c>
      <c r="AD53" s="10" t="n">
        <f>ROUND($J53*1.637*1.75*2.1*2.3*2.6*3.2*4.2*2.4*2.5*2.8*1,0)</f>
        <v>9422664899881</v>
      </c>
      <c r="AE53" s="5">
        <f t="shared" si="13"/>
        <v>147</v>
      </c>
      <c r="AF53" s="9" t="n">
        <f>ROUND($J53*1.637*1.75*2.1*2.3*2.6*3.2*4.2*2.4*2.5*2.8*3.2*1,0)</f>
        <v>30152527679619</v>
      </c>
      <c r="AG53" s="3">
        <f t="shared" si="14"/>
        <v>150</v>
      </c>
      <c r="AH53" s="10" t="n">
        <f>ROUND($J53*1.637*1.75*2.1*2.3*2.6*3.2*4.2*2.4*2.5*2.8*3.2*3.8*1,0)</f>
        <v>114579605182552</v>
      </c>
    </row>
    <row r="54" hidden="1">
      <c r="A54" s="2">
        <v>83</v>
      </c>
      <c r="B54" s="2" t="s">
        <v>122</v>
      </c>
      <c r="C54" s="2" t="s">
        <v>24</v>
      </c>
      <c r="D54" s="2" t="s">
        <v>40</v>
      </c>
      <c r="E54" s="2">
        <v>123</v>
      </c>
      <c r="F54" s="2" t="s">
        <v>123</v>
      </c>
      <c r="G54" s="2" t="s">
        <v>124</v>
      </c>
      <c r="H54" s="2">
        <v>32</v>
      </c>
      <c r="I54" s="3">
        <v>123</v>
      </c>
      <c r="J54" s="4">
        <v>1859000000</v>
      </c>
      <c r="K54" s="5">
        <f t="shared" si="0"/>
        <v>124</v>
      </c>
      <c r="L54" s="9">
        <f t="shared" si="24"/>
        <v>3043183000</v>
      </c>
      <c r="M54" s="3">
        <f t="shared" si="2"/>
        <v>125</v>
      </c>
      <c r="N54" s="10">
        <f t="shared" si="25"/>
        <v>5325570250</v>
      </c>
      <c r="O54" s="5">
        <f t="shared" si="4"/>
        <v>127</v>
      </c>
      <c r="P54" s="9">
        <f t="shared" si="26"/>
        <v>11183697525</v>
      </c>
      <c r="Q54" s="3">
        <f t="shared" si="6"/>
        <v>129</v>
      </c>
      <c r="R54" s="10" t="n">
        <f>ROUND($J54*1.637*1.75*2.1*2.3*1.25,0)</f>
        <v>32153130384</v>
      </c>
      <c r="S54" s="5">
        <f t="shared" si="7"/>
        <v>131</v>
      </c>
      <c r="T54" s="9" t="n">
        <f>ROUND($J54*1.637*1.75*2.1*2.3*2.6*1.25,0)</f>
        <v>83598138999</v>
      </c>
      <c r="U54" s="3">
        <f t="shared" si="8"/>
        <v>134</v>
      </c>
      <c r="V54" s="10" t="n">
        <f>ROUND($J54*1.637*1.75*2.1*2.3*2.6*3.2*1.25,0)</f>
        <v>267514044798</v>
      </c>
      <c r="W54" s="5">
        <f t="shared" si="9"/>
        <v>138</v>
      </c>
      <c r="X54" s="9" t="n">
        <f>ROUND($J54*1.637*1.75*2.1*2.3*2.6*3.2*4.2*1.25,0)</f>
        <v>1123558988152</v>
      </c>
      <c r="Y54" s="3">
        <f t="shared" si="10"/>
        <v>140</v>
      </c>
      <c r="Z54" s="10" t="n">
        <f>ROUND($J54*1.637*1.75*2.1*2.3*2.6*3.2*4.2*2.4*1.25,0)</f>
        <v>2696541571564</v>
      </c>
      <c r="AA54" s="5">
        <f t="shared" si="11"/>
        <v>142</v>
      </c>
      <c r="AB54" s="9" t="n">
        <f>ROUND($J54*1.637*1.75*2.1*2.3*2.6*3.2*4.2*2.4*2.5*1.25,0)</f>
        <v>6741353928910</v>
      </c>
      <c r="AC54" s="3">
        <f t="shared" si="12"/>
        <v>144</v>
      </c>
      <c r="AD54" s="10" t="n">
        <f>ROUND($J54*1.637*1.75*2.1*2.3*2.6*3.2*4.2*2.4*2.5*2.8*1.25,0)</f>
        <v>18875791000947</v>
      </c>
      <c r="AE54" s="5">
        <f t="shared" si="13"/>
        <v>147</v>
      </c>
      <c r="AF54" s="9" t="n">
        <f>ROUND($J54*1.637*1.75*2.1*2.3*2.6*3.2*4.2*2.4*2.5*2.8*3.2*1.25,0)</f>
        <v>60402531203030</v>
      </c>
      <c r="AG54" s="3">
        <f t="shared" si="14"/>
        <v>150</v>
      </c>
      <c r="AH54" s="10" t="n">
        <f>ROUND($J54*1.637*1.75*2.1*2.3*2.6*3.2*4.2*2.4*2.5*2.8*3.2*3.8*1.25,0)</f>
        <v>229529618571514</v>
      </c>
    </row>
    <row r="55" hidden="1">
      <c r="A55" s="2">
        <v>92</v>
      </c>
      <c r="B55" s="2" t="s">
        <v>125</v>
      </c>
      <c r="C55" s="2" t="s">
        <v>24</v>
      </c>
      <c r="D55" s="2" t="s">
        <v>33</v>
      </c>
      <c r="E55" s="2">
        <v>123</v>
      </c>
      <c r="F55" s="2" t="s">
        <v>56</v>
      </c>
      <c r="G55" s="2" t="s">
        <v>126</v>
      </c>
      <c r="H55" s="2">
        <v>31</v>
      </c>
      <c r="I55" s="3">
        <v>123</v>
      </c>
      <c r="J55" s="4">
        <v>168000000</v>
      </c>
      <c r="K55" s="5">
        <f t="shared" si="0"/>
        <v>124</v>
      </c>
      <c r="L55" s="9" t="n">
        <f>ROUND($J55*1.637*0.8,0)</f>
        <v>220012800</v>
      </c>
      <c r="M55" s="3">
        <f t="shared" si="2"/>
        <v>125</v>
      </c>
      <c r="N55" s="10" t="n">
        <f>ROUND($J55*1.637*1.75*0.8,0)</f>
        <v>385022400</v>
      </c>
      <c r="O55" s="5">
        <f t="shared" si="4"/>
        <v>127</v>
      </c>
      <c r="P55" s="9" t="n">
        <f>ROUND($J55*1.637*1.75*2.1*0.8,0)</f>
        <v>808547040</v>
      </c>
      <c r="Q55" s="3">
        <f t="shared" si="6"/>
        <v>129</v>
      </c>
      <c r="R55" s="10" t="n">
        <f>ROUND($J55*1.637*1.75*2.1*2.3*0.542035092435954,0)</f>
        <v>1260000000</v>
      </c>
      <c r="S55" s="5">
        <f t="shared" si="7"/>
        <v>131</v>
      </c>
      <c r="T55" s="9" t="n">
        <f>ROUND($J55*1.637*1.75*2.1*2.3*2.6*0.544690061623969,0)</f>
        <v>3292046339</v>
      </c>
      <c r="U55" s="3">
        <f t="shared" si="8"/>
        <v>134</v>
      </c>
      <c r="V55" s="10" t="n">
        <f>ROUND($J55*1.637*1.75*2.1*2.3*2.6*3.2*0.547345030811984,0)</f>
        <v>10585896572</v>
      </c>
      <c r="W55" s="5">
        <f t="shared" si="9"/>
        <v>138</v>
      </c>
      <c r="X55" s="9" t="n">
        <f>ROUND($J55*1.637*1.75*2.1*2.3*2.6*3.2*4.2*0.55,0)</f>
        <v>44676428405</v>
      </c>
      <c r="Y55" s="3">
        <f t="shared" si="10"/>
        <v>140</v>
      </c>
      <c r="Z55" s="10" t="n">
        <f>ROUND($J55*1.637*1.75*2.1*2.3*2.6*3.2*4.2*2.4*0.55,0)</f>
        <v>107223428171</v>
      </c>
      <c r="AA55" s="5">
        <f t="shared" si="11"/>
        <v>142</v>
      </c>
      <c r="AB55" s="9" t="n">
        <f>ROUND($J55*1.637*1.75*2.1*2.3*2.6*3.2*4.2*2.4*2.5*0.55,0)</f>
        <v>268058570428</v>
      </c>
      <c r="AC55" s="3">
        <f t="shared" si="12"/>
        <v>144</v>
      </c>
      <c r="AD55" s="10" t="n">
        <f>ROUND($J55*1.637*1.75*2.1*2.3*2.6*3.2*4.2*2.4*2.5*2.8*0.55,0)</f>
        <v>750563997197</v>
      </c>
      <c r="AE55" s="5">
        <f t="shared" si="13"/>
        <v>147</v>
      </c>
      <c r="AF55" s="9" t="n">
        <f>ROUND($J55*1.637*1.75*2.1*2.3*2.6*3.2*4.2*2.4*2.5*2.8*3.2*0.55,0)</f>
        <v>2401804791032</v>
      </c>
      <c r="AG55" s="3">
        <f t="shared" si="14"/>
        <v>150</v>
      </c>
      <c r="AH55" s="10" t="n">
        <f>ROUND($J55*1.637*1.75*2.1*2.3*2.6*3.2*4.2*2.4*2.5*2.8*3.2*3.8*0.55,0)</f>
        <v>9126858205921</v>
      </c>
    </row>
    <row r="56" hidden="1">
      <c r="A56" s="2">
        <v>98</v>
      </c>
      <c r="B56" s="2" t="s">
        <v>127</v>
      </c>
      <c r="C56" s="2" t="s">
        <v>24</v>
      </c>
      <c r="D56" s="2" t="s">
        <v>33</v>
      </c>
      <c r="E56" s="2">
        <v>123</v>
      </c>
      <c r="F56" s="2" t="s">
        <v>71</v>
      </c>
      <c r="G56" s="2" t="s">
        <v>72</v>
      </c>
      <c r="H56" s="2">
        <v>31</v>
      </c>
      <c r="I56" s="3">
        <v>123</v>
      </c>
      <c r="J56" s="4">
        <v>385000000</v>
      </c>
      <c r="K56" s="5">
        <f t="shared" si="0"/>
        <v>124</v>
      </c>
      <c r="L56" s="9" t="n">
        <f>ROUND($J56*1.637*1,0)</f>
        <v>630245000</v>
      </c>
      <c r="M56" s="3">
        <f t="shared" si="2"/>
        <v>125</v>
      </c>
      <c r="N56" s="10" t="n">
        <f>ROUND($J56*1.637*1.75*1,0)</f>
        <v>1102928750</v>
      </c>
      <c r="O56" s="5">
        <f t="shared" si="4"/>
        <v>127</v>
      </c>
      <c r="P56" s="9" t="n">
        <f>ROUND($J56*1.637*1.75*2.1*1,0)</f>
        <v>2316150375</v>
      </c>
      <c r="Q56" s="3">
        <f t="shared" si="6"/>
        <v>129</v>
      </c>
      <c r="R56" s="10" t="n">
        <f>ROUND($J56*1.637*1.75*2.1*2.3*1,0)</f>
        <v>5327145863</v>
      </c>
      <c r="S56" s="5">
        <f t="shared" si="7"/>
        <v>131</v>
      </c>
      <c r="T56" s="9" t="n">
        <f>ROUND($J56*1.637*1.75*2.1*2.3*2.6*1,0)</f>
        <v>13850579243</v>
      </c>
      <c r="U56" s="3">
        <f t="shared" si="8"/>
        <v>134</v>
      </c>
      <c r="V56" s="10" t="n">
        <f>ROUND($J56*1.637*1.75*2.1*2.3*2.6*3.2*1,0)</f>
        <v>44321853576</v>
      </c>
      <c r="W56" s="5">
        <f t="shared" si="9"/>
        <v>138</v>
      </c>
      <c r="X56" s="9" t="n">
        <f>ROUND($J56*1.637*1.75*2.1*2.3*2.6*3.2*4.2*1,0)</f>
        <v>186151785019</v>
      </c>
      <c r="Y56" s="3">
        <f t="shared" si="10"/>
        <v>140</v>
      </c>
      <c r="Z56" s="10" t="n">
        <f>ROUND($J56*1.637*1.75*2.1*2.3*2.6*3.2*4.2*2.4*1,0)</f>
        <v>446764284046</v>
      </c>
      <c r="AA56" s="5">
        <f t="shared" si="11"/>
        <v>142</v>
      </c>
      <c r="AB56" s="9" t="n">
        <f>ROUND($J56*1.637*1.75*2.1*2.3*2.6*3.2*4.2*2.4*2.5*1,0)</f>
        <v>1116910710115</v>
      </c>
      <c r="AC56" s="3">
        <f t="shared" si="12"/>
        <v>144</v>
      </c>
      <c r="AD56" s="10" t="n">
        <f>ROUND($J56*1.637*1.75*2.1*2.3*2.6*3.2*4.2*2.4*2.5*2.8*1,0)</f>
        <v>3127349988323</v>
      </c>
      <c r="AE56" s="5">
        <f t="shared" si="13"/>
        <v>147</v>
      </c>
      <c r="AF56" s="9" t="n">
        <f>ROUND($J56*1.637*1.75*2.1*2.3*2.6*3.2*4.2*2.4*2.5*2.8*3.2*1,0)</f>
        <v>10007519962632</v>
      </c>
      <c r="AG56" s="3">
        <f t="shared" si="14"/>
        <v>150</v>
      </c>
      <c r="AH56" s="10" t="n">
        <f>ROUND($J56*1.637*1.75*2.1*2.3*2.6*3.2*4.2*2.4*2.5*2.8*3.2*3.8*1,0)</f>
        <v>38028575858002</v>
      </c>
    </row>
    <row r="57" hidden="1">
      <c r="A57" s="2">
        <v>94</v>
      </c>
      <c r="B57" s="2" t="s">
        <v>128</v>
      </c>
      <c r="C57" s="2" t="s">
        <v>24</v>
      </c>
      <c r="D57" s="2" t="s">
        <v>90</v>
      </c>
      <c r="E57" s="2">
        <v>123</v>
      </c>
      <c r="F57" s="2" t="s">
        <v>30</v>
      </c>
      <c r="G57" s="2" t="s">
        <v>31</v>
      </c>
      <c r="H57" s="2">
        <v>31</v>
      </c>
      <c r="I57" s="3">
        <v>123</v>
      </c>
      <c r="J57" s="4">
        <v>180000000</v>
      </c>
      <c r="K57" s="5">
        <f t="shared" si="0"/>
        <v>124</v>
      </c>
      <c r="L57" s="9" t="n">
        <f>ROUND($J57*1.637*0.8,0)</f>
        <v>235728000</v>
      </c>
      <c r="M57" s="3">
        <f t="shared" si="2"/>
        <v>125</v>
      </c>
      <c r="N57" s="10" t="n">
        <f>ROUND($J57*1.637*1.75*0.8,0)</f>
        <v>412524000</v>
      </c>
      <c r="O57" s="5">
        <f t="shared" si="4"/>
        <v>127</v>
      </c>
      <c r="P57" s="9" t="n">
        <f>ROUND($J57*1.637*1.75*2.1*0.8,0)</f>
        <v>866300400</v>
      </c>
      <c r="Q57" s="3">
        <f t="shared" si="6"/>
        <v>129</v>
      </c>
      <c r="R57" s="10" t="n">
        <f>ROUND($J57*1.637*1.75*2.1*2.3*0.542035092435954,0)</f>
        <v>1350000000</v>
      </c>
      <c r="S57" s="5">
        <f t="shared" si="7"/>
        <v>131</v>
      </c>
      <c r="T57" s="9" t="n">
        <f>ROUND($J57*1.637*1.75*2.1*2.3*2.6*0.544690061623969,0)</f>
        <v>3527192507</v>
      </c>
      <c r="U57" s="3">
        <f t="shared" si="8"/>
        <v>134</v>
      </c>
      <c r="V57" s="10" t="n">
        <f>ROUND($J57*1.637*1.75*2.1*2.3*2.6*3.2*0.547345030811984,0)</f>
        <v>11342032042</v>
      </c>
      <c r="W57" s="5">
        <f t="shared" si="9"/>
        <v>138</v>
      </c>
      <c r="X57" s="9" t="n">
        <f>ROUND($J57*1.637*1.75*2.1*2.3*2.6*3.2*4.2*0.55,0)</f>
        <v>47867601862</v>
      </c>
      <c r="Y57" s="3">
        <f t="shared" si="10"/>
        <v>140</v>
      </c>
      <c r="Z57" s="10" t="n">
        <f>ROUND($J57*1.637*1.75*2.1*2.3*2.6*3.2*4.2*2.4*0.55,0)</f>
        <v>114882244469</v>
      </c>
      <c r="AA57" s="5">
        <f t="shared" si="11"/>
        <v>142</v>
      </c>
      <c r="AB57" s="9" t="n">
        <f>ROUND($J57*1.637*1.75*2.1*2.3*2.6*3.2*4.2*2.4*2.5*0.55,0)</f>
        <v>287205611172</v>
      </c>
      <c r="AC57" s="3">
        <f t="shared" si="12"/>
        <v>144</v>
      </c>
      <c r="AD57" s="10" t="n">
        <f>ROUND($J57*1.637*1.75*2.1*2.3*2.6*3.2*4.2*2.4*2.5*2.8*0.55,0)</f>
        <v>804175711283</v>
      </c>
      <c r="AE57" s="5">
        <f t="shared" si="13"/>
        <v>147</v>
      </c>
      <c r="AF57" s="9" t="n">
        <f>ROUND($J57*1.637*1.75*2.1*2.3*2.6*3.2*4.2*2.4*2.5*2.8*3.2*0.55,0)</f>
        <v>2573362276105</v>
      </c>
      <c r="AG57" s="3">
        <f t="shared" si="14"/>
        <v>150</v>
      </c>
      <c r="AH57" s="10" t="n">
        <f>ROUND($J57*1.637*1.75*2.1*2.3*2.6*3.2*4.2*2.4*2.5*2.8*3.2*3.8*0.55,0)</f>
        <v>9778776649201</v>
      </c>
    </row>
    <row r="58" hidden="1">
      <c r="A58" s="2">
        <v>82</v>
      </c>
      <c r="B58" s="2" t="s">
        <v>129</v>
      </c>
      <c r="C58" s="2" t="s">
        <v>24</v>
      </c>
      <c r="D58" s="2" t="s">
        <v>102</v>
      </c>
      <c r="E58" s="2">
        <v>123</v>
      </c>
      <c r="F58" s="2" t="s">
        <v>30</v>
      </c>
      <c r="G58" s="2" t="s">
        <v>106</v>
      </c>
      <c r="H58" s="2">
        <v>32</v>
      </c>
      <c r="I58" s="3">
        <v>123</v>
      </c>
      <c r="J58" s="4">
        <v>723000000</v>
      </c>
      <c r="K58" s="5">
        <f t="shared" si="0"/>
        <v>124</v>
      </c>
      <c r="L58" s="9" t="n">
        <f>ROUND($J58*1.637*1,0)</f>
        <v>1183551000</v>
      </c>
      <c r="M58" s="3">
        <f t="shared" si="2"/>
        <v>125</v>
      </c>
      <c r="N58" s="10" t="n">
        <f>ROUND($J58*1.637*1.75*1,0)</f>
        <v>2071214250</v>
      </c>
      <c r="O58" s="5">
        <f t="shared" si="4"/>
        <v>127</v>
      </c>
      <c r="P58" s="9" t="n">
        <f>ROUND($J58*1.637*1.75*2.1*1,0)</f>
        <v>4349549925</v>
      </c>
      <c r="Q58" s="3">
        <f t="shared" si="6"/>
        <v>129</v>
      </c>
      <c r="R58" s="10" t="n">
        <f>ROUND($J58*1.637*1.75*2.1*2.3*1,0)</f>
        <v>10003964828</v>
      </c>
      <c r="S58" s="5">
        <f t="shared" si="7"/>
        <v>131</v>
      </c>
      <c r="T58" s="9" t="n">
        <f>ROUND($J58*1.637*1.75*2.1*2.3*2.6*1,0)</f>
        <v>26010308552</v>
      </c>
      <c r="U58" s="3">
        <f t="shared" si="8"/>
        <v>134</v>
      </c>
      <c r="V58" s="10" t="n">
        <f>ROUND($J58*1.637*1.75*2.1*2.3*2.6*3.2*1,0)</f>
        <v>83232987365</v>
      </c>
      <c r="W58" s="5">
        <f t="shared" si="9"/>
        <v>138</v>
      </c>
      <c r="X58" s="9" t="n">
        <f>ROUND($J58*1.637*1.75*2.1*2.3*2.6*3.2*4.2*1,0)</f>
        <v>349578546932</v>
      </c>
      <c r="Y58" s="3">
        <f t="shared" si="10"/>
        <v>140</v>
      </c>
      <c r="Z58" s="10" t="n">
        <f>ROUND($J58*1.637*1.75*2.1*2.3*2.6*3.2*4.2*2.4*1,0)</f>
        <v>838988512637</v>
      </c>
      <c r="AA58" s="5">
        <f t="shared" si="11"/>
        <v>142</v>
      </c>
      <c r="AB58" s="9" t="n">
        <f>ROUND($J58*1.637*1.75*2.1*2.3*2.6*3.2*4.2*2.4*2.5*1,0)</f>
        <v>2097471281593</v>
      </c>
      <c r="AC58" s="3">
        <f t="shared" si="12"/>
        <v>144</v>
      </c>
      <c r="AD58" s="10" t="n">
        <f>ROUND($J58*1.637*1.75*2.1*2.3*2.6*3.2*4.2*2.4*2.5*2.8*1,0)</f>
        <v>5872919588460</v>
      </c>
      <c r="AE58" s="5">
        <f t="shared" si="13"/>
        <v>147</v>
      </c>
      <c r="AF58" s="9" t="n">
        <f>ROUND($J58*1.637*1.75*2.1*2.3*2.6*3.2*4.2*2.4*2.5*2.8*3.2*1,0)</f>
        <v>18793342683073</v>
      </c>
      <c r="AG58" s="3">
        <f t="shared" si="14"/>
        <v>150</v>
      </c>
      <c r="AH58" s="10" t="n">
        <f>ROUND($J58*1.637*1.75*2.1*2.3*2.6*3.2*4.2*2.4*2.5*2.8*3.2*3.8*1,0)</f>
        <v>71414702195677</v>
      </c>
    </row>
    <row r="59" hidden="1">
      <c r="A59" s="2">
        <v>89</v>
      </c>
      <c r="B59" s="2" t="s">
        <v>130</v>
      </c>
      <c r="C59" s="2" t="s">
        <v>24</v>
      </c>
      <c r="D59" s="2" t="s">
        <v>45</v>
      </c>
      <c r="E59" s="2">
        <v>123</v>
      </c>
      <c r="F59" s="2" t="s">
        <v>56</v>
      </c>
      <c r="G59" s="2" t="s">
        <v>98</v>
      </c>
      <c r="H59" s="2">
        <v>32</v>
      </c>
      <c r="I59" s="3">
        <v>123</v>
      </c>
      <c r="J59" s="4">
        <v>738000000</v>
      </c>
      <c r="K59" s="5">
        <f t="shared" si="0"/>
        <v>124</v>
      </c>
      <c r="L59" s="9" t="n">
        <f>ROUND($J59*1.637*1,0)</f>
        <v>1208106000</v>
      </c>
      <c r="M59" s="3">
        <f t="shared" si="2"/>
        <v>125</v>
      </c>
      <c r="N59" s="10" t="n">
        <f>ROUND($J59*1.637*1.75*1,0)</f>
        <v>2114185500</v>
      </c>
      <c r="O59" s="5">
        <f t="shared" si="4"/>
        <v>127</v>
      </c>
      <c r="P59" s="9" t="n">
        <f>ROUND($J59*1.637*1.75*2.1*1,0)</f>
        <v>4439789550</v>
      </c>
      <c r="Q59" s="3">
        <f t="shared" si="6"/>
        <v>129</v>
      </c>
      <c r="R59" s="10" t="n">
        <f>ROUND($J59*1.637*1.75*2.1*2.3*1,0)</f>
        <v>10211515965</v>
      </c>
      <c r="S59" s="5">
        <f t="shared" si="7"/>
        <v>131</v>
      </c>
      <c r="T59" s="9" t="n">
        <f>ROUND($J59*1.637*1.75*2.1*2.3*2.6*1,0)</f>
        <v>26549941509</v>
      </c>
      <c r="U59" s="3">
        <f t="shared" si="8"/>
        <v>134</v>
      </c>
      <c r="V59" s="10" t="n">
        <f>ROUND($J59*1.637*1.75*2.1*2.3*2.6*3.2*1,0)</f>
        <v>84959812829</v>
      </c>
      <c r="W59" s="5">
        <f t="shared" si="9"/>
        <v>138</v>
      </c>
      <c r="X59" s="9" t="n">
        <f>ROUND($J59*1.637*1.75*2.1*2.3*2.6*3.2*4.2*1,0)</f>
        <v>356831213881</v>
      </c>
      <c r="Y59" s="3">
        <f t="shared" si="10"/>
        <v>140</v>
      </c>
      <c r="Z59" s="10" t="n">
        <f>ROUND($J59*1.637*1.75*2.1*2.3*2.6*3.2*4.2*2.4*1,0)</f>
        <v>856394913314</v>
      </c>
      <c r="AA59" s="5">
        <f t="shared" si="11"/>
        <v>142</v>
      </c>
      <c r="AB59" s="9" t="n">
        <f>ROUND($J59*1.637*1.75*2.1*2.3*2.6*3.2*4.2*2.4*2.5*1,0)</f>
        <v>2140987283286</v>
      </c>
      <c r="AC59" s="3">
        <f t="shared" si="12"/>
        <v>144</v>
      </c>
      <c r="AD59" s="10" t="n">
        <f>ROUND($J59*1.637*1.75*2.1*2.3*2.6*3.2*4.2*2.4*2.5*2.8*1,0)</f>
        <v>5994764393200</v>
      </c>
      <c r="AE59" s="5">
        <f t="shared" si="13"/>
        <v>147</v>
      </c>
      <c r="AF59" s="9" t="n">
        <f>ROUND($J59*1.637*1.75*2.1*2.3*2.6*3.2*4.2*2.4*2.5*2.8*3.2*1,0)</f>
        <v>19183246058240</v>
      </c>
      <c r="AG59" s="3">
        <f t="shared" si="14"/>
        <v>150</v>
      </c>
      <c r="AH59" s="10" t="n">
        <f>ROUND($J59*1.637*1.75*2.1*2.3*2.6*3.2*4.2*2.4*2.5*2.8*3.2*3.8*1,0)</f>
        <v>72896335021314</v>
      </c>
    </row>
    <row r="60" hidden="1">
      <c r="A60" s="2">
        <v>91</v>
      </c>
      <c r="B60" s="2" t="s">
        <v>131</v>
      </c>
      <c r="C60" s="2" t="s">
        <v>24</v>
      </c>
      <c r="D60" s="2" t="s">
        <v>40</v>
      </c>
      <c r="E60" s="2">
        <v>123</v>
      </c>
      <c r="F60" s="2" t="s">
        <v>132</v>
      </c>
      <c r="G60" s="2" t="s">
        <v>133</v>
      </c>
      <c r="H60" s="2">
        <v>31</v>
      </c>
      <c r="I60" s="3">
        <v>123</v>
      </c>
      <c r="J60" s="4">
        <v>656000000</v>
      </c>
      <c r="K60" s="5">
        <f t="shared" si="0"/>
        <v>124</v>
      </c>
      <c r="L60" s="9" t="n">
        <f>ROUND($J60*1.637*1,0)</f>
        <v>1073872000</v>
      </c>
      <c r="M60" s="3">
        <f t="shared" si="2"/>
        <v>125</v>
      </c>
      <c r="N60" s="10" t="n">
        <f>ROUND($J60*1.637*1.75*1,0)</f>
        <v>1879276000</v>
      </c>
      <c r="O60" s="5">
        <f t="shared" si="4"/>
        <v>127</v>
      </c>
      <c r="P60" s="9" t="n">
        <f>ROUND($J60*1.637*1.75*2.1*1,0)</f>
        <v>3946479600</v>
      </c>
      <c r="Q60" s="3">
        <f t="shared" si="6"/>
        <v>129</v>
      </c>
      <c r="R60" s="10" t="n">
        <f>ROUND($J60*1.637*1.75*2.1*2.3*1,0)</f>
        <v>9076903080</v>
      </c>
      <c r="S60" s="5">
        <f t="shared" si="7"/>
        <v>131</v>
      </c>
      <c r="T60" s="9" t="n">
        <f>ROUND($J60*1.637*1.75*2.1*2.3*2.6*1,0)</f>
        <v>23599948008</v>
      </c>
      <c r="U60" s="3">
        <f t="shared" si="8"/>
        <v>134</v>
      </c>
      <c r="V60" s="10" t="n">
        <f>ROUND($J60*1.637*1.75*2.1*2.3*2.6*3.2*1,0)</f>
        <v>75519833626</v>
      </c>
      <c r="W60" s="5">
        <f t="shared" si="9"/>
        <v>138</v>
      </c>
      <c r="X60" s="9" t="n">
        <f>ROUND($J60*1.637*1.75*2.1*2.3*2.6*3.2*4.2*1,0)</f>
        <v>317183301228</v>
      </c>
      <c r="Y60" s="3">
        <f t="shared" si="10"/>
        <v>140</v>
      </c>
      <c r="Z60" s="10" t="n">
        <f>ROUND($J60*1.637*1.75*2.1*2.3*2.6*3.2*4.2*2.4*1,0)</f>
        <v>761239922946</v>
      </c>
      <c r="AA60" s="5">
        <f t="shared" si="11"/>
        <v>142</v>
      </c>
      <c r="AB60" s="9" t="n">
        <f>ROUND($J60*1.637*1.75*2.1*2.3*2.6*3.2*4.2*2.4*2.5*1,0)</f>
        <v>1903099807365</v>
      </c>
      <c r="AC60" s="3">
        <f t="shared" si="12"/>
        <v>144</v>
      </c>
      <c r="AD60" s="10" t="n">
        <f>ROUND($J60*1.637*1.75*2.1*2.3*2.6*3.2*4.2*2.4*2.5*2.8*1,0)</f>
        <v>5328679460622</v>
      </c>
      <c r="AE60" s="5">
        <f t="shared" si="13"/>
        <v>147</v>
      </c>
      <c r="AF60" s="9" t="n">
        <f>ROUND($J60*1.637*1.75*2.1*2.3*2.6*3.2*4.2*2.4*2.5*2.8*3.2*1,0)</f>
        <v>17051774273992</v>
      </c>
      <c r="AG60" s="3">
        <f t="shared" si="14"/>
        <v>150</v>
      </c>
      <c r="AH60" s="10" t="n">
        <f>ROUND($J60*1.637*1.75*2.1*2.3*2.6*3.2*4.2*2.4*2.5*2.8*3.2*3.8*1,0)</f>
        <v>64796742241168</v>
      </c>
    </row>
    <row r="61" hidden="1">
      <c r="A61" s="2">
        <v>101</v>
      </c>
      <c r="B61" s="2" t="s">
        <v>134</v>
      </c>
      <c r="C61" s="2" t="s">
        <v>24</v>
      </c>
      <c r="D61" s="2" t="s">
        <v>75</v>
      </c>
      <c r="E61" s="2">
        <v>123</v>
      </c>
      <c r="F61" s="2" t="s">
        <v>26</v>
      </c>
      <c r="G61" s="2" t="s">
        <v>51</v>
      </c>
      <c r="H61" s="2">
        <v>31</v>
      </c>
      <c r="I61" s="3">
        <v>123</v>
      </c>
      <c r="J61" s="4">
        <v>123000000</v>
      </c>
      <c r="K61" s="5">
        <f t="shared" si="0"/>
        <v>124</v>
      </c>
      <c r="L61" s="9" t="n">
        <f>ROUND($J61*1.637*0.8,0)</f>
        <v>161080800</v>
      </c>
      <c r="M61" s="3">
        <f t="shared" si="2"/>
        <v>125</v>
      </c>
      <c r="N61" s="10" t="n">
        <f>ROUND($J61*1.637*1.75*0.8,0)</f>
        <v>281891400</v>
      </c>
      <c r="O61" s="5">
        <f t="shared" si="4"/>
        <v>127</v>
      </c>
      <c r="P61" s="9" t="n">
        <f>ROUND($J61*1.637*1.75*2.1*0.8,0)</f>
        <v>591971940</v>
      </c>
      <c r="Q61" s="3">
        <f t="shared" si="6"/>
        <v>129</v>
      </c>
      <c r="R61" s="10" t="n">
        <f>ROUND($J61*1.637*1.75*2.1*2.3*0.542035092435954,0)</f>
        <v>922500000</v>
      </c>
      <c r="S61" s="5">
        <f t="shared" si="7"/>
        <v>131</v>
      </c>
      <c r="T61" s="9" t="n">
        <f>ROUND($J61*1.637*1.75*2.1*2.3*2.6*0.544690061623969,0)</f>
        <v>2410248213</v>
      </c>
      <c r="U61" s="3">
        <f t="shared" si="8"/>
        <v>134</v>
      </c>
      <c r="V61" s="10" t="n">
        <f>ROUND($J61*1.637*1.75*2.1*2.3*2.6*3.2*0.547345030811984,0)</f>
        <v>7750388562</v>
      </c>
      <c r="W61" s="5">
        <f t="shared" si="9"/>
        <v>138</v>
      </c>
      <c r="X61" s="9" t="n">
        <f>ROUND($J61*1.637*1.75*2.1*2.3*2.6*3.2*4.2*0.55,0)</f>
        <v>32709527939</v>
      </c>
      <c r="Y61" s="3">
        <f t="shared" si="10"/>
        <v>140</v>
      </c>
      <c r="Z61" s="10" t="n">
        <f>ROUND($J61*1.637*1.75*2.1*2.3*2.6*3.2*4.2*2.4*0.55,0)</f>
        <v>78502867054</v>
      </c>
      <c r="AA61" s="5">
        <f t="shared" si="11"/>
        <v>142</v>
      </c>
      <c r="AB61" s="9" t="n">
        <f>ROUND($J61*1.637*1.75*2.1*2.3*2.6*3.2*4.2*2.4*2.5*0.55,0)</f>
        <v>196257167635</v>
      </c>
      <c r="AC61" s="3">
        <f t="shared" si="12"/>
        <v>144</v>
      </c>
      <c r="AD61" s="10" t="n">
        <f>ROUND($J61*1.637*1.75*2.1*2.3*2.6*3.2*4.2*2.4*2.5*2.8*0.55,0)</f>
        <v>549520069377</v>
      </c>
      <c r="AE61" s="5">
        <f t="shared" si="13"/>
        <v>147</v>
      </c>
      <c r="AF61" s="9" t="n">
        <f>ROUND($J61*1.637*1.75*2.1*2.3*2.6*3.2*4.2*2.4*2.5*2.8*3.2*0.55,0)</f>
        <v>1758464222005</v>
      </c>
      <c r="AG61" s="3">
        <f t="shared" si="14"/>
        <v>150</v>
      </c>
      <c r="AH61" s="10" t="n">
        <f>ROUND($J61*1.637*1.75*2.1*2.3*2.6*3.2*4.2*2.4*2.5*2.8*3.2*3.8*0.55,0)</f>
        <v>6682164043620</v>
      </c>
    </row>
    <row r="62" hidden="1">
      <c r="A62" s="2">
        <v>81</v>
      </c>
      <c r="B62" s="2" t="s">
        <v>135</v>
      </c>
      <c r="C62" s="2" t="s">
        <v>24</v>
      </c>
      <c r="D62" s="2" t="s">
        <v>29</v>
      </c>
      <c r="E62" s="2">
        <v>123</v>
      </c>
      <c r="F62" s="2" t="s">
        <v>136</v>
      </c>
      <c r="G62" s="2" t="s">
        <v>133</v>
      </c>
      <c r="H62" s="2">
        <v>32</v>
      </c>
      <c r="I62" s="3">
        <v>123</v>
      </c>
      <c r="J62" s="4">
        <v>576100000</v>
      </c>
      <c r="K62" s="5">
        <f t="shared" si="0"/>
        <v>124</v>
      </c>
      <c r="L62" s="9" t="n">
        <f>ROUND($J62*1.637*1,0)</f>
        <v>943075700</v>
      </c>
      <c r="M62" s="3">
        <f t="shared" si="2"/>
        <v>125</v>
      </c>
      <c r="N62" s="10" t="n">
        <f>ROUND($J62*1.637*1.75*1,0)</f>
        <v>1650382475</v>
      </c>
      <c r="O62" s="5">
        <f t="shared" si="4"/>
        <v>127</v>
      </c>
      <c r="P62" s="9" t="n">
        <f>ROUND($J62*1.637*1.75*2.1*1,0)</f>
        <v>3465803198</v>
      </c>
      <c r="Q62" s="3">
        <f t="shared" si="6"/>
        <v>129</v>
      </c>
      <c r="R62" s="10" t="n">
        <f>ROUND($J62*1.637*1.75*2.1*2.3*1,0)</f>
        <v>7971347354</v>
      </c>
      <c r="S62" s="5">
        <f t="shared" si="7"/>
        <v>131</v>
      </c>
      <c r="T62" s="9" t="n">
        <f>ROUND($J62*1.637*1.75*2.1*2.3*2.6*1,0)</f>
        <v>20725503121</v>
      </c>
      <c r="U62" s="3">
        <f t="shared" si="8"/>
        <v>134</v>
      </c>
      <c r="V62" s="10" t="n">
        <f>ROUND($J62*1.637*1.75*2.1*2.3*2.6*3.2*1,0)</f>
        <v>66321609987</v>
      </c>
      <c r="W62" s="5">
        <f t="shared" si="9"/>
        <v>138</v>
      </c>
      <c r="X62" s="9" t="n">
        <f>ROUND($J62*1.637*1.75*2.1*2.3*2.6*3.2*4.2*1,0)</f>
        <v>278550761947</v>
      </c>
      <c r="Y62" s="3">
        <f t="shared" si="10"/>
        <v>140</v>
      </c>
      <c r="Z62" s="10" t="n">
        <f>ROUND($J62*1.637*1.75*2.1*2.3*2.6*3.2*4.2*2.4*1,0)</f>
        <v>668521828673</v>
      </c>
      <c r="AA62" s="5">
        <f t="shared" si="11"/>
        <v>142</v>
      </c>
      <c r="AB62" s="9" t="n">
        <f>ROUND($J62*1.637*1.75*2.1*2.3*2.6*3.2*4.2*2.4*2.5*1,0)</f>
        <v>1671304571681</v>
      </c>
      <c r="AC62" s="3">
        <f t="shared" si="12"/>
        <v>144</v>
      </c>
      <c r="AD62" s="10" t="n">
        <f>ROUND($J62*1.637*1.75*2.1*2.3*2.6*3.2*4.2*2.4*2.5*2.8*1,0)</f>
        <v>4679652800708</v>
      </c>
      <c r="AE62" s="5">
        <f t="shared" si="13"/>
        <v>147</v>
      </c>
      <c r="AF62" s="9" t="n">
        <f>ROUND($J62*1.637*1.75*2.1*2.3*2.6*3.2*4.2*2.4*2.5*2.8*3.2*1,0)</f>
        <v>14974888962266</v>
      </c>
      <c r="AG62" s="3">
        <f t="shared" si="14"/>
        <v>150</v>
      </c>
      <c r="AH62" s="10" t="n">
        <f>ROUND($J62*1.637*1.75*2.1*2.3*2.6*3.2*4.2*2.4*2.5*2.8*3.2*3.8*1,0)</f>
        <v>56904578056611</v>
      </c>
    </row>
    <row r="63" hidden="1">
      <c r="A63" s="2">
        <v>100</v>
      </c>
      <c r="B63" s="2" t="s">
        <v>137</v>
      </c>
      <c r="C63" s="2" t="s">
        <v>24</v>
      </c>
      <c r="D63" s="2" t="s">
        <v>90</v>
      </c>
      <c r="E63" s="2">
        <v>123</v>
      </c>
      <c r="F63" s="2" t="s">
        <v>54</v>
      </c>
      <c r="G63" s="2" t="s">
        <v>67</v>
      </c>
      <c r="H63" s="2">
        <v>31</v>
      </c>
      <c r="I63" s="3">
        <v>123</v>
      </c>
      <c r="J63" s="4">
        <v>3730000000</v>
      </c>
      <c r="K63" s="5">
        <f t="shared" si="0"/>
        <v>124</v>
      </c>
      <c r="L63" s="9" t="n">
        <f>ROUND($J63*1.637*1,0)</f>
        <v>6106010000</v>
      </c>
      <c r="M63" s="3">
        <f t="shared" si="2"/>
        <v>125</v>
      </c>
      <c r="N63" s="10" t="n">
        <f>ROUND($J63*1.637*1.75*1,0)</f>
        <v>10685517500</v>
      </c>
      <c r="O63" s="5">
        <f t="shared" si="4"/>
        <v>127</v>
      </c>
      <c r="P63" s="9" t="n">
        <f>ROUND($J63*1.637*1.75*2.1*1,0)</f>
        <v>22439586750</v>
      </c>
      <c r="Q63" s="3">
        <f t="shared" si="6"/>
        <v>129</v>
      </c>
      <c r="R63" s="10" t="n">
        <f>ROUND($J63*1.637*1.75*2.1*2.3*1.25,0)</f>
        <v>64513811906</v>
      </c>
      <c r="S63" s="5">
        <f t="shared" si="7"/>
        <v>131</v>
      </c>
      <c r="T63" s="9" t="n">
        <f>ROUND($J63*1.637*1.75*2.1*2.3*2.6*1.25,0)</f>
        <v>167735910956</v>
      </c>
      <c r="U63" s="3">
        <f t="shared" si="8"/>
        <v>134</v>
      </c>
      <c r="V63" s="10" t="n">
        <f>ROUND($J63*1.637*1.75*2.1*2.3*2.6*3.2*1.25,0)</f>
        <v>536754915060</v>
      </c>
      <c r="W63" s="5">
        <f t="shared" si="9"/>
        <v>138</v>
      </c>
      <c r="X63" s="9" t="n">
        <f>ROUND($J63*1.637*1.75*2.1*2.3*2.6*3.2*4.2*1.25,0)</f>
        <v>2254370643252</v>
      </c>
      <c r="Y63" s="3">
        <f t="shared" si="10"/>
        <v>140</v>
      </c>
      <c r="Z63" s="10" t="n">
        <f>ROUND($J63*1.637*1.75*2.1*2.3*2.6*3.2*4.2*2.4*1.25,0)</f>
        <v>5410489543805</v>
      </c>
      <c r="AA63" s="5">
        <f t="shared" si="11"/>
        <v>142</v>
      </c>
      <c r="AB63" s="9" t="n">
        <f>ROUND($J63*1.637*1.75*2.1*2.3*2.6*3.2*4.2*2.4*2.5*1.25,0)</f>
        <v>13526223859512</v>
      </c>
      <c r="AC63" s="3">
        <f t="shared" si="12"/>
        <v>144</v>
      </c>
      <c r="AD63" s="10" t="n">
        <f>ROUND($J63*1.637*1.75*2.1*2.3*2.6*3.2*4.2*2.4*2.5*2.8*1.25,0)</f>
        <v>37873426806634</v>
      </c>
      <c r="AE63" s="5">
        <f t="shared" si="13"/>
        <v>147</v>
      </c>
      <c r="AF63" s="9" t="n">
        <f>ROUND($J63*1.637*1.75*2.1*2.3*2.6*3.2*4.2*2.4*2.5*2.8*3.2*1.25,0)</f>
        <v>121194965781228</v>
      </c>
      <c r="AG63" s="3">
        <f t="shared" si="14"/>
        <v>150</v>
      </c>
      <c r="AH63" s="10" t="n">
        <f>ROUND($J63*1.637*1.75*2.1*2.3*2.6*3.2*4.2*2.4*2.5*2.8*3.2*3.8*1.25,0)</f>
        <v>460540869968664</v>
      </c>
    </row>
    <row r="64" hidden="1">
      <c r="A64" s="2">
        <v>40</v>
      </c>
      <c r="B64" s="2" t="s">
        <v>138</v>
      </c>
      <c r="C64" s="2" t="s">
        <v>24</v>
      </c>
      <c r="D64" s="2" t="s">
        <v>25</v>
      </c>
      <c r="E64" s="2">
        <v>123</v>
      </c>
      <c r="F64" s="2" t="s">
        <v>34</v>
      </c>
      <c r="G64" s="2" t="s">
        <v>98</v>
      </c>
      <c r="H64" s="2">
        <v>32</v>
      </c>
      <c r="I64" s="3">
        <v>123</v>
      </c>
      <c r="J64" s="4">
        <v>9580000000</v>
      </c>
      <c r="K64" s="5">
        <f t="shared" si="0"/>
        <v>124</v>
      </c>
      <c r="L64" s="9" t="n">
        <f>ROUND($J64*1.637*1,0)</f>
        <v>15682460000</v>
      </c>
      <c r="M64" s="3">
        <f t="shared" si="2"/>
        <v>125</v>
      </c>
      <c r="N64" s="10" t="n">
        <f>ROUND($J64*1.637*1.75*1,0)</f>
        <v>27444305000</v>
      </c>
      <c r="O64" s="5">
        <f t="shared" si="4"/>
        <v>127</v>
      </c>
      <c r="P64" s="9" t="n">
        <f>ROUND($J64*1.637*1.75*2.1*1,0)</f>
        <v>57633040500</v>
      </c>
      <c r="Q64" s="3">
        <f t="shared" si="6"/>
        <v>129</v>
      </c>
      <c r="R64" s="10" t="n">
        <f>ROUND($J64*1.637*1.75*2.1*2.3*1.25,0)</f>
        <v>165694991438</v>
      </c>
      <c r="S64" s="5">
        <f t="shared" si="7"/>
        <v>131</v>
      </c>
      <c r="T64" s="9" t="n">
        <f>ROUND($J64*1.637*1.75*2.1*2.3*2.6*1.25,0)</f>
        <v>430806977738</v>
      </c>
      <c r="U64" s="3">
        <f t="shared" si="8"/>
        <v>134</v>
      </c>
      <c r="V64" s="10" t="n">
        <f>ROUND($J64*1.637*1.75*2.1*2.3*2.6*3.2*1.25,0)</f>
        <v>1378582328760</v>
      </c>
      <c r="W64" s="5">
        <f t="shared" si="9"/>
        <v>138</v>
      </c>
      <c r="X64" s="9" t="n">
        <f>ROUND($J64*1.637*1.75*2.1*2.3*2.6*3.2*4.2*1.25,0)</f>
        <v>5790045780792</v>
      </c>
      <c r="Y64" s="3">
        <f t="shared" si="10"/>
        <v>140</v>
      </c>
      <c r="Z64" s="10" t="n">
        <f>ROUND($J64*1.637*1.75*2.1*2.3*2.6*3.2*4.2*2.4*1.25,0)</f>
        <v>13896109873901</v>
      </c>
      <c r="AA64" s="5">
        <f t="shared" si="11"/>
        <v>142</v>
      </c>
      <c r="AB64" s="9" t="n">
        <f>ROUND($J64*1.637*1.75*2.1*2.3*2.6*3.2*4.2*2.4*2.5*1.25,0)</f>
        <v>34740274684752</v>
      </c>
      <c r="AC64" s="3">
        <f t="shared" si="12"/>
        <v>144</v>
      </c>
      <c r="AD64" s="10" t="n">
        <f>ROUND($J64*1.637*1.75*2.1*2.3*2.6*3.2*4.2*2.4*2.5*2.8*1.25,0)</f>
        <v>97272769117306</v>
      </c>
      <c r="AE64" s="5">
        <f t="shared" si="13"/>
        <v>147</v>
      </c>
      <c r="AF64" s="9" t="n">
        <f>ROUND($J64*1.637*1.75*2.1*2.3*2.6*3.2*4.2*2.4*2.5*2.8*3.2*1.25,0)</f>
        <v>311272861175378</v>
      </c>
      <c r="AG64" s="3">
        <f t="shared" si="14"/>
        <v>150</v>
      </c>
      <c r="AH64" s="10" t="n">
        <f>ROUND($J64*1.637*1.75*2.1*2.3*2.6*3.2*4.2*2.4*2.5*2.8*3.2*3.8*1.25,0)</f>
        <v>1182836872466440</v>
      </c>
    </row>
    <row r="65" hidden="1">
      <c r="A65" s="2">
        <v>86</v>
      </c>
      <c r="B65" s="2" t="s">
        <v>139</v>
      </c>
      <c r="C65" s="2" t="s">
        <v>24</v>
      </c>
      <c r="D65" s="2" t="s">
        <v>40</v>
      </c>
      <c r="E65" s="2">
        <v>123</v>
      </c>
      <c r="F65" s="2" t="s">
        <v>34</v>
      </c>
      <c r="G65" s="2" t="s">
        <v>35</v>
      </c>
      <c r="H65" s="2">
        <v>32</v>
      </c>
      <c r="I65" s="3">
        <v>123</v>
      </c>
      <c r="J65" s="4">
        <v>206000000</v>
      </c>
      <c r="K65" s="5">
        <f t="shared" si="0"/>
        <v>124</v>
      </c>
      <c r="L65" s="9" t="n">
        <f>ROUND($J65*1.637*0.8,0)</f>
        <v>269777600</v>
      </c>
      <c r="M65" s="3">
        <f t="shared" si="2"/>
        <v>125</v>
      </c>
      <c r="N65" s="10" t="n">
        <f>ROUND($J65*1.637*1.75*0.8,0)</f>
        <v>472110800</v>
      </c>
      <c r="O65" s="5">
        <f t="shared" si="4"/>
        <v>127</v>
      </c>
      <c r="P65" s="9" t="n">
        <f>ROUND($J65*1.637*1.75*2.1*0.8,0)</f>
        <v>991432680</v>
      </c>
      <c r="Q65" s="3">
        <f t="shared" si="6"/>
        <v>129</v>
      </c>
      <c r="R65" s="10" t="n">
        <f>ROUND($J65*1.637*1.75*2.1*2.3*0.542035092435954,0)</f>
        <v>1545000000</v>
      </c>
      <c r="S65" s="5">
        <f t="shared" si="7"/>
        <v>131</v>
      </c>
      <c r="T65" s="9" t="n">
        <f>ROUND($J65*1.637*1.75*2.1*2.3*2.6*0.544690061623969,0)</f>
        <v>4036675869</v>
      </c>
      <c r="U65" s="3">
        <f t="shared" si="8"/>
        <v>134</v>
      </c>
      <c r="V65" s="10" t="n">
        <f>ROUND($J65*1.637*1.75*2.1*2.3*2.6*3.2*0.547345030811984,0)</f>
        <v>12980325559</v>
      </c>
      <c r="W65" s="5">
        <f t="shared" si="9"/>
        <v>138</v>
      </c>
      <c r="X65" s="9" t="n">
        <f>ROUND($J65*1.637*1.75*2.1*2.3*2.6*3.2*4.2*0.55,0)</f>
        <v>54781811020</v>
      </c>
      <c r="Y65" s="3">
        <f t="shared" si="10"/>
        <v>140</v>
      </c>
      <c r="Z65" s="10" t="n">
        <f>ROUND($J65*1.637*1.75*2.1*2.3*2.6*3.2*4.2*2.4*0.55,0)</f>
        <v>131476346448</v>
      </c>
      <c r="AA65" s="5">
        <f t="shared" si="11"/>
        <v>142</v>
      </c>
      <c r="AB65" s="9" t="n">
        <f>ROUND($J65*1.637*1.75*2.1*2.3*2.6*3.2*4.2*2.4*2.5*0.55,0)</f>
        <v>328690866120</v>
      </c>
      <c r="AC65" s="3">
        <f t="shared" si="12"/>
        <v>144</v>
      </c>
      <c r="AD65" s="10" t="n">
        <f>ROUND($J65*1.637*1.75*2.1*2.3*2.6*3.2*4.2*2.4*2.5*2.8*0.55,0)</f>
        <v>920334425135</v>
      </c>
      <c r="AE65" s="5">
        <f t="shared" si="13"/>
        <v>147</v>
      </c>
      <c r="AF65" s="9" t="n">
        <f>ROUND($J65*1.637*1.75*2.1*2.3*2.6*3.2*4.2*2.4*2.5*2.8*3.2*0.55,0)</f>
        <v>2945070160432</v>
      </c>
      <c r="AG65" s="3">
        <f t="shared" si="14"/>
        <v>150</v>
      </c>
      <c r="AH65" s="10" t="n">
        <f>ROUND($J65*1.637*1.75*2.1*2.3*2.6*3.2*4.2*2.4*2.5*2.8*3.2*3.8*0.55,0)</f>
        <v>11191266609641</v>
      </c>
    </row>
    <row r="66" hidden="1">
      <c r="A66" s="2">
        <v>99</v>
      </c>
      <c r="B66" s="2" t="s">
        <v>140</v>
      </c>
      <c r="C66" s="2" t="s">
        <v>24</v>
      </c>
      <c r="D66" s="2" t="s">
        <v>40</v>
      </c>
      <c r="E66" s="2">
        <v>123</v>
      </c>
      <c r="F66" s="2" t="s">
        <v>56</v>
      </c>
      <c r="G66" s="2" t="s">
        <v>133</v>
      </c>
      <c r="H66" s="2">
        <v>31</v>
      </c>
      <c r="I66" s="3">
        <v>123</v>
      </c>
      <c r="J66" s="4">
        <v>407000000</v>
      </c>
      <c r="K66" s="5">
        <f t="shared" si="0"/>
        <v>124</v>
      </c>
      <c r="L66" s="9" t="n">
        <f>ROUND($J66*1.637*1,0)</f>
        <v>666259000</v>
      </c>
      <c r="M66" s="3">
        <f t="shared" si="2"/>
        <v>125</v>
      </c>
      <c r="N66" s="10" t="n">
        <f>ROUND($J66*1.637*1.75*1,0)</f>
        <v>1165953250</v>
      </c>
      <c r="O66" s="5">
        <f t="shared" si="4"/>
        <v>127</v>
      </c>
      <c r="P66" s="9" t="n">
        <f>ROUND($J66*1.637*1.75*2.1*1,0)</f>
        <v>2448501825</v>
      </c>
      <c r="Q66" s="3">
        <f t="shared" si="6"/>
        <v>129</v>
      </c>
      <c r="R66" s="10" t="n">
        <f>ROUND($J66*1.637*1.75*2.1*2.3*1,0)</f>
        <v>5631554198</v>
      </c>
      <c r="S66" s="5">
        <f t="shared" si="7"/>
        <v>131</v>
      </c>
      <c r="T66" s="9" t="n">
        <f>ROUND($J66*1.637*1.75*2.1*2.3*2.6*1,0)</f>
        <v>14642040914</v>
      </c>
      <c r="U66" s="3">
        <f t="shared" si="8"/>
        <v>134</v>
      </c>
      <c r="V66" s="10" t="n">
        <f>ROUND($J66*1.637*1.75*2.1*2.3*2.6*3.2*1,0)</f>
        <v>46854530923</v>
      </c>
      <c r="W66" s="5">
        <f t="shared" si="9"/>
        <v>138</v>
      </c>
      <c r="X66" s="9" t="n">
        <f>ROUND($J66*1.637*1.75*2.1*2.3*2.6*3.2*4.2*1,0)</f>
        <v>196789029877</v>
      </c>
      <c r="Y66" s="3">
        <f t="shared" si="10"/>
        <v>140</v>
      </c>
      <c r="Z66" s="10" t="n">
        <f>ROUND($J66*1.637*1.75*2.1*2.3*2.6*3.2*4.2*2.4*1,0)</f>
        <v>472293671706</v>
      </c>
      <c r="AA66" s="5">
        <f t="shared" si="11"/>
        <v>142</v>
      </c>
      <c r="AB66" s="9" t="n">
        <f>ROUND($J66*1.637*1.75*2.1*2.3*2.6*3.2*4.2*2.4*2.5*1,0)</f>
        <v>1180734179265</v>
      </c>
      <c r="AC66" s="3">
        <f t="shared" si="12"/>
        <v>144</v>
      </c>
      <c r="AD66" s="10" t="n">
        <f>ROUND($J66*1.637*1.75*2.1*2.3*2.6*3.2*4.2*2.4*2.5*2.8*1,0)</f>
        <v>3306055701941</v>
      </c>
      <c r="AE66" s="5">
        <f t="shared" si="13"/>
        <v>147</v>
      </c>
      <c r="AF66" s="9" t="n">
        <f>ROUND($J66*1.637*1.75*2.1*2.3*2.6*3.2*4.2*2.4*2.5*2.8*3.2*1,0)</f>
        <v>10579378246211</v>
      </c>
      <c r="AG66" s="3">
        <f t="shared" si="14"/>
        <v>150</v>
      </c>
      <c r="AH66" s="10" t="n">
        <f>ROUND($J66*1.637*1.75*2.1*2.3*2.6*3.2*4.2*2.4*2.5*2.8*3.2*3.8*1,0)</f>
        <v>40201637335603</v>
      </c>
    </row>
    <row r="67" hidden="1">
      <c r="A67" s="2">
        <v>85</v>
      </c>
      <c r="B67" s="2" t="s">
        <v>141</v>
      </c>
      <c r="C67" s="2" t="s">
        <v>24</v>
      </c>
      <c r="D67" s="2" t="s">
        <v>75</v>
      </c>
      <c r="E67" s="2">
        <v>123</v>
      </c>
      <c r="F67" s="2" t="s">
        <v>30</v>
      </c>
      <c r="G67" s="2" t="s">
        <v>38</v>
      </c>
      <c r="H67" s="2">
        <v>32</v>
      </c>
      <c r="I67" s="3">
        <v>123</v>
      </c>
      <c r="J67" s="4">
        <v>960000000</v>
      </c>
      <c r="K67" s="5" t="n">
        <f t="shared" ref="K67:K130" si="27">$E67+1</f>
        <v>124</v>
      </c>
      <c r="L67" s="9" t="n">
        <f>ROUND($J67*1.637*1,0)</f>
        <v>1571520000</v>
      </c>
      <c r="M67" s="3" t="n">
        <f t="shared" ref="M67:M130" si="28">$E67+2</f>
        <v>125</v>
      </c>
      <c r="N67" s="10" t="n">
        <f>ROUND($J67*1.637*1.75*1,0)</f>
        <v>2750160000</v>
      </c>
      <c r="O67" s="5" t="n">
        <f t="shared" ref="O67:O130" si="29">$E67+4</f>
        <v>127</v>
      </c>
      <c r="P67" s="9" t="n">
        <f>ROUND($J67*1.637*1.75*2.1*1,0)</f>
        <v>5775336000</v>
      </c>
      <c r="Q67" s="3" t="n">
        <f t="shared" ref="Q67:Q130" si="30">$E67+6</f>
        <v>129</v>
      </c>
      <c r="R67" s="10" t="n">
        <f>ROUND($J67*1.637*1.75*2.1*2.3*1.25,0)</f>
        <v>16604091000</v>
      </c>
      <c r="S67" s="5" t="n">
        <f t="shared" ref="S67:S130" si="31">$E67+8</f>
        <v>131</v>
      </c>
      <c r="T67" s="9" t="n">
        <f>ROUND($J67*1.637*1.75*2.1*2.3*2.6*1.25,0)</f>
        <v>43170636600</v>
      </c>
      <c r="U67" s="3" t="n">
        <f t="shared" ref="U67:U130" si="32">$E67+11</f>
        <v>134</v>
      </c>
      <c r="V67" s="10" t="n">
        <f>ROUND($J67*1.637*1.75*2.1*2.3*2.6*3.2*1.25,0)</f>
        <v>138146037120</v>
      </c>
      <c r="W67" s="5" t="n">
        <f t="shared" ref="W67:W130" si="33">$E67+15</f>
        <v>138</v>
      </c>
      <c r="X67" s="9" t="n">
        <f>ROUND($J67*1.637*1.75*2.1*2.3*2.6*3.2*4.2*1.25,0)</f>
        <v>580213355904</v>
      </c>
      <c r="Y67" s="3" t="n">
        <f t="shared" ref="Y67:Y130" si="34">$E67+17</f>
        <v>140</v>
      </c>
      <c r="Z67" s="10" t="n">
        <f>ROUND($J67*1.637*1.75*2.1*2.3*2.6*3.2*4.2*2.4*1.25,0)</f>
        <v>1392512054170</v>
      </c>
      <c r="AA67" s="5" t="n">
        <f t="shared" ref="AA67:AA130" si="35">$E67+19</f>
        <v>142</v>
      </c>
      <c r="AB67" s="9" t="n">
        <f>ROUND($J67*1.637*1.75*2.1*2.3*2.6*3.2*4.2*2.4*2.5*1.25,0)</f>
        <v>3481280135424</v>
      </c>
      <c r="AC67" s="3" t="n">
        <f t="shared" ref="AC67:AC130" si="36">$E67+21</f>
        <v>144</v>
      </c>
      <c r="AD67" s="10" t="n">
        <f>ROUND($J67*1.637*1.75*2.1*2.3*2.6*3.2*4.2*2.4*2.5*2.8*1.25,0)</f>
        <v>9747584379187</v>
      </c>
      <c r="AE67" s="5" t="n">
        <f t="shared" ref="AE67:AE130" si="37">$E67+24</f>
        <v>147</v>
      </c>
      <c r="AF67" s="9" t="n">
        <f>ROUND($J67*1.637*1.75*2.1*2.3*2.6*3.2*4.2*2.4*2.5*2.8*3.2*1.25,0)</f>
        <v>31192270013399</v>
      </c>
      <c r="AG67" s="3" t="n">
        <f t="shared" ref="AG67:AG130" si="38">$E67+27</f>
        <v>150</v>
      </c>
      <c r="AH67" s="10" t="n">
        <f>ROUND($J67*1.637*1.75*2.1*2.3*2.6*3.2*4.2*2.4*2.5*2.8*3.2*3.8*1.25,0)</f>
        <v>118530626050916</v>
      </c>
    </row>
    <row r="68" hidden="1">
      <c r="A68" s="2">
        <v>95</v>
      </c>
      <c r="B68" s="2" t="s">
        <v>142</v>
      </c>
      <c r="C68" s="2" t="s">
        <v>24</v>
      </c>
      <c r="D68" s="2" t="s">
        <v>90</v>
      </c>
      <c r="E68" s="2">
        <v>123</v>
      </c>
      <c r="F68" s="2" t="s">
        <v>34</v>
      </c>
      <c r="G68" s="2" t="s">
        <v>35</v>
      </c>
      <c r="H68" s="2">
        <v>31</v>
      </c>
      <c r="I68" s="3">
        <v>123</v>
      </c>
      <c r="J68" s="4">
        <v>274000000</v>
      </c>
      <c r="K68" s="5">
        <f t="shared" si="27"/>
        <v>124</v>
      </c>
      <c r="L68" s="9" t="n">
        <f>ROUND($J68*1.637*1,0)</f>
        <v>448538000</v>
      </c>
      <c r="M68" s="3">
        <f t="shared" si="28"/>
        <v>125</v>
      </c>
      <c r="N68" s="10" t="n">
        <f>ROUND($J68*1.637*1.75*1,0)</f>
        <v>784941500</v>
      </c>
      <c r="O68" s="5">
        <f t="shared" si="29"/>
        <v>127</v>
      </c>
      <c r="P68" s="9" t="n">
        <f>ROUND($J68*1.637*1.75*2.1*1,0)</f>
        <v>1648377150</v>
      </c>
      <c r="Q68" s="3">
        <f t="shared" si="30"/>
        <v>129</v>
      </c>
      <c r="R68" s="10" t="n">
        <f>ROUND($J68*1.637*1.75*2.1*2.3*1,0)</f>
        <v>3791267445</v>
      </c>
      <c r="S68" s="5">
        <f t="shared" si="31"/>
        <v>131</v>
      </c>
      <c r="T68" s="9" t="n">
        <f>ROUND($J68*1.637*1.75*2.1*2.3*2.6*1,0)</f>
        <v>9857295357</v>
      </c>
      <c r="U68" s="3">
        <f t="shared" si="32"/>
        <v>134</v>
      </c>
      <c r="V68" s="10" t="n">
        <f>ROUND($J68*1.637*1.75*2.1*2.3*2.6*3.2*1,0)</f>
        <v>31543345142</v>
      </c>
      <c r="W68" s="5">
        <f t="shared" si="33"/>
        <v>138</v>
      </c>
      <c r="X68" s="9" t="n">
        <f>ROUND($J68*1.637*1.75*2.1*2.3*2.6*3.2*4.2*1,0)</f>
        <v>132482049598</v>
      </c>
      <c r="Y68" s="3">
        <f t="shared" si="34"/>
        <v>140</v>
      </c>
      <c r="Z68" s="10" t="n">
        <f>ROUND($J68*1.637*1.75*2.1*2.3*2.6*3.2*4.2*2.4*1,0)</f>
        <v>317956919035</v>
      </c>
      <c r="AA68" s="5">
        <f t="shared" si="35"/>
        <v>142</v>
      </c>
      <c r="AB68" s="9" t="n">
        <f>ROUND($J68*1.637*1.75*2.1*2.3*2.6*3.2*4.2*2.4*2.5*1,0)</f>
        <v>794892297588</v>
      </c>
      <c r="AC68" s="3">
        <f t="shared" si="36"/>
        <v>144</v>
      </c>
      <c r="AD68" s="10" t="n">
        <f>ROUND($J68*1.637*1.75*2.1*2.3*2.6*3.2*4.2*2.4*2.5*2.8*1,0)</f>
        <v>2225698433248</v>
      </c>
      <c r="AE68" s="5">
        <f t="shared" si="37"/>
        <v>147</v>
      </c>
      <c r="AF68" s="9" t="n">
        <f>ROUND($J68*1.637*1.75*2.1*2.3*2.6*3.2*4.2*2.4*2.5*2.8*3.2*1,0)</f>
        <v>7122234986393</v>
      </c>
      <c r="AG68" s="3">
        <f t="shared" si="38"/>
        <v>150</v>
      </c>
      <c r="AH68" s="10" t="n">
        <f>ROUND($J68*1.637*1.75*2.1*2.3*2.6*3.2*4.2*2.4*2.5*2.8*3.2*3.8*1,0)</f>
        <v>27064492948293</v>
      </c>
    </row>
    <row r="69" hidden="1">
      <c r="A69" s="2">
        <v>88</v>
      </c>
      <c r="B69" s="2" t="s">
        <v>143</v>
      </c>
      <c r="C69" s="2" t="s">
        <v>24</v>
      </c>
      <c r="D69" s="2" t="s">
        <v>25</v>
      </c>
      <c r="E69" s="2">
        <v>123</v>
      </c>
      <c r="F69" s="2" t="s">
        <v>144</v>
      </c>
      <c r="G69" s="2" t="s">
        <v>67</v>
      </c>
      <c r="H69" s="2">
        <v>32</v>
      </c>
      <c r="I69" s="3">
        <v>123</v>
      </c>
      <c r="J69" s="4">
        <v>2592000000</v>
      </c>
      <c r="K69" s="5">
        <f t="shared" si="27"/>
        <v>124</v>
      </c>
      <c r="L69" s="9" t="n">
        <f>ROUND($J69*1.637*1,0)</f>
        <v>4243104000</v>
      </c>
      <c r="M69" s="3">
        <f t="shared" si="28"/>
        <v>125</v>
      </c>
      <c r="N69" s="10" t="n">
        <f>ROUND($J69*1.637*1.75*1,0)</f>
        <v>7425432000</v>
      </c>
      <c r="O69" s="5">
        <f t="shared" si="29"/>
        <v>127</v>
      </c>
      <c r="P69" s="9" t="n">
        <f>ROUND($J69*1.637*1.75*2.1*1,0)</f>
        <v>15593407200</v>
      </c>
      <c r="Q69" s="3">
        <f t="shared" si="30"/>
        <v>129</v>
      </c>
      <c r="R69" s="10" t="n">
        <f>ROUND($J69*1.637*1.75*2.1*2.3*1.25,0)</f>
        <v>44831045700</v>
      </c>
      <c r="S69" s="5">
        <f t="shared" si="31"/>
        <v>131</v>
      </c>
      <c r="T69" s="9" t="n">
        <f>ROUND($J69*1.637*1.75*2.1*2.3*2.6*1.25,0)</f>
        <v>116560718820</v>
      </c>
      <c r="U69" s="3">
        <f t="shared" si="32"/>
        <v>134</v>
      </c>
      <c r="V69" s="10" t="n">
        <f>ROUND($J69*1.637*1.75*2.1*2.3*2.6*3.2*1.25,0)</f>
        <v>372994300224</v>
      </c>
      <c r="W69" s="5">
        <f t="shared" si="33"/>
        <v>138</v>
      </c>
      <c r="X69" s="9" t="n">
        <f>ROUND($J69*1.637*1.75*2.1*2.3*2.6*3.2*4.2*1.25,0)</f>
        <v>1566576060941</v>
      </c>
      <c r="Y69" s="3">
        <f t="shared" si="34"/>
        <v>140</v>
      </c>
      <c r="Z69" s="10" t="n">
        <f>ROUND($J69*1.637*1.75*2.1*2.3*2.6*3.2*4.2*2.4*1.25,0)</f>
        <v>3759782546258</v>
      </c>
      <c r="AA69" s="5">
        <f t="shared" si="35"/>
        <v>142</v>
      </c>
      <c r="AB69" s="9" t="n">
        <f>ROUND($J69*1.637*1.75*2.1*2.3*2.6*3.2*4.2*2.4*2.5*1.25,0)</f>
        <v>9399456365645</v>
      </c>
      <c r="AC69" s="3">
        <f t="shared" si="36"/>
        <v>144</v>
      </c>
      <c r="AD69" s="10" t="n">
        <f>ROUND($J69*1.637*1.75*2.1*2.3*2.6*3.2*4.2*2.4*2.5*2.8*1.25,0)</f>
        <v>26318477823805</v>
      </c>
      <c r="AE69" s="5">
        <f t="shared" si="37"/>
        <v>147</v>
      </c>
      <c r="AF69" s="9" t="n">
        <f>ROUND($J69*1.637*1.75*2.1*2.3*2.6*3.2*4.2*2.4*2.5*2.8*3.2*1.25,0)</f>
        <v>84219129036177</v>
      </c>
      <c r="AG69" s="3">
        <f t="shared" si="38"/>
        <v>150</v>
      </c>
      <c r="AH69" s="10" t="n">
        <f>ROUND($J69*1.637*1.75*2.1*2.3*2.6*3.2*4.2*2.4*2.5*2.8*3.2*3.8*1.25,0)</f>
        <v>320032690337474</v>
      </c>
    </row>
    <row r="70" hidden="1">
      <c r="A70" s="2">
        <v>103</v>
      </c>
      <c r="B70" s="2" t="s">
        <v>145</v>
      </c>
      <c r="C70" s="2" t="s">
        <v>24</v>
      </c>
      <c r="D70" s="2" t="s">
        <v>47</v>
      </c>
      <c r="E70" s="2">
        <v>123</v>
      </c>
      <c r="F70" s="2" t="s">
        <v>146</v>
      </c>
      <c r="G70" s="2" t="s">
        <v>57</v>
      </c>
      <c r="H70" s="2">
        <v>28</v>
      </c>
      <c r="I70" s="3">
        <v>123</v>
      </c>
      <c r="J70" s="4">
        <v>124000000</v>
      </c>
      <c r="K70" s="5">
        <f t="shared" si="27"/>
        <v>124</v>
      </c>
      <c r="L70" s="9" t="n">
        <f>ROUND($J70*1.637*0.8,0)</f>
        <v>162390400</v>
      </c>
      <c r="M70" s="3">
        <f t="shared" si="28"/>
        <v>125</v>
      </c>
      <c r="N70" s="10" t="n">
        <f>ROUND($J70*1.637*1.75*0.8,0)</f>
        <v>284183200</v>
      </c>
      <c r="O70" s="5">
        <f t="shared" si="29"/>
        <v>127</v>
      </c>
      <c r="P70" s="9" t="n">
        <f>ROUND($J70*1.637*1.75*2.1*0.8,0)</f>
        <v>596784720</v>
      </c>
      <c r="Q70" s="3">
        <f t="shared" si="30"/>
        <v>129</v>
      </c>
      <c r="R70" s="10" t="n">
        <f>ROUND($J70*1.637*1.75*2.1*2.3*0.542035092435954,0)</f>
        <v>930000000</v>
      </c>
      <c r="S70" s="5">
        <f t="shared" si="31"/>
        <v>131</v>
      </c>
      <c r="T70" s="9" t="n">
        <f>ROUND($J70*1.637*1.75*2.1*2.3*2.6*0.544690061623969,0)</f>
        <v>2429843727</v>
      </c>
      <c r="U70" s="3">
        <f t="shared" si="32"/>
        <v>134</v>
      </c>
      <c r="V70" s="10" t="n">
        <f>ROUND($J70*1.637*1.75*2.1*2.3*2.6*3.2*0.547345030811984,0)</f>
        <v>7813399851</v>
      </c>
      <c r="W70" s="5">
        <f t="shared" si="33"/>
        <v>138</v>
      </c>
      <c r="X70" s="9" t="n">
        <f>ROUND($J70*1.637*1.75*2.1*2.3*2.6*3.2*4.2*0.55,0)</f>
        <v>32975459061</v>
      </c>
      <c r="Y70" s="3">
        <f t="shared" si="34"/>
        <v>140</v>
      </c>
      <c r="Z70" s="10" t="n">
        <f>ROUND($J70*1.637*1.75*2.1*2.3*2.6*3.2*4.2*2.4*0.55,0)</f>
        <v>79141101745</v>
      </c>
      <c r="AA70" s="5">
        <f t="shared" si="35"/>
        <v>142</v>
      </c>
      <c r="AB70" s="9" t="n">
        <f>ROUND($J70*1.637*1.75*2.1*2.3*2.6*3.2*4.2*2.4*2.5*0.55,0)</f>
        <v>197852754363</v>
      </c>
      <c r="AC70" s="3">
        <f t="shared" si="36"/>
        <v>144</v>
      </c>
      <c r="AD70" s="10" t="n">
        <f>ROUND($J70*1.637*1.75*2.1*2.3*2.6*3.2*4.2*2.4*2.5*2.8*0.55,0)</f>
        <v>553987712217</v>
      </c>
      <c r="AE70" s="5">
        <f t="shared" si="37"/>
        <v>147</v>
      </c>
      <c r="AF70" s="9" t="n">
        <f>ROUND($J70*1.637*1.75*2.1*2.3*2.6*3.2*4.2*2.4*2.5*2.8*3.2*0.55,0)</f>
        <v>1772760679095</v>
      </c>
      <c r="AG70" s="3">
        <f t="shared" si="38"/>
        <v>150</v>
      </c>
      <c r="AH70" s="10" t="n">
        <f>ROUND($J70*1.637*1.75*2.1*2.3*2.6*3.2*4.2*2.4*2.5*2.8*3.2*3.8*0.55,0)</f>
        <v>6736490580560</v>
      </c>
    </row>
    <row r="71" hidden="1">
      <c r="A71" s="2">
        <v>102</v>
      </c>
      <c r="B71" s="2" t="s">
        <v>147</v>
      </c>
      <c r="C71" s="2" t="s">
        <v>24</v>
      </c>
      <c r="D71" s="2" t="s">
        <v>45</v>
      </c>
      <c r="E71" s="2">
        <v>123</v>
      </c>
      <c r="F71" s="2" t="s">
        <v>56</v>
      </c>
      <c r="G71" s="2" t="s">
        <v>57</v>
      </c>
      <c r="H71" s="2">
        <v>31</v>
      </c>
      <c r="I71" s="3">
        <v>123</v>
      </c>
      <c r="J71" s="4">
        <v>372000000</v>
      </c>
      <c r="K71" s="5">
        <f t="shared" si="27"/>
        <v>124</v>
      </c>
      <c r="L71" s="9" t="n">
        <f t="shared" ref="L71:L90" si="39">ROUND($J71*1.637*1,0)</f>
        <v>608964000</v>
      </c>
      <c r="M71" s="3">
        <f t="shared" si="28"/>
        <v>125</v>
      </c>
      <c r="N71" s="10" t="n">
        <f t="shared" ref="N71:N90" si="40">ROUND($J71*1.637*1.75*1,0)</f>
        <v>1065687000</v>
      </c>
      <c r="O71" s="5">
        <f t="shared" si="29"/>
        <v>127</v>
      </c>
      <c r="P71" s="9" t="n">
        <f t="shared" ref="P71:P90" si="41">ROUND($J71*1.637*1.75*2.1*1,0)</f>
        <v>2237942700</v>
      </c>
      <c r="Q71" s="3">
        <f t="shared" si="30"/>
        <v>129</v>
      </c>
      <c r="R71" s="10" t="n">
        <f>ROUND($J71*1.637*1.75*2.1*2.3*1,0)</f>
        <v>5147268210</v>
      </c>
      <c r="S71" s="5">
        <f t="shared" si="31"/>
        <v>131</v>
      </c>
      <c r="T71" s="9" t="n">
        <f>ROUND($J71*1.637*1.75*2.1*2.3*2.6*1,0)</f>
        <v>13382897346</v>
      </c>
      <c r="U71" s="3">
        <f t="shared" si="32"/>
        <v>134</v>
      </c>
      <c r="V71" s="10" t="n">
        <f>ROUND($J71*1.637*1.75*2.1*2.3*2.6*3.2*1,0)</f>
        <v>42825271507</v>
      </c>
      <c r="W71" s="5">
        <f t="shared" si="33"/>
        <v>138</v>
      </c>
      <c r="X71" s="9" t="n">
        <f>ROUND($J71*1.637*1.75*2.1*2.3*2.6*3.2*4.2*1,0)</f>
        <v>179866140330</v>
      </c>
      <c r="Y71" s="3">
        <f t="shared" si="34"/>
        <v>140</v>
      </c>
      <c r="Z71" s="10" t="n">
        <f>ROUND($J71*1.637*1.75*2.1*2.3*2.6*3.2*4.2*2.4*1,0)</f>
        <v>431678736793</v>
      </c>
      <c r="AA71" s="5">
        <f t="shared" si="35"/>
        <v>142</v>
      </c>
      <c r="AB71" s="9" t="n">
        <f>ROUND($J71*1.637*1.75*2.1*2.3*2.6*3.2*4.2*2.4*2.5*1,0)</f>
        <v>1079196841981</v>
      </c>
      <c r="AC71" s="3">
        <f t="shared" si="36"/>
        <v>144</v>
      </c>
      <c r="AD71" s="10" t="n">
        <f>ROUND($J71*1.637*1.75*2.1*2.3*2.6*3.2*4.2*2.4*2.5*2.8*1,0)</f>
        <v>3021751157548</v>
      </c>
      <c r="AE71" s="5">
        <f t="shared" si="37"/>
        <v>147</v>
      </c>
      <c r="AF71" s="9" t="n">
        <f>ROUND($J71*1.637*1.75*2.1*2.3*2.6*3.2*4.2*2.4*2.5*2.8*3.2*1,0)</f>
        <v>9669603704154</v>
      </c>
      <c r="AG71" s="3">
        <f t="shared" si="38"/>
        <v>150</v>
      </c>
      <c r="AH71" s="10" t="n">
        <f>ROUND($J71*1.637*1.75*2.1*2.3*2.6*3.2*4.2*2.4*2.5*2.8*3.2*3.8*1,0)</f>
        <v>36744494075784</v>
      </c>
    </row>
    <row r="72" hidden="1">
      <c r="A72" s="2">
        <v>39</v>
      </c>
      <c r="B72" s="2" t="s">
        <v>148</v>
      </c>
      <c r="C72" s="2" t="s">
        <v>24</v>
      </c>
      <c r="D72" s="2" t="s">
        <v>102</v>
      </c>
      <c r="E72" s="2">
        <v>123</v>
      </c>
      <c r="F72" s="2" t="s">
        <v>54</v>
      </c>
      <c r="G72" s="2" t="s">
        <v>95</v>
      </c>
      <c r="H72" s="2">
        <v>32</v>
      </c>
      <c r="I72" s="3">
        <v>123</v>
      </c>
      <c r="J72" s="4">
        <v>2330000000</v>
      </c>
      <c r="K72" s="5">
        <f t="shared" si="27"/>
        <v>124</v>
      </c>
      <c r="L72" s="9">
        <f t="shared" si="39"/>
        <v>3814210000</v>
      </c>
      <c r="M72" s="3">
        <f t="shared" si="28"/>
        <v>125</v>
      </c>
      <c r="N72" s="10">
        <f t="shared" si="40"/>
        <v>6674867500</v>
      </c>
      <c r="O72" s="5">
        <f t="shared" si="29"/>
        <v>127</v>
      </c>
      <c r="P72" s="9">
        <f t="shared" si="41"/>
        <v>14017221750</v>
      </c>
      <c r="Q72" s="3">
        <f t="shared" si="30"/>
        <v>129</v>
      </c>
      <c r="R72" s="10" t="n">
        <f>ROUND($J72*1.637*1.75*2.1*2.3*1.25,0)</f>
        <v>40299512531</v>
      </c>
      <c r="S72" s="5">
        <f t="shared" si="31"/>
        <v>131</v>
      </c>
      <c r="T72" s="9" t="n">
        <f>ROUND($J72*1.637*1.75*2.1*2.3*2.6*1.25,0)</f>
        <v>104778732581</v>
      </c>
      <c r="U72" s="3">
        <f t="shared" si="32"/>
        <v>134</v>
      </c>
      <c r="V72" s="10" t="n">
        <f>ROUND($J72*1.637*1.75*2.1*2.3*2.6*3.2*1.25,0)</f>
        <v>335291944260</v>
      </c>
      <c r="W72" s="5">
        <f t="shared" si="33"/>
        <v>138</v>
      </c>
      <c r="X72" s="9" t="n">
        <f>ROUND($J72*1.637*1.75*2.1*2.3*2.6*3.2*4.2*1.25,0)</f>
        <v>1408226165892</v>
      </c>
      <c r="Y72" s="3">
        <f t="shared" si="34"/>
        <v>140</v>
      </c>
      <c r="Z72" s="10" t="n">
        <f>ROUND($J72*1.637*1.75*2.1*2.3*2.6*3.2*4.2*2.4*1.25,0)</f>
        <v>3379742798141</v>
      </c>
      <c r="AA72" s="5">
        <f t="shared" si="35"/>
        <v>142</v>
      </c>
      <c r="AB72" s="9" t="n">
        <f>ROUND($J72*1.637*1.75*2.1*2.3*2.6*3.2*4.2*2.4*2.5*1.25,0)</f>
        <v>8449356995352</v>
      </c>
      <c r="AC72" s="3">
        <f t="shared" si="36"/>
        <v>144</v>
      </c>
      <c r="AD72" s="10" t="n">
        <f>ROUND($J72*1.637*1.75*2.1*2.3*2.6*3.2*4.2*2.4*2.5*2.8*1.25,0)</f>
        <v>23658199586986</v>
      </c>
      <c r="AE72" s="5">
        <f t="shared" si="37"/>
        <v>147</v>
      </c>
      <c r="AF72" s="9" t="n">
        <f>ROUND($J72*1.637*1.75*2.1*2.3*2.6*3.2*4.2*2.4*2.5*2.8*3.2*1.25,0)</f>
        <v>75706238678354</v>
      </c>
      <c r="AG72" s="3">
        <f t="shared" si="38"/>
        <v>150</v>
      </c>
      <c r="AH72" s="10" t="n">
        <f>ROUND($J72*1.637*1.75*2.1*2.3*2.6*3.2*4.2*2.4*2.5*2.8*3.2*3.8*1.25,0)</f>
        <v>287683706977745</v>
      </c>
    </row>
    <row r="73" hidden="1">
      <c r="A73" s="2">
        <v>43</v>
      </c>
      <c r="B73" s="2" t="s">
        <v>149</v>
      </c>
      <c r="C73" s="2" t="s">
        <v>24</v>
      </c>
      <c r="D73" s="2" t="s">
        <v>33</v>
      </c>
      <c r="E73" s="2">
        <v>123</v>
      </c>
      <c r="F73" s="2" t="s">
        <v>56</v>
      </c>
      <c r="G73" s="2" t="s">
        <v>57</v>
      </c>
      <c r="H73" s="2">
        <v>32</v>
      </c>
      <c r="I73" s="3">
        <v>123</v>
      </c>
      <c r="J73" s="4">
        <v>950000000</v>
      </c>
      <c r="K73" s="5">
        <f t="shared" si="27"/>
        <v>124</v>
      </c>
      <c r="L73" s="9">
        <f t="shared" si="39"/>
        <v>1555150000</v>
      </c>
      <c r="M73" s="3">
        <f t="shared" si="28"/>
        <v>125</v>
      </c>
      <c r="N73" s="10">
        <f t="shared" si="40"/>
        <v>2721512500</v>
      </c>
      <c r="O73" s="5">
        <f t="shared" si="29"/>
        <v>127</v>
      </c>
      <c r="P73" s="9">
        <f t="shared" si="41"/>
        <v>5715176250</v>
      </c>
      <c r="Q73" s="3">
        <f t="shared" si="30"/>
        <v>129</v>
      </c>
      <c r="R73" s="10" t="n">
        <f>ROUND($J73*1.637*1.75*2.1*2.3*1,0)</f>
        <v>13144905375</v>
      </c>
      <c r="S73" s="5">
        <f t="shared" si="31"/>
        <v>131</v>
      </c>
      <c r="T73" s="9" t="n">
        <f>ROUND($J73*1.637*1.75*2.1*2.3*2.6*1,0)</f>
        <v>34176753975</v>
      </c>
      <c r="U73" s="3">
        <f t="shared" si="32"/>
        <v>134</v>
      </c>
      <c r="V73" s="10" t="n">
        <f>ROUND($J73*1.637*1.75*2.1*2.3*2.6*3.2*1,0)</f>
        <v>109365612720</v>
      </c>
      <c r="W73" s="5">
        <f t="shared" si="33"/>
        <v>138</v>
      </c>
      <c r="X73" s="9" t="n">
        <f>ROUND($J73*1.637*1.75*2.1*2.3*2.6*3.2*4.2*1,0)</f>
        <v>459335573424</v>
      </c>
      <c r="Y73" s="3">
        <f t="shared" si="34"/>
        <v>140</v>
      </c>
      <c r="Z73" s="10" t="n">
        <f>ROUND($J73*1.637*1.75*2.1*2.3*2.6*3.2*4.2*2.4*1,0)</f>
        <v>1102405376218</v>
      </c>
      <c r="AA73" s="5">
        <f t="shared" si="35"/>
        <v>142</v>
      </c>
      <c r="AB73" s="9" t="n">
        <f>ROUND($J73*1.637*1.75*2.1*2.3*2.6*3.2*4.2*2.4*2.5*1,0)</f>
        <v>2756013440544</v>
      </c>
      <c r="AC73" s="3">
        <f t="shared" si="36"/>
        <v>144</v>
      </c>
      <c r="AD73" s="10" t="n">
        <f>ROUND($J73*1.637*1.75*2.1*2.3*2.6*3.2*4.2*2.4*2.5*2.8*1,0)</f>
        <v>7716837633523</v>
      </c>
      <c r="AE73" s="5">
        <f t="shared" si="37"/>
        <v>147</v>
      </c>
      <c r="AF73" s="9" t="n">
        <f>ROUND($J73*1.637*1.75*2.1*2.3*2.6*3.2*4.2*2.4*2.5*2.8*3.2*1,0)</f>
        <v>24693880427274</v>
      </c>
      <c r="AG73" s="3">
        <f t="shared" si="38"/>
        <v>150</v>
      </c>
      <c r="AH73" s="10" t="n">
        <f>ROUND($J73*1.637*1.75*2.1*2.3*2.6*3.2*4.2*2.4*2.5*2.8*3.2*3.8*1,0)</f>
        <v>93836745623642</v>
      </c>
    </row>
    <row r="74" hidden="1">
      <c r="A74" s="2">
        <v>93</v>
      </c>
      <c r="B74" s="2" t="s">
        <v>150</v>
      </c>
      <c r="C74" s="2" t="s">
        <v>24</v>
      </c>
      <c r="D74" s="2" t="s">
        <v>33</v>
      </c>
      <c r="E74" s="2">
        <v>123</v>
      </c>
      <c r="F74" s="2" t="s">
        <v>42</v>
      </c>
      <c r="G74" s="2" t="s">
        <v>72</v>
      </c>
      <c r="H74" s="2">
        <v>31</v>
      </c>
      <c r="I74" s="3">
        <v>123</v>
      </c>
      <c r="J74" s="4">
        <v>209000000</v>
      </c>
      <c r="K74" s="5">
        <f t="shared" si="27"/>
        <v>124</v>
      </c>
      <c r="L74" s="9">
        <f t="shared" si="39"/>
        <v>342133000</v>
      </c>
      <c r="M74" s="3">
        <f t="shared" si="28"/>
        <v>125</v>
      </c>
      <c r="N74" s="10">
        <f t="shared" si="40"/>
        <v>598732750</v>
      </c>
      <c r="O74" s="5">
        <f t="shared" si="29"/>
        <v>127</v>
      </c>
      <c r="P74" s="9">
        <f t="shared" si="41"/>
        <v>1257338775</v>
      </c>
      <c r="Q74" s="3">
        <f t="shared" si="30"/>
        <v>129</v>
      </c>
      <c r="R74" s="10" t="n">
        <f>ROUND($J74*1.637*1.75*2.1*2.3*1,0)</f>
        <v>2891879183</v>
      </c>
      <c r="S74" s="5">
        <f t="shared" si="31"/>
        <v>131</v>
      </c>
      <c r="T74" s="9" t="n">
        <f>ROUND($J74*1.637*1.75*2.1*2.3*2.6*1,0)</f>
        <v>7518885875</v>
      </c>
      <c r="U74" s="3">
        <f t="shared" si="32"/>
        <v>134</v>
      </c>
      <c r="V74" s="10" t="n">
        <f>ROUND($J74*1.637*1.75*2.1*2.3*2.6*3.2*1,0)</f>
        <v>24060434798</v>
      </c>
      <c r="W74" s="5">
        <f t="shared" si="33"/>
        <v>138</v>
      </c>
      <c r="X74" s="9" t="n">
        <f>ROUND($J74*1.637*1.75*2.1*2.3*2.6*3.2*4.2*1,0)</f>
        <v>101053826153</v>
      </c>
      <c r="Y74" s="3">
        <f t="shared" si="34"/>
        <v>140</v>
      </c>
      <c r="Z74" s="10" t="n">
        <f>ROUND($J74*1.637*1.75*2.1*2.3*2.6*3.2*4.2*2.4*1,0)</f>
        <v>242529182768</v>
      </c>
      <c r="AA74" s="5">
        <f t="shared" si="35"/>
        <v>142</v>
      </c>
      <c r="AB74" s="9" t="n">
        <f>ROUND($J74*1.637*1.75*2.1*2.3*2.6*3.2*4.2*2.4*2.5*1,0)</f>
        <v>606322956920</v>
      </c>
      <c r="AC74" s="3">
        <f t="shared" si="36"/>
        <v>144</v>
      </c>
      <c r="AD74" s="10" t="n">
        <f>ROUND($J74*1.637*1.75*2.1*2.3*2.6*3.2*4.2*2.4*2.5*2.8*1,0)</f>
        <v>1697704279375</v>
      </c>
      <c r="AE74" s="5">
        <f t="shared" si="37"/>
        <v>147</v>
      </c>
      <c r="AF74" s="9" t="n">
        <f>ROUND($J74*1.637*1.75*2.1*2.3*2.6*3.2*4.2*2.4*2.5*2.8*3.2*1,0)</f>
        <v>5432653694000</v>
      </c>
      <c r="AG74" s="3">
        <f t="shared" si="38"/>
        <v>150</v>
      </c>
      <c r="AH74" s="10" t="n">
        <f>ROUND($J74*1.637*1.75*2.1*2.3*2.6*3.2*4.2*2.4*2.5*2.8*3.2*3.8*1,0)</f>
        <v>20644084037201</v>
      </c>
    </row>
    <row r="75" hidden="1">
      <c r="A75" s="2">
        <v>87</v>
      </c>
      <c r="B75" s="2" t="s">
        <v>151</v>
      </c>
      <c r="C75" s="2" t="s">
        <v>24</v>
      </c>
      <c r="D75" s="2" t="s">
        <v>40</v>
      </c>
      <c r="E75" s="2">
        <v>123</v>
      </c>
      <c r="F75" s="2" t="s">
        <v>42</v>
      </c>
      <c r="G75" s="2" t="s">
        <v>95</v>
      </c>
      <c r="H75" s="2">
        <v>32</v>
      </c>
      <c r="I75" s="3">
        <v>123</v>
      </c>
      <c r="J75" s="4">
        <v>850000000</v>
      </c>
      <c r="K75" s="5">
        <f t="shared" si="27"/>
        <v>124</v>
      </c>
      <c r="L75" s="9">
        <f t="shared" si="39"/>
        <v>1391450000</v>
      </c>
      <c r="M75" s="3">
        <f t="shared" si="28"/>
        <v>125</v>
      </c>
      <c r="N75" s="10">
        <f t="shared" si="40"/>
        <v>2435037500</v>
      </c>
      <c r="O75" s="5">
        <f t="shared" si="29"/>
        <v>127</v>
      </c>
      <c r="P75" s="9">
        <f t="shared" si="41"/>
        <v>5113578750</v>
      </c>
      <c r="Q75" s="3">
        <f t="shared" si="30"/>
        <v>129</v>
      </c>
      <c r="R75" s="10" t="n">
        <f>ROUND($J75*1.637*1.75*2.1*2.3*1,0)</f>
        <v>11761231125</v>
      </c>
      <c r="S75" s="5">
        <f t="shared" si="31"/>
        <v>131</v>
      </c>
      <c r="T75" s="9" t="n">
        <f>ROUND($J75*1.637*1.75*2.1*2.3*2.6*1,0)</f>
        <v>30579200925</v>
      </c>
      <c r="U75" s="3">
        <f t="shared" si="32"/>
        <v>134</v>
      </c>
      <c r="V75" s="10" t="n">
        <f>ROUND($J75*1.637*1.75*2.1*2.3*2.6*3.2*1,0)</f>
        <v>97853442960</v>
      </c>
      <c r="W75" s="5">
        <f t="shared" si="33"/>
        <v>138</v>
      </c>
      <c r="X75" s="9" t="n">
        <f>ROUND($J75*1.637*1.75*2.1*2.3*2.6*3.2*4.2*1,0)</f>
        <v>410984460432</v>
      </c>
      <c r="Y75" s="3">
        <f t="shared" si="34"/>
        <v>140</v>
      </c>
      <c r="Z75" s="10" t="n">
        <f>ROUND($J75*1.637*1.75*2.1*2.3*2.6*3.2*4.2*2.4*1,0)</f>
        <v>986362705037</v>
      </c>
      <c r="AA75" s="5">
        <f t="shared" si="35"/>
        <v>142</v>
      </c>
      <c r="AB75" s="9" t="n">
        <f>ROUND($J75*1.637*1.75*2.1*2.3*2.6*3.2*4.2*2.4*2.5*1,0)</f>
        <v>2465906762592</v>
      </c>
      <c r="AC75" s="3">
        <f t="shared" si="36"/>
        <v>144</v>
      </c>
      <c r="AD75" s="10" t="n">
        <f>ROUND($J75*1.637*1.75*2.1*2.3*2.6*3.2*4.2*2.4*2.5*2.8*1,0)</f>
        <v>6904538935258</v>
      </c>
      <c r="AE75" s="5">
        <f t="shared" si="37"/>
        <v>147</v>
      </c>
      <c r="AF75" s="9" t="n">
        <f>ROUND($J75*1.637*1.75*2.1*2.3*2.6*3.2*4.2*2.4*2.5*2.8*3.2*1,0)</f>
        <v>22094524592824</v>
      </c>
      <c r="AG75" s="3">
        <f t="shared" si="38"/>
        <v>150</v>
      </c>
      <c r="AH75" s="10" t="n">
        <f>ROUND($J75*1.637*1.75*2.1*2.3*2.6*3.2*4.2*2.4*2.5*2.8*3.2*3.8*1,0)</f>
        <v>83959193452732</v>
      </c>
    </row>
    <row r="76" hidden="1">
      <c r="A76" s="2">
        <v>96</v>
      </c>
      <c r="B76" s="2" t="s">
        <v>152</v>
      </c>
      <c r="C76" s="2" t="s">
        <v>24</v>
      </c>
      <c r="D76" s="2" t="s">
        <v>29</v>
      </c>
      <c r="E76" s="2">
        <v>123</v>
      </c>
      <c r="F76" s="2" t="s">
        <v>71</v>
      </c>
      <c r="G76" s="2" t="s">
        <v>38</v>
      </c>
      <c r="H76" s="2">
        <v>31</v>
      </c>
      <c r="I76" s="3">
        <v>123</v>
      </c>
      <c r="J76" s="4">
        <v>268000000</v>
      </c>
      <c r="K76" s="5">
        <f t="shared" si="27"/>
        <v>124</v>
      </c>
      <c r="L76" s="9">
        <f t="shared" si="39"/>
        <v>438716000</v>
      </c>
      <c r="M76" s="3">
        <f t="shared" si="28"/>
        <v>125</v>
      </c>
      <c r="N76" s="10">
        <f t="shared" si="40"/>
        <v>767753000</v>
      </c>
      <c r="O76" s="5">
        <f t="shared" si="29"/>
        <v>127</v>
      </c>
      <c r="P76" s="9">
        <f t="shared" si="41"/>
        <v>1612281300</v>
      </c>
      <c r="Q76" s="3">
        <f t="shared" si="30"/>
        <v>129</v>
      </c>
      <c r="R76" s="10" t="n">
        <f>ROUND($J76*1.637*1.75*2.1*2.3*1,0)</f>
        <v>3708246990</v>
      </c>
      <c r="S76" s="5">
        <f t="shared" si="31"/>
        <v>131</v>
      </c>
      <c r="T76" s="9" t="n">
        <f>ROUND($J76*1.637*1.75*2.1*2.3*2.6*1,0)</f>
        <v>9641442174</v>
      </c>
      <c r="U76" s="3">
        <f t="shared" si="32"/>
        <v>134</v>
      </c>
      <c r="V76" s="10" t="n">
        <f>ROUND($J76*1.637*1.75*2.1*2.3*2.6*3.2*1,0)</f>
        <v>30852614957</v>
      </c>
      <c r="W76" s="5">
        <f t="shared" si="33"/>
        <v>138</v>
      </c>
      <c r="X76" s="9" t="n">
        <f>ROUND($J76*1.637*1.75*2.1*2.3*2.6*3.2*4.2*1,0)</f>
        <v>129580982819</v>
      </c>
      <c r="Y76" s="3">
        <f t="shared" si="34"/>
        <v>140</v>
      </c>
      <c r="Z76" s="10" t="n">
        <f>ROUND($J76*1.637*1.75*2.1*2.3*2.6*3.2*4.2*2.4*1,0)</f>
        <v>310994358765</v>
      </c>
      <c r="AA76" s="5">
        <f t="shared" si="35"/>
        <v>142</v>
      </c>
      <c r="AB76" s="9" t="n">
        <f>ROUND($J76*1.637*1.75*2.1*2.3*2.6*3.2*4.2*2.4*2.5*1,0)</f>
        <v>777485896911</v>
      </c>
      <c r="AC76" s="3">
        <f t="shared" si="36"/>
        <v>144</v>
      </c>
      <c r="AD76" s="10" t="n">
        <f>ROUND($J76*1.637*1.75*2.1*2.3*2.6*3.2*4.2*2.4*2.5*2.8*1,0)</f>
        <v>2176960511352</v>
      </c>
      <c r="AE76" s="5">
        <f t="shared" si="37"/>
        <v>147</v>
      </c>
      <c r="AF76" s="9" t="n">
        <f>ROUND($J76*1.637*1.75*2.1*2.3*2.6*3.2*4.2*2.4*2.5*2.8*3.2*1,0)</f>
        <v>6966273636326</v>
      </c>
      <c r="AG76" s="3">
        <f t="shared" si="38"/>
        <v>150</v>
      </c>
      <c r="AH76" s="10" t="n">
        <f>ROUND($J76*1.637*1.75*2.1*2.3*2.6*3.2*4.2*2.4*2.5*2.8*3.2*3.8*1,0)</f>
        <v>26471839818038</v>
      </c>
    </row>
    <row r="77" hidden="1">
      <c r="A77" s="2">
        <v>41</v>
      </c>
      <c r="B77" s="2" t="s">
        <v>153</v>
      </c>
      <c r="C77" s="2" t="s">
        <v>24</v>
      </c>
      <c r="D77" s="2" t="s">
        <v>25</v>
      </c>
      <c r="E77" s="2">
        <v>123</v>
      </c>
      <c r="F77" s="2" t="s">
        <v>56</v>
      </c>
      <c r="G77" s="2" t="s">
        <v>133</v>
      </c>
      <c r="H77" s="2">
        <v>32</v>
      </c>
      <c r="I77" s="3">
        <v>123</v>
      </c>
      <c r="J77" s="4">
        <v>936000000</v>
      </c>
      <c r="K77" s="5">
        <f t="shared" si="27"/>
        <v>124</v>
      </c>
      <c r="L77" s="9">
        <f t="shared" si="39"/>
        <v>1532232000</v>
      </c>
      <c r="M77" s="3">
        <f t="shared" si="28"/>
        <v>125</v>
      </c>
      <c r="N77" s="10">
        <f t="shared" si="40"/>
        <v>2681406000</v>
      </c>
      <c r="O77" s="5">
        <f t="shared" si="29"/>
        <v>127</v>
      </c>
      <c r="P77" s="9">
        <f t="shared" si="41"/>
        <v>5630952600</v>
      </c>
      <c r="Q77" s="3">
        <f t="shared" si="30"/>
        <v>129</v>
      </c>
      <c r="R77" s="10" t="n">
        <f>ROUND($J77*1.637*1.75*2.1*2.3*1,0)</f>
        <v>12951190980</v>
      </c>
      <c r="S77" s="5">
        <f t="shared" si="31"/>
        <v>131</v>
      </c>
      <c r="T77" s="9" t="n">
        <f>ROUND($J77*1.637*1.75*2.1*2.3*2.6*1,0)</f>
        <v>33673096548</v>
      </c>
      <c r="U77" s="3">
        <f t="shared" si="32"/>
        <v>134</v>
      </c>
      <c r="V77" s="10" t="n">
        <f>ROUND($J77*1.637*1.75*2.1*2.3*2.6*3.2*1,0)</f>
        <v>107753908954</v>
      </c>
      <c r="W77" s="5">
        <f t="shared" si="33"/>
        <v>138</v>
      </c>
      <c r="X77" s="9" t="n">
        <f>ROUND($J77*1.637*1.75*2.1*2.3*2.6*3.2*4.2*1,0)</f>
        <v>452566417605</v>
      </c>
      <c r="Y77" s="3">
        <f t="shared" si="34"/>
        <v>140</v>
      </c>
      <c r="Z77" s="10" t="n">
        <f>ROUND($J77*1.637*1.75*2.1*2.3*2.6*3.2*4.2*2.4*1,0)</f>
        <v>1086159402252</v>
      </c>
      <c r="AA77" s="5">
        <f t="shared" si="35"/>
        <v>142</v>
      </c>
      <c r="AB77" s="9" t="n">
        <f>ROUND($J77*1.637*1.75*2.1*2.3*2.6*3.2*4.2*2.4*2.5*1,0)</f>
        <v>2715398505631</v>
      </c>
      <c r="AC77" s="3">
        <f t="shared" si="36"/>
        <v>144</v>
      </c>
      <c r="AD77" s="10" t="n">
        <f>ROUND($J77*1.637*1.75*2.1*2.3*2.6*3.2*4.2*2.4*2.5*2.8*1,0)</f>
        <v>7603115815766</v>
      </c>
      <c r="AE77" s="5">
        <f t="shared" si="37"/>
        <v>147</v>
      </c>
      <c r="AF77" s="9" t="n">
        <f>ROUND($J77*1.637*1.75*2.1*2.3*2.6*3.2*4.2*2.4*2.5*2.8*3.2*1,0)</f>
        <v>24329970610451</v>
      </c>
      <c r="AG77" s="3">
        <f t="shared" si="38"/>
        <v>150</v>
      </c>
      <c r="AH77" s="10" t="n">
        <f>ROUND($J77*1.637*1.75*2.1*2.3*2.6*3.2*4.2*2.4*2.5*2.8*3.2*3.8*1,0)</f>
        <v>92453888319715</v>
      </c>
    </row>
    <row r="78" hidden="1">
      <c r="A78" s="2">
        <v>84</v>
      </c>
      <c r="B78" s="2" t="s">
        <v>154</v>
      </c>
      <c r="C78" s="2" t="s">
        <v>24</v>
      </c>
      <c r="D78" s="2" t="s">
        <v>45</v>
      </c>
      <c r="E78" s="2">
        <v>123</v>
      </c>
      <c r="F78" s="2" t="s">
        <v>34</v>
      </c>
      <c r="G78" s="2" t="s">
        <v>38</v>
      </c>
      <c r="H78" s="2">
        <v>32</v>
      </c>
      <c r="I78" s="3">
        <v>123</v>
      </c>
      <c r="J78" s="4">
        <v>9240000000</v>
      </c>
      <c r="K78" s="5">
        <f t="shared" si="27"/>
        <v>124</v>
      </c>
      <c r="L78" s="9">
        <f t="shared" si="39"/>
        <v>15125880000</v>
      </c>
      <c r="M78" s="3">
        <f t="shared" si="28"/>
        <v>125</v>
      </c>
      <c r="N78" s="10">
        <f t="shared" si="40"/>
        <v>26470290000</v>
      </c>
      <c r="O78" s="5">
        <f t="shared" si="29"/>
        <v>127</v>
      </c>
      <c r="P78" s="9">
        <f t="shared" si="41"/>
        <v>55587609000</v>
      </c>
      <c r="Q78" s="3">
        <f t="shared" si="30"/>
        <v>129</v>
      </c>
      <c r="R78" s="10" t="n">
        <f>ROUND($J78*1.637*1.75*2.1*2.3*1.25,0)</f>
        <v>159814375875</v>
      </c>
      <c r="S78" s="5">
        <f t="shared" si="31"/>
        <v>131</v>
      </c>
      <c r="T78" s="9" t="n">
        <f>ROUND($J78*1.637*1.75*2.1*2.3*2.6*1.25,0)</f>
        <v>415517377275</v>
      </c>
      <c r="U78" s="3">
        <f t="shared" si="32"/>
        <v>134</v>
      </c>
      <c r="V78" s="10" t="n">
        <f>ROUND($J78*1.637*1.75*2.1*2.3*2.6*3.2*1.25,0)</f>
        <v>1329655607280</v>
      </c>
      <c r="W78" s="5">
        <f t="shared" si="33"/>
        <v>138</v>
      </c>
      <c r="X78" s="9" t="n">
        <f>ROUND($J78*1.637*1.75*2.1*2.3*2.6*3.2*4.2*1.25,0)</f>
        <v>5584553550576</v>
      </c>
      <c r="Y78" s="3">
        <f t="shared" si="34"/>
        <v>140</v>
      </c>
      <c r="Z78" s="10" t="n">
        <f>ROUND($J78*1.637*1.75*2.1*2.3*2.6*3.2*4.2*2.4*1.25,0)</f>
        <v>13402928521382</v>
      </c>
      <c r="AA78" s="5">
        <f t="shared" si="35"/>
        <v>142</v>
      </c>
      <c r="AB78" s="9" t="n">
        <f>ROUND($J78*1.637*1.75*2.1*2.3*2.6*3.2*4.2*2.4*2.5*1.25,0)</f>
        <v>33507321303456</v>
      </c>
      <c r="AC78" s="3">
        <f t="shared" si="36"/>
        <v>144</v>
      </c>
      <c r="AD78" s="10" t="n">
        <f>ROUND($J78*1.637*1.75*2.1*2.3*2.6*3.2*4.2*2.4*2.5*2.8*1.25,0)</f>
        <v>93820499649677</v>
      </c>
      <c r="AE78" s="5">
        <f t="shared" si="37"/>
        <v>147</v>
      </c>
      <c r="AF78" s="9" t="n">
        <f>ROUND($J78*1.637*1.75*2.1*2.3*2.6*3.2*4.2*2.4*2.5*2.8*3.2*1.25,0)</f>
        <v>300225598878966</v>
      </c>
      <c r="AG78" s="3">
        <f t="shared" si="38"/>
        <v>150</v>
      </c>
      <c r="AH78" s="10" t="n">
        <f>ROUND($J78*1.637*1.75*2.1*2.3*2.6*3.2*4.2*2.4*2.5*2.8*3.2*3.8*1.25,0)</f>
        <v>1140857275740070</v>
      </c>
    </row>
    <row r="79" hidden="1">
      <c r="A79" s="2">
        <v>97</v>
      </c>
      <c r="B79" s="2" t="s">
        <v>155</v>
      </c>
      <c r="C79" s="2" t="s">
        <v>24</v>
      </c>
      <c r="D79" s="2" t="s">
        <v>45</v>
      </c>
      <c r="E79" s="2">
        <v>123</v>
      </c>
      <c r="F79" s="2" t="s">
        <v>71</v>
      </c>
      <c r="G79" s="2" t="s">
        <v>133</v>
      </c>
      <c r="H79" s="2">
        <v>31</v>
      </c>
      <c r="I79" s="3">
        <v>123</v>
      </c>
      <c r="J79" s="4">
        <v>6580000000</v>
      </c>
      <c r="K79" s="5">
        <f t="shared" si="27"/>
        <v>124</v>
      </c>
      <c r="L79" s="9">
        <f t="shared" si="39"/>
        <v>10771460000</v>
      </c>
      <c r="M79" s="3">
        <f t="shared" si="28"/>
        <v>125</v>
      </c>
      <c r="N79" s="10">
        <f t="shared" si="40"/>
        <v>18850055000</v>
      </c>
      <c r="O79" s="5">
        <f t="shared" si="29"/>
        <v>127</v>
      </c>
      <c r="P79" s="9">
        <f t="shared" si="41"/>
        <v>39585115500</v>
      </c>
      <c r="Q79" s="3">
        <f t="shared" si="30"/>
        <v>129</v>
      </c>
      <c r="R79" s="10" t="n">
        <f>ROUND($J79*1.637*1.75*2.1*2.3*1.25,0)</f>
        <v>113807207063</v>
      </c>
      <c r="S79" s="5">
        <f t="shared" si="31"/>
        <v>131</v>
      </c>
      <c r="T79" s="9" t="n">
        <f>ROUND($J79*1.637*1.75*2.1*2.3*2.6*1.25,0)</f>
        <v>295898738363</v>
      </c>
      <c r="U79" s="3">
        <f t="shared" si="32"/>
        <v>134</v>
      </c>
      <c r="V79" s="10" t="n">
        <f>ROUND($J79*1.637*1.75*2.1*2.3*2.6*3.2*1.25,0)</f>
        <v>946875962760</v>
      </c>
      <c r="W79" s="5">
        <f t="shared" si="33"/>
        <v>138</v>
      </c>
      <c r="X79" s="9" t="n">
        <f>ROUND($J79*1.637*1.75*2.1*2.3*2.6*3.2*4.2*1.25,0)</f>
        <v>3976879043592</v>
      </c>
      <c r="Y79" s="3">
        <f t="shared" si="34"/>
        <v>140</v>
      </c>
      <c r="Z79" s="10" t="n">
        <f>ROUND($J79*1.637*1.75*2.1*2.3*2.6*3.2*4.2*2.4*1.25,0)</f>
        <v>9544509704621</v>
      </c>
      <c r="AA79" s="5">
        <f t="shared" si="35"/>
        <v>142</v>
      </c>
      <c r="AB79" s="9" t="n">
        <f>ROUND($J79*1.637*1.75*2.1*2.3*2.6*3.2*4.2*2.4*2.5*1.25,0)</f>
        <v>23861274261552</v>
      </c>
      <c r="AC79" s="3">
        <f t="shared" si="36"/>
        <v>144</v>
      </c>
      <c r="AD79" s="10" t="n">
        <f>ROUND($J79*1.637*1.75*2.1*2.3*2.6*3.2*4.2*2.4*2.5*2.8*1.25,0)</f>
        <v>66811567932346</v>
      </c>
      <c r="AE79" s="5">
        <f t="shared" si="37"/>
        <v>147</v>
      </c>
      <c r="AF79" s="9" t="n">
        <f>ROUND($J79*1.637*1.75*2.1*2.3*2.6*3.2*4.2*2.4*2.5*2.8*3.2*1.25,0)</f>
        <v>213797017383506</v>
      </c>
      <c r="AG79" s="3">
        <f t="shared" si="38"/>
        <v>150</v>
      </c>
      <c r="AH79" s="10" t="n">
        <f>ROUND($J79*1.637*1.75*2.1*2.3*2.6*3.2*4.2*2.4*2.5*2.8*3.2*3.8*1.25,0)</f>
        <v>812428666057322</v>
      </c>
    </row>
    <row r="80" hidden="1">
      <c r="A80" s="2">
        <v>119</v>
      </c>
      <c r="B80" s="2" t="s">
        <v>156</v>
      </c>
      <c r="C80" s="2" t="s">
        <v>24</v>
      </c>
      <c r="D80" s="2" t="s">
        <v>45</v>
      </c>
      <c r="E80" s="2">
        <v>122</v>
      </c>
      <c r="F80" s="2" t="s">
        <v>34</v>
      </c>
      <c r="G80" s="2" t="s">
        <v>35</v>
      </c>
      <c r="H80" s="2">
        <v>30</v>
      </c>
      <c r="I80" s="3">
        <v>122</v>
      </c>
      <c r="J80" s="4">
        <v>531000000</v>
      </c>
      <c r="K80" s="5">
        <f t="shared" si="27"/>
        <v>123</v>
      </c>
      <c r="L80" s="9">
        <f t="shared" si="39"/>
        <v>869247000</v>
      </c>
      <c r="M80" s="3">
        <f t="shared" si="28"/>
        <v>124</v>
      </c>
      <c r="N80" s="10">
        <f t="shared" si="40"/>
        <v>1521182250</v>
      </c>
      <c r="O80" s="5">
        <f t="shared" si="29"/>
        <v>126</v>
      </c>
      <c r="P80" s="9">
        <f t="shared" si="41"/>
        <v>3194482725</v>
      </c>
      <c r="Q80" s="3">
        <f t="shared" si="30"/>
        <v>128</v>
      </c>
      <c r="R80" s="10" t="n">
        <f>ROUND($J80*1.637*1.75*2.1*2.3*1,0)</f>
        <v>7347310268</v>
      </c>
      <c r="S80" s="5">
        <f t="shared" si="31"/>
        <v>130</v>
      </c>
      <c r="T80" s="9" t="n">
        <f>ROUND($J80*1.637*1.75*2.1*2.3*2.6*1,0)</f>
        <v>19103006696</v>
      </c>
      <c r="U80" s="3">
        <f t="shared" si="32"/>
        <v>133</v>
      </c>
      <c r="V80" s="10" t="n">
        <f>ROUND($J80*1.637*1.75*2.1*2.3*2.6*3.2*1,0)</f>
        <v>61129621426</v>
      </c>
      <c r="W80" s="5">
        <f t="shared" si="33"/>
        <v>137</v>
      </c>
      <c r="X80" s="9" t="n">
        <f>ROUND($J80*1.637*1.75*2.1*2.3*2.6*3.2*4.2*1,0)</f>
        <v>256744409988</v>
      </c>
      <c r="Y80" s="3">
        <f t="shared" si="34"/>
        <v>139</v>
      </c>
      <c r="Z80" s="10" t="n">
        <f>ROUND($J80*1.637*1.75*2.1*2.3*2.6*3.2*4.2*2.4*1,0)</f>
        <v>616186583970</v>
      </c>
      <c r="AA80" s="5">
        <f t="shared" si="35"/>
        <v>141</v>
      </c>
      <c r="AB80" s="9" t="n">
        <f>ROUND($J80*1.637*1.75*2.1*2.3*2.6*3.2*4.2*2.4*2.5*1,0)</f>
        <v>1540466459925</v>
      </c>
      <c r="AC80" s="3">
        <f t="shared" si="36"/>
        <v>143</v>
      </c>
      <c r="AD80" s="10" t="n">
        <f>ROUND($J80*1.637*1.75*2.1*2.3*2.6*3.2*4.2*2.4*2.5*2.8*1,0)</f>
        <v>4313306087790</v>
      </c>
      <c r="AE80" s="5">
        <f t="shared" si="37"/>
        <v>146</v>
      </c>
      <c r="AF80" s="9" t="n">
        <f>ROUND($J80*1.637*1.75*2.1*2.3*2.6*3.2*4.2*2.4*2.5*2.8*3.2*1,0)</f>
        <v>13802579480929</v>
      </c>
      <c r="AG80" s="3">
        <f t="shared" si="38"/>
        <v>149</v>
      </c>
      <c r="AH80" s="10" t="n">
        <f>ROUND($J80*1.637*1.75*2.1*2.3*2.6*3.2*4.2*2.4*2.5*2.8*3.2*3.8*1,0)</f>
        <v>52449802027531</v>
      </c>
    </row>
    <row r="81" hidden="1">
      <c r="A81" s="2">
        <v>107</v>
      </c>
      <c r="B81" s="2" t="s">
        <v>157</v>
      </c>
      <c r="C81" s="2" t="s">
        <v>24</v>
      </c>
      <c r="D81" s="2" t="s">
        <v>40</v>
      </c>
      <c r="E81" s="2">
        <v>122</v>
      </c>
      <c r="F81" s="2" t="s">
        <v>71</v>
      </c>
      <c r="G81" s="2" t="s">
        <v>38</v>
      </c>
      <c r="H81" s="2">
        <v>31</v>
      </c>
      <c r="I81" s="3">
        <v>122</v>
      </c>
      <c r="J81" s="4">
        <v>360000000</v>
      </c>
      <c r="K81" s="5">
        <f t="shared" si="27"/>
        <v>123</v>
      </c>
      <c r="L81" s="9">
        <f t="shared" si="39"/>
        <v>589320000</v>
      </c>
      <c r="M81" s="3">
        <f t="shared" si="28"/>
        <v>124</v>
      </c>
      <c r="N81" s="10">
        <f t="shared" si="40"/>
        <v>1031310000</v>
      </c>
      <c r="O81" s="5">
        <f t="shared" si="29"/>
        <v>126</v>
      </c>
      <c r="P81" s="9">
        <f t="shared" si="41"/>
        <v>2165751000</v>
      </c>
      <c r="Q81" s="3">
        <f t="shared" si="30"/>
        <v>128</v>
      </c>
      <c r="R81" s="10" t="n">
        <f>ROUND($J81*1.637*1.75*2.1*2.3*1,0)</f>
        <v>4981227300</v>
      </c>
      <c r="S81" s="5">
        <f t="shared" si="31"/>
        <v>130</v>
      </c>
      <c r="T81" s="9" t="n">
        <f>ROUND($J81*1.637*1.75*2.1*2.3*2.6*1,0)</f>
        <v>12951190980</v>
      </c>
      <c r="U81" s="3">
        <f t="shared" si="32"/>
        <v>133</v>
      </c>
      <c r="V81" s="10" t="n">
        <f>ROUND($J81*1.637*1.75*2.1*2.3*2.6*3.2*1,0)</f>
        <v>41443811136</v>
      </c>
      <c r="W81" s="5">
        <f t="shared" si="33"/>
        <v>137</v>
      </c>
      <c r="X81" s="9" t="n">
        <f>ROUND($J81*1.637*1.75*2.1*2.3*2.6*3.2*4.2*1,0)</f>
        <v>174064006771</v>
      </c>
      <c r="Y81" s="3">
        <f t="shared" si="34"/>
        <v>139</v>
      </c>
      <c r="Z81" s="10" t="n">
        <f>ROUND($J81*1.637*1.75*2.1*2.3*2.6*3.2*4.2*2.4*1,0)</f>
        <v>417753616251</v>
      </c>
      <c r="AA81" s="5">
        <f t="shared" si="35"/>
        <v>141</v>
      </c>
      <c r="AB81" s="9" t="n">
        <f>ROUND($J81*1.637*1.75*2.1*2.3*2.6*3.2*4.2*2.4*2.5*1,0)</f>
        <v>1044384040627</v>
      </c>
      <c r="AC81" s="3">
        <f t="shared" si="36"/>
        <v>143</v>
      </c>
      <c r="AD81" s="10" t="n">
        <f>ROUND($J81*1.637*1.75*2.1*2.3*2.6*3.2*4.2*2.4*2.5*2.8*1,0)</f>
        <v>2924275313756</v>
      </c>
      <c r="AE81" s="5">
        <f t="shared" si="37"/>
        <v>146</v>
      </c>
      <c r="AF81" s="9" t="n">
        <f>ROUND($J81*1.637*1.75*2.1*2.3*2.6*3.2*4.2*2.4*2.5*2.8*3.2*1,0)</f>
        <v>9357681004020</v>
      </c>
      <c r="AG81" s="3">
        <f t="shared" si="38"/>
        <v>149</v>
      </c>
      <c r="AH81" s="10" t="n">
        <f>ROUND($J81*1.637*1.75*2.1*2.3*2.6*3.2*4.2*2.4*2.5*2.8*3.2*3.8*1,0)</f>
        <v>35559187815275</v>
      </c>
    </row>
    <row r="82" hidden="1">
      <c r="A82" s="2">
        <v>120</v>
      </c>
      <c r="B82" s="2" t="s">
        <v>158</v>
      </c>
      <c r="C82" s="2" t="s">
        <v>24</v>
      </c>
      <c r="D82" s="2" t="s">
        <v>102</v>
      </c>
      <c r="E82" s="2">
        <v>122</v>
      </c>
      <c r="F82" s="2" t="s">
        <v>54</v>
      </c>
      <c r="G82" s="2" t="s">
        <v>98</v>
      </c>
      <c r="H82" s="2">
        <v>30</v>
      </c>
      <c r="I82" s="3">
        <v>122</v>
      </c>
      <c r="J82" s="4">
        <v>314300000</v>
      </c>
      <c r="K82" s="5">
        <f t="shared" si="27"/>
        <v>123</v>
      </c>
      <c r="L82" s="9">
        <f t="shared" si="39"/>
        <v>514509100</v>
      </c>
      <c r="M82" s="3">
        <f t="shared" si="28"/>
        <v>124</v>
      </c>
      <c r="N82" s="10">
        <f t="shared" si="40"/>
        <v>900390925</v>
      </c>
      <c r="O82" s="5">
        <f t="shared" si="29"/>
        <v>126</v>
      </c>
      <c r="P82" s="9">
        <f t="shared" si="41"/>
        <v>1890820943</v>
      </c>
      <c r="Q82" s="3">
        <f t="shared" si="30"/>
        <v>128</v>
      </c>
      <c r="R82" s="10" t="n">
        <f>ROUND($J82*1.637*1.75*2.1*2.3*1,0)</f>
        <v>4348888168</v>
      </c>
      <c r="S82" s="5">
        <f t="shared" si="31"/>
        <v>130</v>
      </c>
      <c r="T82" s="9" t="n">
        <f>ROUND($J82*1.637*1.75*2.1*2.3*2.6*1,0)</f>
        <v>11307109236</v>
      </c>
      <c r="U82" s="3">
        <f t="shared" si="32"/>
        <v>133</v>
      </c>
      <c r="V82" s="10" t="n">
        <f>ROUND($J82*1.637*1.75*2.1*2.3*2.6*3.2*1,0)</f>
        <v>36182749556</v>
      </c>
      <c r="W82" s="5">
        <f t="shared" si="33"/>
        <v>137</v>
      </c>
      <c r="X82" s="9" t="n">
        <f>ROUND($J82*1.637*1.75*2.1*2.3*2.6*3.2*4.2*1,0)</f>
        <v>151967548134</v>
      </c>
      <c r="Y82" s="3">
        <f t="shared" si="34"/>
        <v>139</v>
      </c>
      <c r="Z82" s="10" t="n">
        <f>ROUND($J82*1.637*1.75*2.1*2.3*2.6*3.2*4.2*2.4*1,0)</f>
        <v>364722115521</v>
      </c>
      <c r="AA82" s="5">
        <f t="shared" si="35"/>
        <v>141</v>
      </c>
      <c r="AB82" s="9" t="n">
        <f>ROUND($J82*1.637*1.75*2.1*2.3*2.6*3.2*4.2*2.4*2.5*1,0)</f>
        <v>911805288803</v>
      </c>
      <c r="AC82" s="3">
        <f t="shared" si="36"/>
        <v>143</v>
      </c>
      <c r="AD82" s="10" t="n">
        <f>ROUND($J82*1.637*1.75*2.1*2.3*2.6*3.2*4.2*2.4*2.5*2.8*1,0)</f>
        <v>2553054808649</v>
      </c>
      <c r="AE82" s="5">
        <f t="shared" si="37"/>
        <v>146</v>
      </c>
      <c r="AF82" s="9" t="n">
        <f>ROUND($J82*1.637*1.75*2.1*2.3*2.6*3.2*4.2*2.4*2.5*2.8*3.2*1,0)</f>
        <v>8169775387676</v>
      </c>
      <c r="AG82" s="3">
        <f t="shared" si="38"/>
        <v>149</v>
      </c>
      <c r="AH82" s="10" t="n">
        <f>ROUND($J82*1.637*1.75*2.1*2.3*2.6*3.2*4.2*2.4*2.5*2.8*3.2*3.8*1,0)</f>
        <v>31045146473169</v>
      </c>
    </row>
    <row r="83" hidden="1">
      <c r="A83" s="2">
        <v>115</v>
      </c>
      <c r="B83" s="2" t="s">
        <v>159</v>
      </c>
      <c r="C83" s="2" t="s">
        <v>24</v>
      </c>
      <c r="D83" s="2" t="s">
        <v>25</v>
      </c>
      <c r="E83" s="2">
        <v>122</v>
      </c>
      <c r="F83" s="2" t="s">
        <v>42</v>
      </c>
      <c r="G83" s="2" t="s">
        <v>51</v>
      </c>
      <c r="H83" s="2">
        <v>31</v>
      </c>
      <c r="I83" s="3">
        <v>122</v>
      </c>
      <c r="J83" s="4">
        <v>2701000000</v>
      </c>
      <c r="K83" s="5">
        <f t="shared" si="27"/>
        <v>123</v>
      </c>
      <c r="L83" s="9">
        <f t="shared" si="39"/>
        <v>4421537000</v>
      </c>
      <c r="M83" s="3">
        <f t="shared" si="28"/>
        <v>124</v>
      </c>
      <c r="N83" s="10">
        <f t="shared" si="40"/>
        <v>7737689750</v>
      </c>
      <c r="O83" s="5">
        <f t="shared" si="29"/>
        <v>126</v>
      </c>
      <c r="P83" s="9">
        <f t="shared" si="41"/>
        <v>16249148475</v>
      </c>
      <c r="Q83" s="3">
        <f t="shared" si="30"/>
        <v>128</v>
      </c>
      <c r="R83" s="10" t="n">
        <f>ROUND($J83*1.637*1.75*2.1*2.3*1.25,0)</f>
        <v>46716301866</v>
      </c>
      <c r="S83" s="5">
        <f t="shared" si="31"/>
        <v>130</v>
      </c>
      <c r="T83" s="9" t="n">
        <f>ROUND($J83*1.637*1.75*2.1*2.3*2.6*1.25,0)</f>
        <v>121462384851</v>
      </c>
      <c r="U83" s="3">
        <f t="shared" si="32"/>
        <v>133</v>
      </c>
      <c r="V83" s="10" t="n">
        <f>ROUND($J83*1.637*1.75*2.1*2.3*2.6*3.2*1.25,0)</f>
        <v>388679631522</v>
      </c>
      <c r="W83" s="5">
        <f t="shared" si="33"/>
        <v>137</v>
      </c>
      <c r="X83" s="9" t="n">
        <f>ROUND($J83*1.637*1.75*2.1*2.3*2.6*3.2*4.2*1.25,0)</f>
        <v>1632454452392</v>
      </c>
      <c r="Y83" s="3">
        <f t="shared" si="34"/>
        <v>139</v>
      </c>
      <c r="Z83" s="10" t="n">
        <f>ROUND($J83*1.637*1.75*2.1*2.3*2.6*3.2*4.2*2.4*1.25,0)</f>
        <v>3917890685742</v>
      </c>
      <c r="AA83" s="5">
        <f t="shared" si="35"/>
        <v>141</v>
      </c>
      <c r="AB83" s="9" t="n">
        <f>ROUND($J83*1.637*1.75*2.1*2.3*2.6*3.2*4.2*2.4*2.5*1.25,0)</f>
        <v>9794726714354</v>
      </c>
      <c r="AC83" s="3">
        <f t="shared" si="36"/>
        <v>143</v>
      </c>
      <c r="AD83" s="10" t="n">
        <f>ROUND($J83*1.637*1.75*2.1*2.3*2.6*3.2*4.2*2.4*2.5*2.8*1.25,0)</f>
        <v>27425234800192</v>
      </c>
      <c r="AE83" s="5">
        <f t="shared" si="37"/>
        <v>146</v>
      </c>
      <c r="AF83" s="9" t="n">
        <f>ROUND($J83*1.637*1.75*2.1*2.3*2.6*3.2*4.2*2.4*2.5*2.8*3.2*1.25,0)</f>
        <v>87760751360615</v>
      </c>
      <c r="AG83" s="3">
        <f t="shared" si="38"/>
        <v>149</v>
      </c>
      <c r="AH83" s="10" t="n">
        <f>ROUND($J83*1.637*1.75*2.1*2.3*2.6*3.2*4.2*2.4*2.5*2.8*3.2*3.8*1.25,0)</f>
        <v>333490855170339</v>
      </c>
    </row>
    <row r="84" hidden="1">
      <c r="A84" s="2">
        <v>113</v>
      </c>
      <c r="B84" s="2" t="s">
        <v>160</v>
      </c>
      <c r="C84" s="2" t="s">
        <v>24</v>
      </c>
      <c r="D84" s="2" t="s">
        <v>40</v>
      </c>
      <c r="E84" s="2">
        <v>122</v>
      </c>
      <c r="F84" s="2" t="s">
        <v>54</v>
      </c>
      <c r="G84" s="2" t="s">
        <v>67</v>
      </c>
      <c r="H84" s="2">
        <v>31</v>
      </c>
      <c r="I84" s="3">
        <v>122</v>
      </c>
      <c r="J84" s="4">
        <v>4120000000</v>
      </c>
      <c r="K84" s="5">
        <f t="shared" si="27"/>
        <v>123</v>
      </c>
      <c r="L84" s="9">
        <f t="shared" si="39"/>
        <v>6744440000</v>
      </c>
      <c r="M84" s="3">
        <f t="shared" si="28"/>
        <v>124</v>
      </c>
      <c r="N84" s="10">
        <f t="shared" si="40"/>
        <v>11802770000</v>
      </c>
      <c r="O84" s="5">
        <f t="shared" si="29"/>
        <v>126</v>
      </c>
      <c r="P84" s="9">
        <f t="shared" si="41"/>
        <v>24785817000</v>
      </c>
      <c r="Q84" s="3">
        <f t="shared" si="30"/>
        <v>128</v>
      </c>
      <c r="R84" s="10" t="n">
        <f>ROUND($J84*1.637*1.75*2.1*2.3*1.25,0)</f>
        <v>71259223875</v>
      </c>
      <c r="S84" s="5">
        <f t="shared" si="31"/>
        <v>130</v>
      </c>
      <c r="T84" s="9" t="n">
        <f>ROUND($J84*1.637*1.75*2.1*2.3*2.6*1.25,0)</f>
        <v>185273982075</v>
      </c>
      <c r="U84" s="3">
        <f t="shared" si="32"/>
        <v>133</v>
      </c>
      <c r="V84" s="10" t="n">
        <f>ROUND($J84*1.637*1.75*2.1*2.3*2.6*3.2*1.25,0)</f>
        <v>592876742640</v>
      </c>
      <c r="W84" s="5">
        <f t="shared" si="33"/>
        <v>137</v>
      </c>
      <c r="X84" s="9" t="n">
        <f>ROUND($J84*1.637*1.75*2.1*2.3*2.6*3.2*4.2*1.25,0)</f>
        <v>2490082319088</v>
      </c>
      <c r="Y84" s="3">
        <f t="shared" si="34"/>
        <v>139</v>
      </c>
      <c r="Z84" s="10" t="n">
        <f>ROUND($J84*1.637*1.75*2.1*2.3*2.6*3.2*4.2*2.4*1.25,0)</f>
        <v>5976197565811</v>
      </c>
      <c r="AA84" s="5">
        <f t="shared" si="35"/>
        <v>141</v>
      </c>
      <c r="AB84" s="9" t="n">
        <f>ROUND($J84*1.637*1.75*2.1*2.3*2.6*3.2*4.2*2.4*2.5*1.25,0)</f>
        <v>14940493914528</v>
      </c>
      <c r="AC84" s="3">
        <f t="shared" si="36"/>
        <v>143</v>
      </c>
      <c r="AD84" s="10" t="n">
        <f>ROUND($J84*1.637*1.75*2.1*2.3*2.6*3.2*4.2*2.4*2.5*2.8*1.25,0)</f>
        <v>41833382960678</v>
      </c>
      <c r="AE84" s="5">
        <f t="shared" si="37"/>
        <v>146</v>
      </c>
      <c r="AF84" s="9" t="n">
        <f>ROUND($J84*1.637*1.75*2.1*2.3*2.6*3.2*4.2*2.4*2.5*2.8*3.2*1.25,0)</f>
        <v>133866825474171</v>
      </c>
      <c r="AG84" s="3">
        <f t="shared" si="38"/>
        <v>149</v>
      </c>
      <c r="AH84" s="10" t="n">
        <f>ROUND($J84*1.637*1.75*2.1*2.3*2.6*3.2*4.2*2.4*2.5*2.8*3.2*3.8*1.25,0)</f>
        <v>508693936801849</v>
      </c>
    </row>
    <row r="85" hidden="1">
      <c r="A85" s="2">
        <v>110</v>
      </c>
      <c r="B85" s="2" t="s">
        <v>161</v>
      </c>
      <c r="C85" s="2" t="s">
        <v>24</v>
      </c>
      <c r="D85" s="2" t="s">
        <v>79</v>
      </c>
      <c r="E85" s="2">
        <v>122</v>
      </c>
      <c r="F85" s="2" t="s">
        <v>54</v>
      </c>
      <c r="G85" s="2" t="s">
        <v>35</v>
      </c>
      <c r="H85" s="2">
        <v>31</v>
      </c>
      <c r="I85" s="3">
        <v>122</v>
      </c>
      <c r="J85" s="4">
        <v>681000000</v>
      </c>
      <c r="K85" s="5">
        <f t="shared" si="27"/>
        <v>123</v>
      </c>
      <c r="L85" s="9">
        <f t="shared" si="39"/>
        <v>1114797000</v>
      </c>
      <c r="M85" s="3">
        <f t="shared" si="28"/>
        <v>124</v>
      </c>
      <c r="N85" s="10">
        <f t="shared" si="40"/>
        <v>1950894750</v>
      </c>
      <c r="O85" s="5">
        <f t="shared" si="29"/>
        <v>126</v>
      </c>
      <c r="P85" s="9">
        <f t="shared" si="41"/>
        <v>4096878975</v>
      </c>
      <c r="Q85" s="3">
        <f t="shared" si="30"/>
        <v>128</v>
      </c>
      <c r="R85" s="10" t="n">
        <f>ROUND($J85*1.637*1.75*2.1*2.3*1,0)</f>
        <v>9422821643</v>
      </c>
      <c r="S85" s="5">
        <f t="shared" si="31"/>
        <v>130</v>
      </c>
      <c r="T85" s="9" t="n">
        <f>ROUND($J85*1.637*1.75*2.1*2.3*2.6*1,0)</f>
        <v>24499336271</v>
      </c>
      <c r="U85" s="3">
        <f t="shared" si="32"/>
        <v>133</v>
      </c>
      <c r="V85" s="10" t="n">
        <f>ROUND($J85*1.637*1.75*2.1*2.3*2.6*3.2*1,0)</f>
        <v>78397876066</v>
      </c>
      <c r="W85" s="5">
        <f t="shared" si="33"/>
        <v>137</v>
      </c>
      <c r="X85" s="9" t="n">
        <f>ROUND($J85*1.637*1.75*2.1*2.3*2.6*3.2*4.2*1,0)</f>
        <v>329271079476</v>
      </c>
      <c r="Y85" s="3">
        <f t="shared" si="34"/>
        <v>139</v>
      </c>
      <c r="Z85" s="10" t="n">
        <f>ROUND($J85*1.637*1.75*2.1*2.3*2.6*3.2*4.2*2.4*1,0)</f>
        <v>790250590741</v>
      </c>
      <c r="AA85" s="5">
        <f t="shared" si="35"/>
        <v>141</v>
      </c>
      <c r="AB85" s="9" t="n">
        <f>ROUND($J85*1.637*1.75*2.1*2.3*2.6*3.2*4.2*2.4*2.5*1,0)</f>
        <v>1975626476853</v>
      </c>
      <c r="AC85" s="3">
        <f t="shared" si="36"/>
        <v>143</v>
      </c>
      <c r="AD85" s="10" t="n">
        <f>ROUND($J85*1.637*1.75*2.1*2.3*2.6*3.2*4.2*2.4*2.5*2.8*1,0)</f>
        <v>5531754135189</v>
      </c>
      <c r="AE85" s="5">
        <f t="shared" si="37"/>
        <v>146</v>
      </c>
      <c r="AF85" s="9" t="n">
        <f>ROUND($J85*1.637*1.75*2.1*2.3*2.6*3.2*4.2*2.4*2.5*2.8*3.2*1,0)</f>
        <v>17701613232604</v>
      </c>
      <c r="AG85" s="3">
        <f t="shared" si="38"/>
        <v>149</v>
      </c>
      <c r="AH85" s="10" t="n">
        <f>ROUND($J85*1.637*1.75*2.1*2.3*2.6*3.2*4.2*2.4*2.5*2.8*3.2*3.8*1,0)</f>
        <v>67266130283895</v>
      </c>
    </row>
    <row r="86" hidden="1">
      <c r="A86" s="2">
        <v>118</v>
      </c>
      <c r="B86" s="2" t="s">
        <v>162</v>
      </c>
      <c r="C86" s="2" t="s">
        <v>24</v>
      </c>
      <c r="D86" s="2" t="s">
        <v>33</v>
      </c>
      <c r="E86" s="2">
        <v>122</v>
      </c>
      <c r="F86" s="2" t="s">
        <v>71</v>
      </c>
      <c r="G86" s="2" t="s">
        <v>38</v>
      </c>
      <c r="H86" s="2">
        <v>30</v>
      </c>
      <c r="I86" s="3">
        <v>122</v>
      </c>
      <c r="J86" s="4">
        <v>288000000</v>
      </c>
      <c r="K86" s="5">
        <f t="shared" si="27"/>
        <v>123</v>
      </c>
      <c r="L86" s="9">
        <f t="shared" si="39"/>
        <v>471456000</v>
      </c>
      <c r="M86" s="3">
        <f t="shared" si="28"/>
        <v>124</v>
      </c>
      <c r="N86" s="10">
        <f t="shared" si="40"/>
        <v>825048000</v>
      </c>
      <c r="O86" s="5">
        <f t="shared" si="29"/>
        <v>126</v>
      </c>
      <c r="P86" s="9">
        <f t="shared" si="41"/>
        <v>1732600800</v>
      </c>
      <c r="Q86" s="3">
        <f t="shared" si="30"/>
        <v>128</v>
      </c>
      <c r="R86" s="10" t="n">
        <f>ROUND($J86*1.637*1.75*2.1*2.3*1,0)</f>
        <v>3984981840</v>
      </c>
      <c r="S86" s="5">
        <f t="shared" si="31"/>
        <v>130</v>
      </c>
      <c r="T86" s="9" t="n">
        <f>ROUND($J86*1.637*1.75*2.1*2.3*2.6*1,0)</f>
        <v>10360952784</v>
      </c>
      <c r="U86" s="3">
        <f t="shared" si="32"/>
        <v>133</v>
      </c>
      <c r="V86" s="10" t="n">
        <f>ROUND($J86*1.637*1.75*2.1*2.3*2.6*3.2*1,0)</f>
        <v>33155048909</v>
      </c>
      <c r="W86" s="5">
        <f t="shared" si="33"/>
        <v>137</v>
      </c>
      <c r="X86" s="9" t="n">
        <f>ROUND($J86*1.637*1.75*2.1*2.3*2.6*3.2*4.2*1,0)</f>
        <v>139251205417</v>
      </c>
      <c r="Y86" s="3">
        <f t="shared" si="34"/>
        <v>139</v>
      </c>
      <c r="Z86" s="10" t="n">
        <f>ROUND($J86*1.637*1.75*2.1*2.3*2.6*3.2*4.2*2.4*1,0)</f>
        <v>334202893001</v>
      </c>
      <c r="AA86" s="5">
        <f t="shared" si="35"/>
        <v>141</v>
      </c>
      <c r="AB86" s="9" t="n">
        <f>ROUND($J86*1.637*1.75*2.1*2.3*2.6*3.2*4.2*2.4*2.5*1,0)</f>
        <v>835507232502</v>
      </c>
      <c r="AC86" s="3">
        <f t="shared" si="36"/>
        <v>143</v>
      </c>
      <c r="AD86" s="10" t="n">
        <f>ROUND($J86*1.637*1.75*2.1*2.3*2.6*3.2*4.2*2.4*2.5*2.8*1,0)</f>
        <v>2339420251005</v>
      </c>
      <c r="AE86" s="5">
        <f t="shared" si="37"/>
        <v>146</v>
      </c>
      <c r="AF86" s="9" t="n">
        <f>ROUND($J86*1.637*1.75*2.1*2.3*2.6*3.2*4.2*2.4*2.5*2.8*3.2*1,0)</f>
        <v>7486144803216</v>
      </c>
      <c r="AG86" s="3">
        <f t="shared" si="38"/>
        <v>149</v>
      </c>
      <c r="AH86" s="10" t="n">
        <f>ROUND($J86*1.637*1.75*2.1*2.3*2.6*3.2*4.2*2.4*2.5*2.8*3.2*3.8*1,0)</f>
        <v>28447350252220</v>
      </c>
    </row>
    <row r="87" hidden="1">
      <c r="A87" s="2">
        <v>37</v>
      </c>
      <c r="B87" s="2" t="s">
        <v>163</v>
      </c>
      <c r="C87" s="2" t="s">
        <v>24</v>
      </c>
      <c r="D87" s="2" t="s">
        <v>40</v>
      </c>
      <c r="E87" s="2">
        <v>122</v>
      </c>
      <c r="F87" s="2" t="s">
        <v>71</v>
      </c>
      <c r="G87" s="2" t="s">
        <v>133</v>
      </c>
      <c r="H87" s="2">
        <v>32</v>
      </c>
      <c r="I87" s="3">
        <v>122</v>
      </c>
      <c r="J87" s="4">
        <v>2200000000</v>
      </c>
      <c r="K87" s="5">
        <f t="shared" si="27"/>
        <v>123</v>
      </c>
      <c r="L87" s="9">
        <f t="shared" si="39"/>
        <v>3601400000</v>
      </c>
      <c r="M87" s="3">
        <f t="shared" si="28"/>
        <v>124</v>
      </c>
      <c r="N87" s="10">
        <f t="shared" si="40"/>
        <v>6302450000</v>
      </c>
      <c r="O87" s="5">
        <f t="shared" si="29"/>
        <v>126</v>
      </c>
      <c r="P87" s="9">
        <f t="shared" si="41"/>
        <v>13235145000</v>
      </c>
      <c r="Q87" s="3">
        <f t="shared" si="30"/>
        <v>128</v>
      </c>
      <c r="R87" s="10" t="n">
        <f>ROUND($J87*1.637*1.75*2.1*2.3*1.25,0)</f>
        <v>38051041875</v>
      </c>
      <c r="S87" s="5">
        <f t="shared" si="31"/>
        <v>130</v>
      </c>
      <c r="T87" s="9" t="n">
        <f>ROUND($J87*1.637*1.75*2.1*2.3*2.6*1.25,0)</f>
        <v>98932708875</v>
      </c>
      <c r="U87" s="3">
        <f t="shared" si="32"/>
        <v>133</v>
      </c>
      <c r="V87" s="10" t="n">
        <f>ROUND($J87*1.637*1.75*2.1*2.3*2.6*3.2*1.25,0)</f>
        <v>316584668400</v>
      </c>
      <c r="W87" s="5">
        <f t="shared" si="33"/>
        <v>137</v>
      </c>
      <c r="X87" s="9" t="n">
        <f>ROUND($J87*1.637*1.75*2.1*2.3*2.6*3.2*4.2*1.25,0)</f>
        <v>1329655607280</v>
      </c>
      <c r="Y87" s="3">
        <f t="shared" si="34"/>
        <v>139</v>
      </c>
      <c r="Z87" s="10" t="n">
        <f>ROUND($J87*1.637*1.75*2.1*2.3*2.6*3.2*4.2*2.4*1.25,0)</f>
        <v>3191173457472</v>
      </c>
      <c r="AA87" s="5">
        <f t="shared" si="35"/>
        <v>141</v>
      </c>
      <c r="AB87" s="9" t="n">
        <f>ROUND($J87*1.637*1.75*2.1*2.3*2.6*3.2*4.2*2.4*2.5*1.25,0)</f>
        <v>7977933643680</v>
      </c>
      <c r="AC87" s="3">
        <f t="shared" si="36"/>
        <v>143</v>
      </c>
      <c r="AD87" s="10" t="n">
        <f>ROUND($J87*1.637*1.75*2.1*2.3*2.6*3.2*4.2*2.4*2.5*2.8*1.25,0)</f>
        <v>22338214202304</v>
      </c>
      <c r="AE87" s="5">
        <f t="shared" si="37"/>
        <v>146</v>
      </c>
      <c r="AF87" s="9" t="n">
        <f>ROUND($J87*1.637*1.75*2.1*2.3*2.6*3.2*4.2*2.4*2.5*2.8*3.2*1.25,0)</f>
        <v>71482285447373</v>
      </c>
      <c r="AG87" s="3">
        <f t="shared" si="38"/>
        <v>149</v>
      </c>
      <c r="AH87" s="10" t="n">
        <f>ROUND($J87*1.637*1.75*2.1*2.3*2.6*3.2*4.2*2.4*2.5*2.8*3.2*3.8*1.25,0)</f>
        <v>271632684700017</v>
      </c>
    </row>
    <row r="88" hidden="1">
      <c r="A88" s="2">
        <v>108</v>
      </c>
      <c r="B88" s="2" t="s">
        <v>164</v>
      </c>
      <c r="C88" s="2" t="s">
        <v>24</v>
      </c>
      <c r="D88" s="2" t="s">
        <v>165</v>
      </c>
      <c r="E88" s="2">
        <v>122</v>
      </c>
      <c r="F88" s="2" t="s">
        <v>132</v>
      </c>
      <c r="G88" s="2" t="s">
        <v>38</v>
      </c>
      <c r="H88" s="2">
        <v>31</v>
      </c>
      <c r="I88" s="3">
        <v>122</v>
      </c>
      <c r="J88" s="4">
        <v>2240000000</v>
      </c>
      <c r="K88" s="5">
        <f t="shared" si="27"/>
        <v>123</v>
      </c>
      <c r="L88" s="9">
        <f t="shared" si="39"/>
        <v>3666880000</v>
      </c>
      <c r="M88" s="3">
        <f t="shared" si="28"/>
        <v>124</v>
      </c>
      <c r="N88" s="10">
        <f t="shared" si="40"/>
        <v>6417040000</v>
      </c>
      <c r="O88" s="5">
        <f t="shared" si="29"/>
        <v>126</v>
      </c>
      <c r="P88" s="9">
        <f t="shared" si="41"/>
        <v>13475784000</v>
      </c>
      <c r="Q88" s="3">
        <f t="shared" si="30"/>
        <v>128</v>
      </c>
      <c r="R88" s="10" t="n">
        <f>ROUND($J88*1.637*1.75*2.1*2.3*1.25,0)</f>
        <v>38742879000</v>
      </c>
      <c r="S88" s="5">
        <f t="shared" si="31"/>
        <v>130</v>
      </c>
      <c r="T88" s="9" t="n">
        <f>ROUND($J88*1.637*1.75*2.1*2.3*2.6*1.25,0)</f>
        <v>100731485400</v>
      </c>
      <c r="U88" s="3">
        <f t="shared" si="32"/>
        <v>133</v>
      </c>
      <c r="V88" s="10" t="n">
        <f>ROUND($J88*1.637*1.75*2.1*2.3*2.6*3.2*1.25,0)</f>
        <v>322340753280</v>
      </c>
      <c r="W88" s="5">
        <f t="shared" si="33"/>
        <v>137</v>
      </c>
      <c r="X88" s="9" t="n">
        <f>ROUND($J88*1.637*1.75*2.1*2.3*2.6*3.2*4.2*1.25,0)</f>
        <v>1353831163776</v>
      </c>
      <c r="Y88" s="3">
        <f t="shared" si="34"/>
        <v>139</v>
      </c>
      <c r="Z88" s="10" t="n">
        <f>ROUND($J88*1.637*1.75*2.1*2.3*2.6*3.2*4.2*2.4*1.25,0)</f>
        <v>3249194793062</v>
      </c>
      <c r="AA88" s="5">
        <f t="shared" si="35"/>
        <v>141</v>
      </c>
      <c r="AB88" s="9" t="n">
        <f>ROUND($J88*1.637*1.75*2.1*2.3*2.6*3.2*4.2*2.4*2.5*1.25,0)</f>
        <v>8122986982656</v>
      </c>
      <c r="AC88" s="3">
        <f t="shared" si="36"/>
        <v>143</v>
      </c>
      <c r="AD88" s="10" t="n">
        <f>ROUND($J88*1.637*1.75*2.1*2.3*2.6*3.2*4.2*2.4*2.5*2.8*1.25,0)</f>
        <v>22744363551437</v>
      </c>
      <c r="AE88" s="5">
        <f t="shared" si="37"/>
        <v>146</v>
      </c>
      <c r="AF88" s="9" t="n">
        <f>ROUND($J88*1.637*1.75*2.1*2.3*2.6*3.2*4.2*2.4*2.5*2.8*3.2*1.25,0)</f>
        <v>72781963364598</v>
      </c>
      <c r="AG88" s="3">
        <f t="shared" si="38"/>
        <v>149</v>
      </c>
      <c r="AH88" s="10" t="n">
        <f>ROUND($J88*1.637*1.75*2.1*2.3*2.6*3.2*4.2*2.4*2.5*2.8*3.2*3.8*1.25,0)</f>
        <v>276571460785471</v>
      </c>
    </row>
    <row r="89" hidden="1">
      <c r="A89" s="2">
        <v>111</v>
      </c>
      <c r="B89" s="2" t="s">
        <v>166</v>
      </c>
      <c r="C89" s="2" t="s">
        <v>24</v>
      </c>
      <c r="D89" s="2" t="s">
        <v>33</v>
      </c>
      <c r="E89" s="2">
        <v>122</v>
      </c>
      <c r="F89" s="2" t="s">
        <v>62</v>
      </c>
      <c r="G89" s="2" t="s">
        <v>67</v>
      </c>
      <c r="H89" s="2">
        <v>31</v>
      </c>
      <c r="I89" s="3">
        <v>122</v>
      </c>
      <c r="J89" s="4">
        <v>511200000</v>
      </c>
      <c r="K89" s="5">
        <f t="shared" si="27"/>
        <v>123</v>
      </c>
      <c r="L89" s="9">
        <f t="shared" si="39"/>
        <v>836834400</v>
      </c>
      <c r="M89" s="3">
        <f t="shared" si="28"/>
        <v>124</v>
      </c>
      <c r="N89" s="10">
        <f t="shared" si="40"/>
        <v>1464460200</v>
      </c>
      <c r="O89" s="5">
        <f t="shared" si="29"/>
        <v>126</v>
      </c>
      <c r="P89" s="9">
        <f t="shared" si="41"/>
        <v>3075366420</v>
      </c>
      <c r="Q89" s="3">
        <f t="shared" si="30"/>
        <v>128</v>
      </c>
      <c r="R89" s="10" t="n">
        <f>ROUND($J89*1.637*1.75*2.1*2.3*1,0)</f>
        <v>7073342766</v>
      </c>
      <c r="S89" s="5">
        <f t="shared" si="31"/>
        <v>130</v>
      </c>
      <c r="T89" s="9" t="n">
        <f>ROUND($J89*1.637*1.75*2.1*2.3*2.6*1,0)</f>
        <v>18390691192</v>
      </c>
      <c r="U89" s="3">
        <f t="shared" si="32"/>
        <v>133</v>
      </c>
      <c r="V89" s="10" t="n">
        <f>ROUND($J89*1.637*1.75*2.1*2.3*2.6*3.2*1,0)</f>
        <v>58850211813</v>
      </c>
      <c r="W89" s="5">
        <f t="shared" si="33"/>
        <v>137</v>
      </c>
      <c r="X89" s="9" t="n">
        <f>ROUND($J89*1.637*1.75*2.1*2.3*2.6*3.2*4.2*1,0)</f>
        <v>247170889615</v>
      </c>
      <c r="Y89" s="3">
        <f t="shared" si="34"/>
        <v>139</v>
      </c>
      <c r="Z89" s="10" t="n">
        <f>ROUND($J89*1.637*1.75*2.1*2.3*2.6*3.2*4.2*2.4*1,0)</f>
        <v>593210135076</v>
      </c>
      <c r="AA89" s="5">
        <f t="shared" si="35"/>
        <v>141</v>
      </c>
      <c r="AB89" s="9" t="n">
        <f>ROUND($J89*1.637*1.75*2.1*2.3*2.6*3.2*4.2*2.4*2.5*1,0)</f>
        <v>1483025337691</v>
      </c>
      <c r="AC89" s="3">
        <f t="shared" si="36"/>
        <v>143</v>
      </c>
      <c r="AD89" s="10" t="n">
        <f>ROUND($J89*1.637*1.75*2.1*2.3*2.6*3.2*4.2*2.4*2.5*2.8*1,0)</f>
        <v>4152470945534</v>
      </c>
      <c r="AE89" s="5">
        <f t="shared" si="37"/>
        <v>146</v>
      </c>
      <c r="AF89" s="9" t="n">
        <f>ROUND($J89*1.637*1.75*2.1*2.3*2.6*3.2*4.2*2.4*2.5*2.8*3.2*1,0)</f>
        <v>13287907025708</v>
      </c>
      <c r="AG89" s="3">
        <f t="shared" si="38"/>
        <v>149</v>
      </c>
      <c r="AH89" s="10" t="n">
        <f>ROUND($J89*1.637*1.75*2.1*2.3*2.6*3.2*4.2*2.4*2.5*2.8*3.2*3.8*1,0)</f>
        <v>50494046697690</v>
      </c>
    </row>
    <row r="90" hidden="1">
      <c r="A90" s="2">
        <v>109</v>
      </c>
      <c r="B90" s="2" t="s">
        <v>167</v>
      </c>
      <c r="C90" s="2" t="s">
        <v>24</v>
      </c>
      <c r="D90" s="2" t="s">
        <v>25</v>
      </c>
      <c r="E90" s="2">
        <v>122</v>
      </c>
      <c r="F90" s="2" t="s">
        <v>168</v>
      </c>
      <c r="G90" s="2" t="s">
        <v>169</v>
      </c>
      <c r="H90" s="2">
        <v>31</v>
      </c>
      <c r="I90" s="3">
        <v>122</v>
      </c>
      <c r="J90" s="4">
        <v>574000000</v>
      </c>
      <c r="K90" s="5">
        <f t="shared" si="27"/>
        <v>123</v>
      </c>
      <c r="L90" s="9">
        <f t="shared" si="39"/>
        <v>939638000</v>
      </c>
      <c r="M90" s="3">
        <f t="shared" si="28"/>
        <v>124</v>
      </c>
      <c r="N90" s="10">
        <f t="shared" si="40"/>
        <v>1644366500</v>
      </c>
      <c r="O90" s="5">
        <f t="shared" si="29"/>
        <v>126</v>
      </c>
      <c r="P90" s="9">
        <f t="shared" si="41"/>
        <v>3453169650</v>
      </c>
      <c r="Q90" s="3">
        <f t="shared" si="30"/>
        <v>128</v>
      </c>
      <c r="R90" s="10" t="n">
        <f>ROUND($J90*1.637*1.75*2.1*2.3*1,0)</f>
        <v>7942290195</v>
      </c>
      <c r="S90" s="5">
        <f t="shared" si="31"/>
        <v>130</v>
      </c>
      <c r="T90" s="9" t="n">
        <f>ROUND($J90*1.637*1.75*2.1*2.3*2.6*1,0)</f>
        <v>20649954507</v>
      </c>
      <c r="U90" s="3">
        <f t="shared" si="32"/>
        <v>133</v>
      </c>
      <c r="V90" s="10" t="n">
        <f>ROUND($J90*1.637*1.75*2.1*2.3*2.6*3.2*1,0)</f>
        <v>66079854422</v>
      </c>
      <c r="W90" s="5">
        <f t="shared" si="33"/>
        <v>137</v>
      </c>
      <c r="X90" s="9" t="n">
        <f>ROUND($J90*1.637*1.75*2.1*2.3*2.6*3.2*4.2*1,0)</f>
        <v>277535388574</v>
      </c>
      <c r="Y90" s="3">
        <f t="shared" si="34"/>
        <v>139</v>
      </c>
      <c r="Z90" s="10" t="n">
        <f>ROUND($J90*1.637*1.75*2.1*2.3*2.6*3.2*4.2*2.4*1,0)</f>
        <v>666084932578</v>
      </c>
      <c r="AA90" s="5">
        <f t="shared" si="35"/>
        <v>141</v>
      </c>
      <c r="AB90" s="9" t="n">
        <f>ROUND($J90*1.637*1.75*2.1*2.3*2.6*3.2*4.2*2.4*2.5*1,0)</f>
        <v>1665212331444</v>
      </c>
      <c r="AC90" s="3">
        <f t="shared" si="36"/>
        <v>143</v>
      </c>
      <c r="AD90" s="10" t="n">
        <f>ROUND($J90*1.637*1.75*2.1*2.3*2.6*3.2*4.2*2.4*2.5*2.8*1,0)</f>
        <v>4662594528045</v>
      </c>
      <c r="AE90" s="5">
        <f t="shared" si="37"/>
        <v>146</v>
      </c>
      <c r="AF90" s="9" t="n">
        <f>ROUND($J90*1.637*1.75*2.1*2.3*2.6*3.2*4.2*2.4*2.5*2.8*3.2*1,0)</f>
        <v>14920302489743</v>
      </c>
      <c r="AG90" s="3">
        <f t="shared" si="38"/>
        <v>149</v>
      </c>
      <c r="AH90" s="10" t="n">
        <f>ROUND($J90*1.637*1.75*2.1*2.3*2.6*3.2*4.2*2.4*2.5*2.8*3.2*3.8*1,0)</f>
        <v>56697149461022</v>
      </c>
    </row>
    <row r="91" hidden="1">
      <c r="A91" s="2">
        <v>106</v>
      </c>
      <c r="B91" s="2" t="s">
        <v>170</v>
      </c>
      <c r="C91" s="2" t="s">
        <v>24</v>
      </c>
      <c r="D91" s="2" t="s">
        <v>40</v>
      </c>
      <c r="E91" s="2">
        <v>122</v>
      </c>
      <c r="F91" s="2" t="s">
        <v>56</v>
      </c>
      <c r="G91" s="2" t="s">
        <v>171</v>
      </c>
      <c r="H91" s="2">
        <v>31</v>
      </c>
      <c r="I91" s="3">
        <v>122</v>
      </c>
      <c r="J91" s="4">
        <v>183000000</v>
      </c>
      <c r="K91" s="5">
        <f t="shared" si="27"/>
        <v>123</v>
      </c>
      <c r="L91" s="9" t="n">
        <f>ROUND($J91*1.637*0.8,0)</f>
        <v>239656800</v>
      </c>
      <c r="M91" s="3">
        <f t="shared" si="28"/>
        <v>124</v>
      </c>
      <c r="N91" s="10" t="n">
        <f>ROUND($J91*1.637*1.75*0.8,0)</f>
        <v>419399400</v>
      </c>
      <c r="O91" s="5">
        <f t="shared" si="29"/>
        <v>126</v>
      </c>
      <c r="P91" s="9" t="n">
        <f>ROUND($J91*1.637*1.75*2.1*0.8,0)</f>
        <v>880738740</v>
      </c>
      <c r="Q91" s="3">
        <f t="shared" si="30"/>
        <v>128</v>
      </c>
      <c r="R91" s="10" t="n">
        <f>ROUND($J91*1.637*1.75*2.1*2.3*0.542035092435954,0)</f>
        <v>1372500000</v>
      </c>
      <c r="S91" s="5">
        <f t="shared" si="31"/>
        <v>130</v>
      </c>
      <c r="T91" s="9" t="n">
        <f>ROUND($J91*1.637*1.75*2.1*2.3*2.6*0.544690061623969,0)</f>
        <v>3585979048</v>
      </c>
      <c r="U91" s="3">
        <f t="shared" si="32"/>
        <v>133</v>
      </c>
      <c r="V91" s="10" t="n">
        <f>ROUND($J91*1.637*1.75*2.1*2.3*2.6*3.2*0.547345030811984,0)</f>
        <v>11531065909</v>
      </c>
      <c r="W91" s="5">
        <f t="shared" si="33"/>
        <v>137</v>
      </c>
      <c r="X91" s="9" t="n">
        <f>ROUND($J91*1.637*1.75*2.1*2.3*2.6*3.2*4.2*0.55,0)</f>
        <v>48665395226</v>
      </c>
      <c r="Y91" s="3">
        <f t="shared" si="34"/>
        <v>139</v>
      </c>
      <c r="Z91" s="10" t="n">
        <f>ROUND($J91*1.637*1.75*2.1*2.3*2.6*3.2*4.2*2.4*0.55,0)</f>
        <v>116796948543</v>
      </c>
      <c r="AA91" s="5">
        <f t="shared" si="35"/>
        <v>141</v>
      </c>
      <c r="AB91" s="9" t="n">
        <f>ROUND($J91*1.637*1.75*2.1*2.3*2.6*3.2*4.2*2.4*2.5*0.55,0)</f>
        <v>291992371359</v>
      </c>
      <c r="AC91" s="3">
        <f t="shared" si="36"/>
        <v>143</v>
      </c>
      <c r="AD91" s="10" t="n">
        <f>ROUND($J91*1.637*1.75*2.1*2.3*2.6*3.2*4.2*2.4*2.5*2.8*0.55,0)</f>
        <v>817578639804</v>
      </c>
      <c r="AE91" s="5">
        <f t="shared" si="37"/>
        <v>146</v>
      </c>
      <c r="AF91" s="9" t="n">
        <f>ROUND($J91*1.637*1.75*2.1*2.3*2.6*3.2*4.2*2.4*2.5*2.8*3.2*0.55,0)</f>
        <v>2616251647374</v>
      </c>
      <c r="AG91" s="3">
        <f t="shared" si="38"/>
        <v>149</v>
      </c>
      <c r="AH91" s="10" t="n">
        <f>ROUND($J91*1.637*1.75*2.1*2.3*2.6*3.2*4.2*2.4*2.5*2.8*3.2*3.8*0.55,0)</f>
        <v>9941756260021</v>
      </c>
    </row>
    <row r="92" hidden="1">
      <c r="A92" s="2">
        <v>112</v>
      </c>
      <c r="B92" s="2" t="s">
        <v>172</v>
      </c>
      <c r="C92" s="2" t="s">
        <v>24</v>
      </c>
      <c r="D92" s="2" t="s">
        <v>40</v>
      </c>
      <c r="E92" s="2">
        <v>122</v>
      </c>
      <c r="F92" s="2" t="s">
        <v>26</v>
      </c>
      <c r="G92" s="2" t="s">
        <v>51</v>
      </c>
      <c r="H92" s="2">
        <v>31</v>
      </c>
      <c r="I92" s="3">
        <v>122</v>
      </c>
      <c r="J92" s="4">
        <v>630000000</v>
      </c>
      <c r="K92" s="5">
        <f t="shared" si="27"/>
        <v>123</v>
      </c>
      <c r="L92" s="9" t="n">
        <f>ROUND($J92*1.637*1,0)</f>
        <v>1031310000</v>
      </c>
      <c r="M92" s="3">
        <f t="shared" si="28"/>
        <v>124</v>
      </c>
      <c r="N92" s="10" t="n">
        <f>ROUND($J92*1.637*1.75*1,0)</f>
        <v>1804792500</v>
      </c>
      <c r="O92" s="5">
        <f t="shared" si="29"/>
        <v>126</v>
      </c>
      <c r="P92" s="9" t="n">
        <f>ROUND($J92*1.637*1.75*2.1*1,0)</f>
        <v>3790064250</v>
      </c>
      <c r="Q92" s="3">
        <f t="shared" si="30"/>
        <v>128</v>
      </c>
      <c r="R92" s="10" t="n">
        <f>ROUND($J92*1.637*1.75*2.1*2.3*1,0)</f>
        <v>8717147775</v>
      </c>
      <c r="S92" s="5">
        <f t="shared" si="31"/>
        <v>130</v>
      </c>
      <c r="T92" s="9" t="n">
        <f>ROUND($J92*1.637*1.75*2.1*2.3*2.6*1,0)</f>
        <v>22664584215</v>
      </c>
      <c r="U92" s="3">
        <f t="shared" si="32"/>
        <v>133</v>
      </c>
      <c r="V92" s="10" t="n">
        <f>ROUND($J92*1.637*1.75*2.1*2.3*2.6*3.2*1,0)</f>
        <v>72526669488</v>
      </c>
      <c r="W92" s="5">
        <f t="shared" si="33"/>
        <v>137</v>
      </c>
      <c r="X92" s="9" t="n">
        <f>ROUND($J92*1.637*1.75*2.1*2.3*2.6*3.2*4.2*1,0)</f>
        <v>304612011850</v>
      </c>
      <c r="Y92" s="3">
        <f t="shared" si="34"/>
        <v>139</v>
      </c>
      <c r="Z92" s="10" t="n">
        <f>ROUND($J92*1.637*1.75*2.1*2.3*2.6*3.2*4.2*2.4*1,0)</f>
        <v>731068828439</v>
      </c>
      <c r="AA92" s="5">
        <f t="shared" si="35"/>
        <v>141</v>
      </c>
      <c r="AB92" s="9" t="n">
        <f>ROUND($J92*1.637*1.75*2.1*2.3*2.6*3.2*4.2*2.4*2.5*1,0)</f>
        <v>1827672071098</v>
      </c>
      <c r="AC92" s="3">
        <f t="shared" si="36"/>
        <v>143</v>
      </c>
      <c r="AD92" s="10" t="n">
        <f>ROUND($J92*1.637*1.75*2.1*2.3*2.6*3.2*4.2*2.4*2.5*2.8*1,0)</f>
        <v>5117481799073</v>
      </c>
      <c r="AE92" s="5">
        <f t="shared" si="37"/>
        <v>146</v>
      </c>
      <c r="AF92" s="9" t="n">
        <f>ROUND($J92*1.637*1.75*2.1*2.3*2.6*3.2*4.2*2.4*2.5*2.8*3.2*1,0)</f>
        <v>16375941757035</v>
      </c>
      <c r="AG92" s="3">
        <f t="shared" si="38"/>
        <v>149</v>
      </c>
      <c r="AH92" s="10" t="n">
        <f>ROUND($J92*1.637*1.75*2.1*2.3*2.6*3.2*4.2*2.4*2.5*2.8*3.2*3.8*1,0)</f>
        <v>62228578676731</v>
      </c>
    </row>
    <row r="93" hidden="1">
      <c r="A93" s="2">
        <v>114</v>
      </c>
      <c r="B93" s="2" t="s">
        <v>173</v>
      </c>
      <c r="C93" s="2" t="s">
        <v>24</v>
      </c>
      <c r="D93" s="2" t="s">
        <v>64</v>
      </c>
      <c r="E93" s="2">
        <v>122</v>
      </c>
      <c r="F93" s="2" t="s">
        <v>174</v>
      </c>
      <c r="G93" s="2" t="s">
        <v>72</v>
      </c>
      <c r="H93" s="2">
        <v>31</v>
      </c>
      <c r="I93" s="3">
        <v>122</v>
      </c>
      <c r="J93" s="4">
        <v>254000000</v>
      </c>
      <c r="K93" s="5">
        <f t="shared" si="27"/>
        <v>123</v>
      </c>
      <c r="L93" s="9" t="n">
        <f>ROUND($J93*1.637*0.8,0)</f>
        <v>332638400</v>
      </c>
      <c r="M93" s="3">
        <f t="shared" si="28"/>
        <v>124</v>
      </c>
      <c r="N93" s="10" t="n">
        <f>ROUND($J93*1.637*1.75*0.8,0)</f>
        <v>582117200</v>
      </c>
      <c r="O93" s="5">
        <f t="shared" si="29"/>
        <v>126</v>
      </c>
      <c r="P93" s="9" t="n">
        <f>ROUND($J93*1.637*1.75*2.1*0.8,0)</f>
        <v>1222446120</v>
      </c>
      <c r="Q93" s="3">
        <f t="shared" si="30"/>
        <v>128</v>
      </c>
      <c r="R93" s="10" t="n">
        <f>ROUND($J93*1.637*1.75*2.1*2.3*0.542035092435954,0)</f>
        <v>1905000000</v>
      </c>
      <c r="S93" s="5">
        <f t="shared" si="31"/>
        <v>130</v>
      </c>
      <c r="T93" s="9" t="n">
        <f>ROUND($J93*1.637*1.75*2.1*2.3*2.6*0.544690061623969,0)</f>
        <v>4977260537</v>
      </c>
      <c r="U93" s="3">
        <f t="shared" si="32"/>
        <v>133</v>
      </c>
      <c r="V93" s="10" t="n">
        <f>ROUND($J93*1.637*1.75*2.1*2.3*2.6*3.2*0.547345030811984,0)</f>
        <v>16004867436</v>
      </c>
      <c r="W93" s="5">
        <f t="shared" si="33"/>
        <v>137</v>
      </c>
      <c r="X93" s="9" t="n">
        <f>ROUND($J93*1.637*1.75*2.1*2.3*2.6*3.2*4.2*0.55,0)</f>
        <v>67546504850</v>
      </c>
      <c r="Y93" s="3">
        <f t="shared" si="34"/>
        <v>139</v>
      </c>
      <c r="Z93" s="10" t="n">
        <f>ROUND($J93*1.637*1.75*2.1*2.3*2.6*3.2*4.2*2.4*0.55,0)</f>
        <v>162111611640</v>
      </c>
      <c r="AA93" s="5">
        <f t="shared" si="35"/>
        <v>141</v>
      </c>
      <c r="AB93" s="9" t="n">
        <f>ROUND($J93*1.637*1.75*2.1*2.3*2.6*3.2*4.2*2.4*2.5*0.55,0)</f>
        <v>405279029099</v>
      </c>
      <c r="AC93" s="3">
        <f t="shared" si="36"/>
        <v>143</v>
      </c>
      <c r="AD93" s="10" t="n">
        <f>ROUND($J93*1.637*1.75*2.1*2.3*2.6*3.2*4.2*2.4*2.5*2.8*0.55,0)</f>
        <v>1134781281477</v>
      </c>
      <c r="AE93" s="5">
        <f t="shared" si="37"/>
        <v>146</v>
      </c>
      <c r="AF93" s="9" t="n">
        <f>ROUND($J93*1.637*1.75*2.1*2.3*2.6*3.2*4.2*2.4*2.5*2.8*3.2*0.55,0)</f>
        <v>3631300100727</v>
      </c>
      <c r="AG93" s="3">
        <f t="shared" si="38"/>
        <v>149</v>
      </c>
      <c r="AH93" s="10" t="n">
        <f>ROUND($J93*1.637*1.75*2.1*2.3*2.6*3.2*4.2*2.4*2.5*2.8*3.2*3.8*0.55,0)</f>
        <v>13798940382761</v>
      </c>
    </row>
    <row r="94" hidden="1">
      <c r="A94" s="2">
        <v>117</v>
      </c>
      <c r="B94" s="2" t="s">
        <v>175</v>
      </c>
      <c r="C94" s="2" t="s">
        <v>24</v>
      </c>
      <c r="D94" s="2" t="s">
        <v>33</v>
      </c>
      <c r="E94" s="2">
        <v>122</v>
      </c>
      <c r="F94" s="2" t="s">
        <v>54</v>
      </c>
      <c r="G94" s="2" t="s">
        <v>57</v>
      </c>
      <c r="H94" s="2">
        <v>30</v>
      </c>
      <c r="I94" s="3">
        <v>122</v>
      </c>
      <c r="J94" s="4">
        <v>186000000</v>
      </c>
      <c r="K94" s="5">
        <f t="shared" si="27"/>
        <v>123</v>
      </c>
      <c r="L94" s="9" t="n">
        <f>ROUND($J94*1.637*1,0)</f>
        <v>304482000</v>
      </c>
      <c r="M94" s="3">
        <f t="shared" si="28"/>
        <v>124</v>
      </c>
      <c r="N94" s="10" t="n">
        <f>ROUND($J94*1.637*1.75*1,0)</f>
        <v>532843500</v>
      </c>
      <c r="O94" s="5">
        <f t="shared" si="29"/>
        <v>126</v>
      </c>
      <c r="P94" s="9" t="n">
        <f>ROUND($J94*1.637*1.75*2.1*1,0)</f>
        <v>1118971350</v>
      </c>
      <c r="Q94" s="3">
        <f t="shared" si="30"/>
        <v>128</v>
      </c>
      <c r="R94" s="10" t="n">
        <f>ROUND($J94*1.637*1.75*2.1*2.3*1,0)</f>
        <v>2573634105</v>
      </c>
      <c r="S94" s="5">
        <f t="shared" si="31"/>
        <v>130</v>
      </c>
      <c r="T94" s="9" t="n">
        <f>ROUND($J94*1.637*1.75*2.1*2.3*2.6*1,0)</f>
        <v>6691448673</v>
      </c>
      <c r="U94" s="3">
        <f t="shared" si="32"/>
        <v>133</v>
      </c>
      <c r="V94" s="10" t="n">
        <f>ROUND($J94*1.637*1.75*2.1*2.3*2.6*3.2*1,0)</f>
        <v>21412635754</v>
      </c>
      <c r="W94" s="5">
        <f t="shared" si="33"/>
        <v>137</v>
      </c>
      <c r="X94" s="9" t="n">
        <f>ROUND($J94*1.637*1.75*2.1*2.3*2.6*3.2*4.2*1,0)</f>
        <v>89933070165</v>
      </c>
      <c r="Y94" s="3">
        <f t="shared" si="34"/>
        <v>139</v>
      </c>
      <c r="Z94" s="10" t="n">
        <f>ROUND($J94*1.637*1.75*2.1*2.3*2.6*3.2*4.2*2.4*1,0)</f>
        <v>215839368396</v>
      </c>
      <c r="AA94" s="5">
        <f t="shared" si="35"/>
        <v>141</v>
      </c>
      <c r="AB94" s="9" t="n">
        <f>ROUND($J94*1.637*1.75*2.1*2.3*2.6*3.2*4.2*2.4*2.5*1,0)</f>
        <v>539598420991</v>
      </c>
      <c r="AC94" s="3">
        <f t="shared" si="36"/>
        <v>143</v>
      </c>
      <c r="AD94" s="10" t="n">
        <f>ROUND($J94*1.637*1.75*2.1*2.3*2.6*3.2*4.2*2.4*2.5*2.8*1,0)</f>
        <v>1510875578774</v>
      </c>
      <c r="AE94" s="5">
        <f t="shared" si="37"/>
        <v>146</v>
      </c>
      <c r="AF94" s="9" t="n">
        <f>ROUND($J94*1.637*1.75*2.1*2.3*2.6*3.2*4.2*2.4*2.5*2.8*3.2*1,0)</f>
        <v>4834801852077</v>
      </c>
      <c r="AG94" s="3">
        <f t="shared" si="38"/>
        <v>149</v>
      </c>
      <c r="AH94" s="10" t="n">
        <f>ROUND($J94*1.637*1.75*2.1*2.3*2.6*3.2*4.2*2.4*2.5*2.8*3.2*3.8*1,0)</f>
        <v>18372247037892</v>
      </c>
    </row>
    <row r="95" hidden="1">
      <c r="A95" s="2">
        <v>116</v>
      </c>
      <c r="B95" s="2" t="s">
        <v>176</v>
      </c>
      <c r="C95" s="2" t="s">
        <v>24</v>
      </c>
      <c r="D95" s="2" t="s">
        <v>102</v>
      </c>
      <c r="E95" s="2">
        <v>122</v>
      </c>
      <c r="F95" s="2" t="s">
        <v>54</v>
      </c>
      <c r="G95" s="2" t="s">
        <v>98</v>
      </c>
      <c r="H95" s="2">
        <v>31</v>
      </c>
      <c r="I95" s="3">
        <v>122</v>
      </c>
      <c r="J95" s="4">
        <v>529000000</v>
      </c>
      <c r="K95" s="5">
        <f t="shared" si="27"/>
        <v>123</v>
      </c>
      <c r="L95" s="9" t="n">
        <f>ROUND($J95*1.637*1,0)</f>
        <v>865973000</v>
      </c>
      <c r="M95" s="3">
        <f t="shared" si="28"/>
        <v>124</v>
      </c>
      <c r="N95" s="10" t="n">
        <f>ROUND($J95*1.637*1.75*1,0)</f>
        <v>1515452750</v>
      </c>
      <c r="O95" s="5">
        <f t="shared" si="29"/>
        <v>126</v>
      </c>
      <c r="P95" s="9" t="n">
        <f>ROUND($J95*1.637*1.75*2.1*1,0)</f>
        <v>3182450775</v>
      </c>
      <c r="Q95" s="3">
        <f t="shared" si="30"/>
        <v>128</v>
      </c>
      <c r="R95" s="10" t="n">
        <f>ROUND($J95*1.637*1.75*2.1*2.3*1,0)</f>
        <v>7319636783</v>
      </c>
      <c r="S95" s="5">
        <f t="shared" si="31"/>
        <v>130</v>
      </c>
      <c r="T95" s="9" t="n">
        <f>ROUND($J95*1.637*1.75*2.1*2.3*2.6*1,0)</f>
        <v>19031055635</v>
      </c>
      <c r="U95" s="3">
        <f t="shared" si="32"/>
        <v>133</v>
      </c>
      <c r="V95" s="10" t="n">
        <f>ROUND($J95*1.637*1.75*2.1*2.3*2.6*3.2*1,0)</f>
        <v>60899378030</v>
      </c>
      <c r="W95" s="5">
        <f t="shared" si="33"/>
        <v>137</v>
      </c>
      <c r="X95" s="9" t="n">
        <f>ROUND($J95*1.637*1.75*2.1*2.3*2.6*3.2*4.2*1,0)</f>
        <v>255777387728</v>
      </c>
      <c r="Y95" s="3">
        <f t="shared" si="34"/>
        <v>139</v>
      </c>
      <c r="Z95" s="10" t="n">
        <f>ROUND($J95*1.637*1.75*2.1*2.3*2.6*3.2*4.2*2.4*1,0)</f>
        <v>613865730546</v>
      </c>
      <c r="AA95" s="5">
        <f t="shared" si="35"/>
        <v>141</v>
      </c>
      <c r="AB95" s="9" t="n">
        <f>ROUND($J95*1.637*1.75*2.1*2.3*2.6*3.2*4.2*2.4*2.5*1,0)</f>
        <v>1534664326366</v>
      </c>
      <c r="AC95" s="3">
        <f t="shared" si="36"/>
        <v>143</v>
      </c>
      <c r="AD95" s="10" t="n">
        <f>ROUND($J95*1.637*1.75*2.1*2.3*2.6*3.2*4.2*2.4*2.5*2.8*1,0)</f>
        <v>4297060113825</v>
      </c>
      <c r="AE95" s="5">
        <f t="shared" si="37"/>
        <v>146</v>
      </c>
      <c r="AF95" s="9" t="n">
        <f>ROUND($J95*1.637*1.75*2.1*2.3*2.6*3.2*4.2*2.4*2.5*2.8*3.2*1,0)</f>
        <v>13750592364240</v>
      </c>
      <c r="AG95" s="3">
        <f t="shared" si="38"/>
        <v>149</v>
      </c>
      <c r="AH95" s="10" t="n">
        <f>ROUND($J95*1.637*1.75*2.1*2.3*2.6*3.2*4.2*2.4*2.5*2.8*3.2*3.8*1,0)</f>
        <v>52252250984112</v>
      </c>
    </row>
    <row r="96" hidden="1">
      <c r="A96" s="2">
        <v>105</v>
      </c>
      <c r="B96" s="2" t="s">
        <v>177</v>
      </c>
      <c r="C96" s="2" t="s">
        <v>24</v>
      </c>
      <c r="D96" s="2" t="s">
        <v>29</v>
      </c>
      <c r="E96" s="2">
        <v>122</v>
      </c>
      <c r="F96" s="2" t="s">
        <v>146</v>
      </c>
      <c r="G96" s="2" t="s">
        <v>72</v>
      </c>
      <c r="H96" s="2">
        <v>31</v>
      </c>
      <c r="I96" s="3">
        <v>122</v>
      </c>
      <c r="J96" s="4">
        <v>493000000</v>
      </c>
      <c r="K96" s="5">
        <f t="shared" si="27"/>
        <v>123</v>
      </c>
      <c r="L96" s="9" t="n">
        <f>ROUND($J96*1.637*0.8,0)</f>
        <v>645632800</v>
      </c>
      <c r="M96" s="3">
        <f t="shared" si="28"/>
        <v>124</v>
      </c>
      <c r="N96" s="10" t="n">
        <f>ROUND($J96*1.637*1.75*0.8,0)</f>
        <v>1129857400</v>
      </c>
      <c r="O96" s="5">
        <f t="shared" si="29"/>
        <v>126</v>
      </c>
      <c r="P96" s="9" t="n">
        <f>ROUND($J96*1.637*1.75*2.1*0.8,0)</f>
        <v>2372700540</v>
      </c>
      <c r="Q96" s="3">
        <f t="shared" si="30"/>
        <v>128</v>
      </c>
      <c r="R96" s="10" t="n">
        <f>ROUND($J96*1.637*1.75*2.1*2.3*0.542035092435954,0)</f>
        <v>3697500000</v>
      </c>
      <c r="S96" s="5">
        <f t="shared" si="31"/>
        <v>130</v>
      </c>
      <c r="T96" s="9" t="n">
        <f>ROUND($J96*1.637*1.75*2.1*2.3*2.6*0.544690061623969,0)</f>
        <v>9660588365</v>
      </c>
      <c r="U96" s="3">
        <f t="shared" si="32"/>
        <v>133</v>
      </c>
      <c r="V96" s="10" t="n">
        <f>ROUND($J96*1.637*1.75*2.1*2.3*2.6*3.2*0.547345030811984,0)</f>
        <v>31064565536</v>
      </c>
      <c r="W96" s="5">
        <f t="shared" si="33"/>
        <v>137</v>
      </c>
      <c r="X96" s="9" t="n">
        <f>ROUND($J96*1.637*1.75*2.1*2.3*2.6*3.2*4.2*0.55,0)</f>
        <v>131104042878</v>
      </c>
      <c r="Y96" s="3">
        <f t="shared" si="34"/>
        <v>139</v>
      </c>
      <c r="Z96" s="10" t="n">
        <f>ROUND($J96*1.637*1.75*2.1*2.3*2.6*3.2*4.2*2.4*0.55,0)</f>
        <v>314649702907</v>
      </c>
      <c r="AA96" s="5">
        <f t="shared" si="35"/>
        <v>141</v>
      </c>
      <c r="AB96" s="9" t="n">
        <f>ROUND($J96*1.637*1.75*2.1*2.3*2.6*3.2*4.2*2.4*2.5*0.55,0)</f>
        <v>786624257267</v>
      </c>
      <c r="AC96" s="3">
        <f t="shared" si="36"/>
        <v>143</v>
      </c>
      <c r="AD96" s="10" t="n">
        <f>ROUND($J96*1.637*1.75*2.1*2.3*2.6*3.2*4.2*2.4*2.5*2.8*0.55,0)</f>
        <v>2202547920347</v>
      </c>
      <c r="AE96" s="5">
        <f t="shared" si="37"/>
        <v>146</v>
      </c>
      <c r="AF96" s="9" t="n">
        <f>ROUND($J96*1.637*1.75*2.1*2.3*2.6*3.2*4.2*2.4*2.5*2.8*3.2*0.55,0)</f>
        <v>7048153345111</v>
      </c>
      <c r="AG96" s="3">
        <f t="shared" si="38"/>
        <v>149</v>
      </c>
      <c r="AH96" s="10" t="n">
        <f>ROUND($J96*1.637*1.75*2.1*2.3*2.6*3.2*4.2*2.4*2.5*2.8*3.2*3.8*0.55,0)</f>
        <v>26782982711422</v>
      </c>
    </row>
    <row r="97" hidden="1">
      <c r="A97" s="2">
        <v>44</v>
      </c>
      <c r="B97" s="2" t="s">
        <v>178</v>
      </c>
      <c r="C97" s="2" t="s">
        <v>24</v>
      </c>
      <c r="D97" s="2" t="s">
        <v>33</v>
      </c>
      <c r="E97" s="2">
        <v>122</v>
      </c>
      <c r="F97" s="2" t="s">
        <v>179</v>
      </c>
      <c r="G97" s="2" t="s">
        <v>57</v>
      </c>
      <c r="H97" s="2">
        <v>31</v>
      </c>
      <c r="I97" s="3">
        <v>122</v>
      </c>
      <c r="J97" s="4">
        <v>680000000</v>
      </c>
      <c r="K97" s="5">
        <f t="shared" si="27"/>
        <v>123</v>
      </c>
      <c r="L97" s="9" t="n">
        <f>ROUND($J97*1.637*1,0)</f>
        <v>1113160000</v>
      </c>
      <c r="M97" s="3">
        <f t="shared" si="28"/>
        <v>124</v>
      </c>
      <c r="N97" s="10" t="n">
        <f>ROUND($J97*1.637*1.75*1,0)</f>
        <v>1948030000</v>
      </c>
      <c r="O97" s="5">
        <f t="shared" si="29"/>
        <v>126</v>
      </c>
      <c r="P97" s="9" t="n">
        <f>ROUND($J97*1.637*1.75*2.1*1,0)</f>
        <v>4090863000</v>
      </c>
      <c r="Q97" s="3">
        <f t="shared" si="30"/>
        <v>128</v>
      </c>
      <c r="R97" s="10" t="n">
        <f>ROUND($J97*1.637*1.75*2.1*2.3*1,0)</f>
        <v>9408984900</v>
      </c>
      <c r="S97" s="5">
        <f t="shared" si="31"/>
        <v>130</v>
      </c>
      <c r="T97" s="9" t="n">
        <f>ROUND($J97*1.637*1.75*2.1*2.3*2.6*1,0)</f>
        <v>24463360740</v>
      </c>
      <c r="U97" s="3">
        <f t="shared" si="32"/>
        <v>133</v>
      </c>
      <c r="V97" s="10" t="n">
        <f>ROUND($J97*1.637*1.75*2.1*2.3*2.6*3.2*1,0)</f>
        <v>78282754368</v>
      </c>
      <c r="W97" s="5">
        <f t="shared" si="33"/>
        <v>137</v>
      </c>
      <c r="X97" s="9" t="n">
        <f>ROUND($J97*1.637*1.75*2.1*2.3*2.6*3.2*4.2*1,0)</f>
        <v>328787568346</v>
      </c>
      <c r="Y97" s="3">
        <f t="shared" si="34"/>
        <v>139</v>
      </c>
      <c r="Z97" s="10" t="n">
        <f>ROUND($J97*1.637*1.75*2.1*2.3*2.6*3.2*4.2*2.4*1,0)</f>
        <v>789090164029</v>
      </c>
      <c r="AA97" s="5">
        <f t="shared" si="35"/>
        <v>141</v>
      </c>
      <c r="AB97" s="9" t="n">
        <f>ROUND($J97*1.637*1.75*2.1*2.3*2.6*3.2*4.2*2.4*2.5*1,0)</f>
        <v>1972725410074</v>
      </c>
      <c r="AC97" s="3">
        <f t="shared" si="36"/>
        <v>143</v>
      </c>
      <c r="AD97" s="10" t="n">
        <f>ROUND($J97*1.637*1.75*2.1*2.3*2.6*3.2*4.2*2.4*2.5*2.8*1,0)</f>
        <v>5523631148206</v>
      </c>
      <c r="AE97" s="5">
        <f t="shared" si="37"/>
        <v>146</v>
      </c>
      <c r="AF97" s="9" t="n">
        <f>ROUND($J97*1.637*1.75*2.1*2.3*2.6*3.2*4.2*2.4*2.5*2.8*3.2*1,0)</f>
        <v>17675619674260</v>
      </c>
      <c r="AG97" s="3">
        <f t="shared" si="38"/>
        <v>149</v>
      </c>
      <c r="AH97" s="10" t="n">
        <f>ROUND($J97*1.637*1.75*2.1*2.3*2.6*3.2*4.2*2.4*2.5*2.8*3.2*3.8*1,0)</f>
        <v>67167354762186</v>
      </c>
    </row>
    <row r="98" hidden="1">
      <c r="A98" s="2">
        <v>48</v>
      </c>
      <c r="B98" s="2" t="s">
        <v>180</v>
      </c>
      <c r="C98" s="2" t="s">
        <v>24</v>
      </c>
      <c r="D98" s="2" t="s">
        <v>47</v>
      </c>
      <c r="E98" s="2">
        <v>122</v>
      </c>
      <c r="F98" s="2" t="s">
        <v>144</v>
      </c>
      <c r="G98" s="2" t="s">
        <v>98</v>
      </c>
      <c r="H98" s="2">
        <v>27</v>
      </c>
      <c r="I98" s="3">
        <v>122</v>
      </c>
      <c r="J98" s="4">
        <v>146000000</v>
      </c>
      <c r="K98" s="5">
        <f t="shared" si="27"/>
        <v>123</v>
      </c>
      <c r="L98" s="9" t="n">
        <f>ROUND($J98*1.637*0.8,0)</f>
        <v>191201600</v>
      </c>
      <c r="M98" s="3">
        <f t="shared" si="28"/>
        <v>124</v>
      </c>
      <c r="N98" s="10" t="n">
        <f>ROUND($J98*1.637*1.75*0.8,0)</f>
        <v>334602800</v>
      </c>
      <c r="O98" s="5">
        <f t="shared" si="29"/>
        <v>126</v>
      </c>
      <c r="P98" s="9" t="n">
        <f>ROUND($J98*1.637*1.75*2.1*0.8,0)</f>
        <v>702665880</v>
      </c>
      <c r="Q98" s="3">
        <f t="shared" si="30"/>
        <v>128</v>
      </c>
      <c r="R98" s="10" t="n">
        <f>ROUND($J98*1.637*1.75*2.1*2.3*0.542035092435954,0)</f>
        <v>1095000000</v>
      </c>
      <c r="S98" s="5">
        <f t="shared" si="31"/>
        <v>130</v>
      </c>
      <c r="T98" s="9" t="n">
        <f>ROUND($J98*1.637*1.75*2.1*2.3*2.6*0.544690061623969,0)</f>
        <v>2860945033</v>
      </c>
      <c r="U98" s="3">
        <f t="shared" si="32"/>
        <v>133</v>
      </c>
      <c r="V98" s="10" t="n">
        <f>ROUND($J98*1.637*1.75*2.1*2.3*2.6*3.2*0.547345030811984,0)</f>
        <v>9199648212</v>
      </c>
      <c r="W98" s="5">
        <f t="shared" si="33"/>
        <v>137</v>
      </c>
      <c r="X98" s="9" t="n">
        <f>ROUND($J98*1.637*1.75*2.1*2.3*2.6*3.2*4.2*0.55,0)</f>
        <v>38825943733</v>
      </c>
      <c r="Y98" s="3">
        <f t="shared" si="34"/>
        <v>139</v>
      </c>
      <c r="Z98" s="10" t="n">
        <f>ROUND($J98*1.637*1.75*2.1*2.3*2.6*3.2*4.2*2.4*0.55,0)</f>
        <v>93182264958</v>
      </c>
      <c r="AA98" s="5">
        <f t="shared" si="35"/>
        <v>141</v>
      </c>
      <c r="AB98" s="9" t="n">
        <f>ROUND($J98*1.637*1.75*2.1*2.3*2.6*3.2*4.2*2.4*2.5*0.55,0)</f>
        <v>232955662395</v>
      </c>
      <c r="AC98" s="3">
        <f t="shared" si="36"/>
        <v>143</v>
      </c>
      <c r="AD98" s="10" t="n">
        <f>ROUND($J98*1.637*1.75*2.1*2.3*2.6*3.2*4.2*2.4*2.5*2.8*0.55,0)</f>
        <v>652275854707</v>
      </c>
      <c r="AE98" s="5">
        <f t="shared" si="37"/>
        <v>146</v>
      </c>
      <c r="AF98" s="9" t="n">
        <f>ROUND($J98*1.637*1.75*2.1*2.3*2.6*3.2*4.2*2.4*2.5*2.8*3.2*0.55,0)</f>
        <v>2087282735063</v>
      </c>
      <c r="AG98" s="3">
        <f t="shared" si="38"/>
        <v>149</v>
      </c>
      <c r="AH98" s="10" t="n">
        <f>ROUND($J98*1.637*1.75*2.1*2.3*2.6*3.2*4.2*2.4*2.5*2.8*3.2*3.8*0.55,0)</f>
        <v>7931674393240</v>
      </c>
    </row>
    <row r="99" hidden="1">
      <c r="A99" s="2">
        <v>42</v>
      </c>
      <c r="B99" s="2" t="s">
        <v>181</v>
      </c>
      <c r="C99" s="2" t="s">
        <v>24</v>
      </c>
      <c r="D99" s="2" t="s">
        <v>25</v>
      </c>
      <c r="E99" s="2">
        <v>122</v>
      </c>
      <c r="F99" s="2" t="s">
        <v>123</v>
      </c>
      <c r="G99" s="2" t="s">
        <v>57</v>
      </c>
      <c r="H99" s="2">
        <v>31</v>
      </c>
      <c r="I99" s="3">
        <v>122</v>
      </c>
      <c r="J99" s="4">
        <v>362000000</v>
      </c>
      <c r="K99" s="5">
        <f t="shared" si="27"/>
        <v>123</v>
      </c>
      <c r="L99" s="9" t="n">
        <f t="shared" ref="L99:L104" si="42">ROUND($J99*1.637*1,0)</f>
        <v>592594000</v>
      </c>
      <c r="M99" s="3">
        <f t="shared" si="28"/>
        <v>124</v>
      </c>
      <c r="N99" s="10" t="n">
        <f t="shared" ref="N99:N104" si="43">ROUND($J99*1.637*1.75*1,0)</f>
        <v>1037039500</v>
      </c>
      <c r="O99" s="5">
        <f t="shared" si="29"/>
        <v>126</v>
      </c>
      <c r="P99" s="9" t="n">
        <f t="shared" ref="P99:P104" si="44">ROUND($J99*1.637*1.75*2.1*1,0)</f>
        <v>2177782950</v>
      </c>
      <c r="Q99" s="3">
        <f t="shared" si="30"/>
        <v>128</v>
      </c>
      <c r="R99" s="10" t="n">
        <f>ROUND($J99*1.637*1.75*2.1*2.3*1,0)</f>
        <v>5008900785</v>
      </c>
      <c r="S99" s="5">
        <f t="shared" si="31"/>
        <v>130</v>
      </c>
      <c r="T99" s="9" t="n">
        <f>ROUND($J99*1.637*1.75*2.1*2.3*2.6*1,0)</f>
        <v>13023142041</v>
      </c>
      <c r="U99" s="3">
        <f t="shared" si="32"/>
        <v>133</v>
      </c>
      <c r="V99" s="10" t="n">
        <f>ROUND($J99*1.637*1.75*2.1*2.3*2.6*3.2*1,0)</f>
        <v>41674054531</v>
      </c>
      <c r="W99" s="5">
        <f t="shared" si="33"/>
        <v>137</v>
      </c>
      <c r="X99" s="9" t="n">
        <f>ROUND($J99*1.637*1.75*2.1*2.3*2.6*3.2*4.2*1,0)</f>
        <v>175031029031</v>
      </c>
      <c r="Y99" s="3">
        <f t="shared" si="34"/>
        <v>139</v>
      </c>
      <c r="Z99" s="10" t="n">
        <f>ROUND($J99*1.637*1.75*2.1*2.3*2.6*3.2*4.2*2.4*1,0)</f>
        <v>420074469674</v>
      </c>
      <c r="AA99" s="5">
        <f t="shared" si="35"/>
        <v>141</v>
      </c>
      <c r="AB99" s="9" t="n">
        <f>ROUND($J99*1.637*1.75*2.1*2.3*2.6*3.2*4.2*2.4*2.5*1,0)</f>
        <v>1050186174186</v>
      </c>
      <c r="AC99" s="3">
        <f t="shared" si="36"/>
        <v>143</v>
      </c>
      <c r="AD99" s="10" t="n">
        <f>ROUND($J99*1.637*1.75*2.1*2.3*2.6*3.2*4.2*2.4*2.5*2.8*1,0)</f>
        <v>2940521287721</v>
      </c>
      <c r="AE99" s="5">
        <f t="shared" si="37"/>
        <v>146</v>
      </c>
      <c r="AF99" s="9" t="n">
        <f>ROUND($J99*1.637*1.75*2.1*2.3*2.6*3.2*4.2*2.4*2.5*2.8*3.2*1,0)</f>
        <v>9409668120709</v>
      </c>
      <c r="AG99" s="3">
        <f t="shared" si="38"/>
        <v>149</v>
      </c>
      <c r="AH99" s="10" t="n">
        <f>ROUND($J99*1.637*1.75*2.1*2.3*2.6*3.2*4.2*2.4*2.5*2.8*3.2*3.8*1,0)</f>
        <v>35756738858693</v>
      </c>
    </row>
    <row r="100" hidden="1">
      <c r="A100" s="2">
        <v>121</v>
      </c>
      <c r="B100" s="2" t="s">
        <v>182</v>
      </c>
      <c r="C100" s="2" t="s">
        <v>24</v>
      </c>
      <c r="D100" s="2" t="s">
        <v>102</v>
      </c>
      <c r="E100" s="2">
        <v>122</v>
      </c>
      <c r="F100" s="2" t="s">
        <v>183</v>
      </c>
      <c r="G100" s="2" t="s">
        <v>57</v>
      </c>
      <c r="H100" s="2">
        <v>30</v>
      </c>
      <c r="I100" s="3">
        <v>122</v>
      </c>
      <c r="J100" s="4">
        <v>418100000</v>
      </c>
      <c r="K100" s="5">
        <f t="shared" si="27"/>
        <v>123</v>
      </c>
      <c r="L100" s="9">
        <f t="shared" si="42"/>
        <v>684429700</v>
      </c>
      <c r="M100" s="3">
        <f t="shared" si="28"/>
        <v>124</v>
      </c>
      <c r="N100" s="10">
        <f t="shared" si="43"/>
        <v>1197751975</v>
      </c>
      <c r="O100" s="5">
        <f t="shared" si="29"/>
        <v>126</v>
      </c>
      <c r="P100" s="9">
        <f t="shared" si="44"/>
        <v>2515279148</v>
      </c>
      <c r="Q100" s="3">
        <f t="shared" si="30"/>
        <v>128</v>
      </c>
      <c r="R100" s="10" t="n">
        <f>ROUND($J100*1.637*1.75*2.1*2.3*1,0)</f>
        <v>5785142039</v>
      </c>
      <c r="S100" s="5">
        <f t="shared" si="31"/>
        <v>130</v>
      </c>
      <c r="T100" s="9" t="n">
        <f>ROUND($J100*1.637*1.75*2.1*2.3*2.6*1,0)</f>
        <v>15041369302</v>
      </c>
      <c r="U100" s="3">
        <f t="shared" si="32"/>
        <v>133</v>
      </c>
      <c r="V100" s="10" t="n">
        <f>ROUND($J100*1.637*1.75*2.1*2.3*2.6*3.2*1,0)</f>
        <v>48132381767</v>
      </c>
      <c r="W100" s="5">
        <f t="shared" si="33"/>
        <v>137</v>
      </c>
      <c r="X100" s="9" t="n">
        <f>ROUND($J100*1.637*1.75*2.1*2.3*2.6*3.2*4.2*1,0)</f>
        <v>202156003420</v>
      </c>
      <c r="Y100" s="3">
        <f t="shared" si="34"/>
        <v>139</v>
      </c>
      <c r="Z100" s="10" t="n">
        <f>ROUND($J100*1.637*1.75*2.1*2.3*2.6*3.2*4.2*2.4*1,0)</f>
        <v>485174408207</v>
      </c>
      <c r="AA100" s="5">
        <f t="shared" si="35"/>
        <v>141</v>
      </c>
      <c r="AB100" s="9" t="n">
        <f>ROUND($J100*1.637*1.75*2.1*2.3*2.6*3.2*4.2*2.4*2.5*1,0)</f>
        <v>1212936020517</v>
      </c>
      <c r="AC100" s="3">
        <f t="shared" si="36"/>
        <v>143</v>
      </c>
      <c r="AD100" s="10" t="n">
        <f>ROUND($J100*1.637*1.75*2.1*2.3*2.6*3.2*4.2*2.4*2.5*2.8*1,0)</f>
        <v>3396220857448</v>
      </c>
      <c r="AE100" s="5">
        <f t="shared" si="37"/>
        <v>146</v>
      </c>
      <c r="AF100" s="9" t="n">
        <f>ROUND($J100*1.637*1.75*2.1*2.3*2.6*3.2*4.2*2.4*2.5*2.8*3.2*1,0)</f>
        <v>10867906743835</v>
      </c>
      <c r="AG100" s="3">
        <f t="shared" si="38"/>
        <v>149</v>
      </c>
      <c r="AH100" s="10" t="n">
        <f>ROUND($J100*1.637*1.75*2.1*2.3*2.6*3.2*4.2*2.4*2.5*2.8*3.2*3.8*1,0)</f>
        <v>41298045626573</v>
      </c>
    </row>
    <row r="101" hidden="1">
      <c r="A101" s="2">
        <v>104</v>
      </c>
      <c r="B101" s="2" t="s">
        <v>184</v>
      </c>
      <c r="C101" s="2" t="s">
        <v>24</v>
      </c>
      <c r="D101" s="2" t="s">
        <v>45</v>
      </c>
      <c r="E101" s="2">
        <v>122</v>
      </c>
      <c r="F101" s="2" t="s">
        <v>97</v>
      </c>
      <c r="G101" s="2" t="s">
        <v>185</v>
      </c>
      <c r="H101" s="2">
        <v>32</v>
      </c>
      <c r="I101" s="3">
        <v>122</v>
      </c>
      <c r="J101" s="4">
        <v>531000000</v>
      </c>
      <c r="K101" s="5">
        <f t="shared" si="27"/>
        <v>123</v>
      </c>
      <c r="L101" s="9">
        <f t="shared" si="42"/>
        <v>869247000</v>
      </c>
      <c r="M101" s="3">
        <f t="shared" si="28"/>
        <v>124</v>
      </c>
      <c r="N101" s="10">
        <f t="shared" si="43"/>
        <v>1521182250</v>
      </c>
      <c r="O101" s="5">
        <f t="shared" si="29"/>
        <v>126</v>
      </c>
      <c r="P101" s="9">
        <f t="shared" si="44"/>
        <v>3194482725</v>
      </c>
      <c r="Q101" s="3">
        <f t="shared" si="30"/>
        <v>128</v>
      </c>
      <c r="R101" s="10" t="n">
        <f>ROUND($J101*1.637*1.75*2.1*2.3*1.25,0)</f>
        <v>9184137834</v>
      </c>
      <c r="S101" s="5">
        <f t="shared" si="31"/>
        <v>130</v>
      </c>
      <c r="T101" s="9" t="n">
        <f>ROUND($J101*1.637*1.75*2.1*2.3*2.6*1.25,0)</f>
        <v>23878758369</v>
      </c>
      <c r="U101" s="3">
        <f t="shared" si="32"/>
        <v>133</v>
      </c>
      <c r="V101" s="10" t="n">
        <f>ROUND($J101*1.637*1.75*2.1*2.3*2.6*3.2*1.25,0)</f>
        <v>76412026782</v>
      </c>
      <c r="W101" s="5">
        <f t="shared" si="33"/>
        <v>137</v>
      </c>
      <c r="X101" s="9" t="n">
        <f>ROUND($J101*1.637*1.75*2.1*2.3*2.6*3.2*4.2*1.25,0)</f>
        <v>320930512484</v>
      </c>
      <c r="Y101" s="3">
        <f t="shared" si="34"/>
        <v>139</v>
      </c>
      <c r="Z101" s="10" t="n">
        <f>ROUND($J101*1.637*1.75*2.1*2.3*2.6*3.2*4.2*2.4*1.25,0)</f>
        <v>770233229963</v>
      </c>
      <c r="AA101" s="5">
        <f t="shared" si="35"/>
        <v>141</v>
      </c>
      <c r="AB101" s="9" t="n">
        <f>ROUND($J101*1.637*1.75*2.1*2.3*2.6*3.2*4.2*2.4*2.5*1.25,0)</f>
        <v>1925583074906</v>
      </c>
      <c r="AC101" s="3">
        <f t="shared" si="36"/>
        <v>143</v>
      </c>
      <c r="AD101" s="10" t="n">
        <f>ROUND($J101*1.637*1.75*2.1*2.3*2.6*3.2*4.2*2.4*2.5*2.8*1.25,0)</f>
        <v>5391632609738</v>
      </c>
      <c r="AE101" s="5">
        <f t="shared" si="37"/>
        <v>146</v>
      </c>
      <c r="AF101" s="9" t="n">
        <f>ROUND($J101*1.637*1.75*2.1*2.3*2.6*3.2*4.2*2.4*2.5*2.8*3.2*1.25,0)</f>
        <v>17253224351161</v>
      </c>
      <c r="AG101" s="3">
        <f t="shared" si="38"/>
        <v>149</v>
      </c>
      <c r="AH101" s="10" t="n">
        <f>ROUND($J101*1.637*1.75*2.1*2.3*2.6*3.2*4.2*2.4*2.5*2.8*3.2*3.8*1.25,0)</f>
        <v>65562252534413</v>
      </c>
    </row>
    <row r="102" hidden="1">
      <c r="A102" s="2">
        <v>237</v>
      </c>
      <c r="B102" s="2" t="s">
        <v>186</v>
      </c>
      <c r="C102" s="2" t="s">
        <v>24</v>
      </c>
      <c r="D102" s="2" t="s">
        <v>75</v>
      </c>
      <c r="E102" s="2">
        <v>121</v>
      </c>
      <c r="F102" s="2" t="s">
        <v>56</v>
      </c>
      <c r="G102" s="2" t="s">
        <v>95</v>
      </c>
      <c r="H102" s="2">
        <v>30</v>
      </c>
      <c r="I102" s="3">
        <v>121</v>
      </c>
      <c r="J102" s="4">
        <v>118000000</v>
      </c>
      <c r="K102" s="5">
        <f t="shared" si="27"/>
        <v>122</v>
      </c>
      <c r="L102" s="9">
        <f t="shared" si="42"/>
        <v>193166000</v>
      </c>
      <c r="M102" s="3">
        <f t="shared" si="28"/>
        <v>123</v>
      </c>
      <c r="N102" s="10">
        <f t="shared" si="43"/>
        <v>338040500</v>
      </c>
      <c r="O102" s="5">
        <f t="shared" si="29"/>
        <v>125</v>
      </c>
      <c r="P102" s="9">
        <f t="shared" si="44"/>
        <v>709885050</v>
      </c>
      <c r="Q102" s="3">
        <f t="shared" si="30"/>
        <v>127</v>
      </c>
      <c r="R102" s="10" t="n">
        <f>ROUND($J102*1.637*1.75*2.1*2.3*1,0)</f>
        <v>1632735615</v>
      </c>
      <c r="S102" s="5">
        <f t="shared" si="31"/>
        <v>129</v>
      </c>
      <c r="T102" s="9" t="n">
        <f>ROUND($J102*1.637*1.75*2.1*2.3*2.6*1,0)</f>
        <v>4245112599</v>
      </c>
      <c r="U102" s="3">
        <f t="shared" si="32"/>
        <v>132</v>
      </c>
      <c r="V102" s="10" t="n">
        <f>ROUND($J102*1.637*1.75*2.1*2.3*2.6*3.2*1,0)</f>
        <v>13584360317</v>
      </c>
      <c r="W102" s="5">
        <f t="shared" si="33"/>
        <v>136</v>
      </c>
      <c r="X102" s="9" t="n">
        <f>ROUND($J102*1.637*1.75*2.1*2.3*2.6*3.2*4.2*1,0)</f>
        <v>57054313331</v>
      </c>
      <c r="Y102" s="3">
        <f t="shared" si="34"/>
        <v>138</v>
      </c>
      <c r="Z102" s="10" t="n">
        <f>ROUND($J102*1.637*1.75*2.1*2.3*2.6*3.2*4.2*2.4*1,0)</f>
        <v>136930351993</v>
      </c>
      <c r="AA102" s="5">
        <f t="shared" si="35"/>
        <v>140</v>
      </c>
      <c r="AB102" s="9" t="n">
        <f>ROUND($J102*1.637*1.75*2.1*2.3*2.6*3.2*4.2*2.4*2.5*1,0)</f>
        <v>342325879983</v>
      </c>
      <c r="AC102" s="3">
        <f t="shared" si="36"/>
        <v>142</v>
      </c>
      <c r="AD102" s="10" t="n">
        <f>ROUND($J102*1.637*1.75*2.1*2.3*2.6*3.2*4.2*2.4*2.5*2.8*1,0)</f>
        <v>958512463953</v>
      </c>
      <c r="AE102" s="5">
        <f t="shared" si="37"/>
        <v>145</v>
      </c>
      <c r="AF102" s="9" t="n">
        <f>ROUND($J102*1.637*1.75*2.1*2.3*2.6*3.2*4.2*2.4*2.5*2.8*3.2*1,0)</f>
        <v>3067239884651</v>
      </c>
      <c r="AG102" s="3">
        <f t="shared" si="38"/>
        <v>148</v>
      </c>
      <c r="AH102" s="10" t="n">
        <f>ROUND($J102*1.637*1.75*2.1*2.3*2.6*3.2*4.2*2.4*2.5*2.8*3.2*3.8*1,0)</f>
        <v>11655511561673</v>
      </c>
    </row>
    <row r="103" hidden="1">
      <c r="A103" s="2">
        <v>238</v>
      </c>
      <c r="B103" s="2" t="s">
        <v>187</v>
      </c>
      <c r="C103" s="2" t="s">
        <v>24</v>
      </c>
      <c r="D103" s="2" t="s">
        <v>102</v>
      </c>
      <c r="E103" s="2">
        <v>121</v>
      </c>
      <c r="F103" s="2" t="s">
        <v>54</v>
      </c>
      <c r="G103" s="2" t="s">
        <v>95</v>
      </c>
      <c r="H103" s="2">
        <v>30</v>
      </c>
      <c r="I103" s="3">
        <v>121</v>
      </c>
      <c r="J103" s="4">
        <v>163100000</v>
      </c>
      <c r="K103" s="5">
        <f t="shared" si="27"/>
        <v>122</v>
      </c>
      <c r="L103" s="9">
        <f t="shared" si="42"/>
        <v>266994700</v>
      </c>
      <c r="M103" s="3">
        <f t="shared" si="28"/>
        <v>123</v>
      </c>
      <c r="N103" s="10">
        <f t="shared" si="43"/>
        <v>467240725</v>
      </c>
      <c r="O103" s="5">
        <f t="shared" si="29"/>
        <v>125</v>
      </c>
      <c r="P103" s="9">
        <f t="shared" si="44"/>
        <v>981205523</v>
      </c>
      <c r="Q103" s="3">
        <f t="shared" si="30"/>
        <v>127</v>
      </c>
      <c r="R103" s="10" t="n">
        <f>ROUND($J103*1.637*1.75*2.1*2.3*1,0)</f>
        <v>2256772702</v>
      </c>
      <c r="S103" s="5">
        <f t="shared" si="31"/>
        <v>129</v>
      </c>
      <c r="T103" s="9" t="n">
        <f>ROUND($J103*1.637*1.75*2.1*2.3*2.6*1,0)</f>
        <v>5867609025</v>
      </c>
      <c r="U103" s="3">
        <f t="shared" si="32"/>
        <v>132</v>
      </c>
      <c r="V103" s="10" t="n">
        <f>ROUND($J103*1.637*1.75*2.1*2.3*2.6*3.2*1,0)</f>
        <v>18776348879</v>
      </c>
      <c r="W103" s="5">
        <f t="shared" si="33"/>
        <v>136</v>
      </c>
      <c r="X103" s="9" t="n">
        <f>ROUND($J103*1.637*1.75*2.1*2.3*2.6*3.2*4.2*1,0)</f>
        <v>78860665290</v>
      </c>
      <c r="Y103" s="3">
        <f t="shared" si="34"/>
        <v>138</v>
      </c>
      <c r="Z103" s="10" t="n">
        <f>ROUND($J103*1.637*1.75*2.1*2.3*2.6*3.2*4.2*2.4*1,0)</f>
        <v>189265596696</v>
      </c>
      <c r="AA103" s="5">
        <f t="shared" si="35"/>
        <v>140</v>
      </c>
      <c r="AB103" s="9" t="n">
        <f>ROUND($J103*1.637*1.75*2.1*2.3*2.6*3.2*4.2*2.4*2.5*1,0)</f>
        <v>473163991740</v>
      </c>
      <c r="AC103" s="3">
        <f t="shared" si="36"/>
        <v>142</v>
      </c>
      <c r="AD103" s="10" t="n">
        <f>ROUND($J103*1.637*1.75*2.1*2.3*2.6*3.2*4.2*2.4*2.5*2.8*1,0)</f>
        <v>1324859176871</v>
      </c>
      <c r="AE103" s="5">
        <f t="shared" si="37"/>
        <v>145</v>
      </c>
      <c r="AF103" s="9" t="n">
        <f>ROUND($J103*1.637*1.75*2.1*2.3*2.6*3.2*4.2*2.4*2.5*2.8*3.2*1,0)</f>
        <v>4239549365988</v>
      </c>
      <c r="AG103" s="3">
        <f t="shared" si="38"/>
        <v>148</v>
      </c>
      <c r="AH103" s="10" t="n">
        <f>ROUND($J103*1.637*1.75*2.1*2.3*2.6*3.2*4.2*2.4*2.5*2.8*3.2*3.8*1,0)</f>
        <v>16110287590754</v>
      </c>
    </row>
    <row r="104" hidden="1">
      <c r="A104" s="2">
        <v>47</v>
      </c>
      <c r="B104" s="2" t="s">
        <v>188</v>
      </c>
      <c r="C104" s="2" t="s">
        <v>24</v>
      </c>
      <c r="D104" s="2" t="s">
        <v>47</v>
      </c>
      <c r="E104" s="2">
        <v>121</v>
      </c>
      <c r="F104" s="2" t="s">
        <v>42</v>
      </c>
      <c r="G104" s="2" t="s">
        <v>57</v>
      </c>
      <c r="H104" s="2">
        <v>27</v>
      </c>
      <c r="I104" s="3">
        <v>121</v>
      </c>
      <c r="J104" s="4">
        <v>160400000</v>
      </c>
      <c r="K104" s="5">
        <f t="shared" si="27"/>
        <v>122</v>
      </c>
      <c r="L104" s="9">
        <f t="shared" si="42"/>
        <v>262574800</v>
      </c>
      <c r="M104" s="3">
        <f t="shared" si="28"/>
        <v>123</v>
      </c>
      <c r="N104" s="10">
        <f t="shared" si="43"/>
        <v>459505900</v>
      </c>
      <c r="O104" s="5">
        <f t="shared" si="29"/>
        <v>125</v>
      </c>
      <c r="P104" s="9">
        <f t="shared" si="44"/>
        <v>964962390</v>
      </c>
      <c r="Q104" s="3">
        <f t="shared" si="30"/>
        <v>127</v>
      </c>
      <c r="R104" s="10" t="n">
        <f>ROUND($J104*1.637*1.75*2.1*2.3*1,0)</f>
        <v>2219413497</v>
      </c>
      <c r="S104" s="5">
        <f t="shared" si="31"/>
        <v>129</v>
      </c>
      <c r="T104" s="9" t="n">
        <f>ROUND($J104*1.637*1.75*2.1*2.3*2.6*1,0)</f>
        <v>5770475092</v>
      </c>
      <c r="U104" s="3">
        <f t="shared" si="32"/>
        <v>132</v>
      </c>
      <c r="V104" s="10" t="n">
        <f>ROUND($J104*1.637*1.75*2.1*2.3*2.6*3.2*1,0)</f>
        <v>18465520295</v>
      </c>
      <c r="W104" s="5">
        <f t="shared" si="33"/>
        <v>136</v>
      </c>
      <c r="X104" s="9" t="n">
        <f>ROUND($J104*1.637*1.75*2.1*2.3*2.6*3.2*4.2*1,0)</f>
        <v>77555185239</v>
      </c>
      <c r="Y104" s="3">
        <f t="shared" si="34"/>
        <v>138</v>
      </c>
      <c r="Z104" s="10" t="n">
        <f>ROUND($J104*1.637*1.75*2.1*2.3*2.6*3.2*4.2*2.4*1,0)</f>
        <v>186132444574</v>
      </c>
      <c r="AA104" s="5">
        <f t="shared" si="35"/>
        <v>140</v>
      </c>
      <c r="AB104" s="9" t="n">
        <f>ROUND($J104*1.637*1.75*2.1*2.3*2.6*3.2*4.2*2.4*2.5*1,0)</f>
        <v>465331111435</v>
      </c>
      <c r="AC104" s="3">
        <f t="shared" si="36"/>
        <v>142</v>
      </c>
      <c r="AD104" s="10" t="n">
        <f>ROUND($J104*1.637*1.75*2.1*2.3*2.6*3.2*4.2*2.4*2.5*2.8*1,0)</f>
        <v>1302927112018</v>
      </c>
      <c r="AE104" s="5">
        <f t="shared" si="37"/>
        <v>145</v>
      </c>
      <c r="AF104" s="9" t="n">
        <f>ROUND($J104*1.637*1.75*2.1*2.3*2.6*3.2*4.2*2.4*2.5*2.8*3.2*1,0)</f>
        <v>4169366758458</v>
      </c>
      <c r="AG104" s="3">
        <f t="shared" si="38"/>
        <v>148</v>
      </c>
      <c r="AH104" s="10" t="n">
        <f>ROUND($J104*1.637*1.75*2.1*2.3*2.6*3.2*4.2*2.4*2.5*2.8*3.2*3.8*1,0)</f>
        <v>15843593682139</v>
      </c>
    </row>
    <row r="105" hidden="1">
      <c r="A105" s="2">
        <v>239</v>
      </c>
      <c r="B105" s="2" t="s">
        <v>189</v>
      </c>
      <c r="C105" s="2" t="s">
        <v>24</v>
      </c>
      <c r="D105" s="2" t="s">
        <v>102</v>
      </c>
      <c r="E105" s="2">
        <v>121</v>
      </c>
      <c r="F105" s="2" t="s">
        <v>62</v>
      </c>
      <c r="G105" s="2" t="s">
        <v>51</v>
      </c>
      <c r="H105" s="2">
        <v>30</v>
      </c>
      <c r="I105" s="3">
        <v>121</v>
      </c>
      <c r="J105" s="4">
        <v>172000000</v>
      </c>
      <c r="K105" s="5">
        <f t="shared" si="27"/>
        <v>122</v>
      </c>
      <c r="L105" s="9" t="n">
        <f>ROUND($J105*1.637*0.8,0)</f>
        <v>225251200</v>
      </c>
      <c r="M105" s="3">
        <f t="shared" si="28"/>
        <v>123</v>
      </c>
      <c r="N105" s="10" t="n">
        <f>ROUND($J105*1.637*1.75*0.8,0)</f>
        <v>394189600</v>
      </c>
      <c r="O105" s="5">
        <f t="shared" si="29"/>
        <v>125</v>
      </c>
      <c r="P105" s="9" t="n">
        <f>ROUND($J105*1.637*1.75*2.1*0.8,0)</f>
        <v>827798160</v>
      </c>
      <c r="Q105" s="3">
        <f t="shared" si="30"/>
        <v>127</v>
      </c>
      <c r="R105" s="10" t="n">
        <f>ROUND($J105*1.637*1.75*2.1*2.3*0.542035092435954,0)</f>
        <v>1290000000</v>
      </c>
      <c r="S105" s="5">
        <f t="shared" si="31"/>
        <v>129</v>
      </c>
      <c r="T105" s="9" t="n">
        <f>ROUND($J105*1.637*1.75*2.1*2.3*2.6*0.544690061623969,0)</f>
        <v>3370428395</v>
      </c>
      <c r="U105" s="3">
        <f t="shared" si="32"/>
        <v>132</v>
      </c>
      <c r="V105" s="10" t="n">
        <f>ROUND($J105*1.637*1.75*2.1*2.3*2.6*3.2*0.547345030811984,0)</f>
        <v>10837941729</v>
      </c>
      <c r="W105" s="5">
        <f t="shared" si="33"/>
        <v>136</v>
      </c>
      <c r="X105" s="9" t="n">
        <f>ROUND($J105*1.637*1.75*2.1*2.3*2.6*3.2*4.2*0.55,0)</f>
        <v>45740152890</v>
      </c>
      <c r="Y105" s="3">
        <f t="shared" si="34"/>
        <v>138</v>
      </c>
      <c r="Z105" s="10" t="n">
        <f>ROUND($J105*1.637*1.75*2.1*2.3*2.6*3.2*4.2*2.4*0.55,0)</f>
        <v>109776366937</v>
      </c>
      <c r="AA105" s="5">
        <f t="shared" si="35"/>
        <v>140</v>
      </c>
      <c r="AB105" s="9" t="n">
        <f>ROUND($J105*1.637*1.75*2.1*2.3*2.6*3.2*4.2*2.4*2.5*0.55,0)</f>
        <v>274440917343</v>
      </c>
      <c r="AC105" s="3">
        <f t="shared" si="36"/>
        <v>142</v>
      </c>
      <c r="AD105" s="10" t="n">
        <f>ROUND($J105*1.637*1.75*2.1*2.3*2.6*3.2*4.2*2.4*2.5*2.8*0.55,0)</f>
        <v>768434568559</v>
      </c>
      <c r="AE105" s="5">
        <f t="shared" si="37"/>
        <v>145</v>
      </c>
      <c r="AF105" s="9" t="n">
        <f>ROUND($J105*1.637*1.75*2.1*2.3*2.6*3.2*4.2*2.4*2.5*2.8*3.2*0.55,0)</f>
        <v>2458990619390</v>
      </c>
      <c r="AG105" s="3">
        <f t="shared" si="38"/>
        <v>148</v>
      </c>
      <c r="AH105" s="10" t="n">
        <f>ROUND($J105*1.637*1.75*2.1*2.3*2.6*3.2*4.2*2.4*2.5*2.8*3.2*3.8*0.55,0)</f>
        <v>9344164353681</v>
      </c>
    </row>
    <row r="106" hidden="1">
      <c r="A106" s="2">
        <v>240</v>
      </c>
      <c r="B106" s="2" t="s">
        <v>190</v>
      </c>
      <c r="C106" s="2" t="s">
        <v>24</v>
      </c>
      <c r="D106" s="2" t="s">
        <v>90</v>
      </c>
      <c r="E106" s="2">
        <v>121</v>
      </c>
      <c r="F106" s="2" t="s">
        <v>62</v>
      </c>
      <c r="G106" s="2" t="s">
        <v>51</v>
      </c>
      <c r="H106" s="2">
        <v>30</v>
      </c>
      <c r="I106" s="3">
        <v>121</v>
      </c>
      <c r="J106" s="4">
        <v>242000000</v>
      </c>
      <c r="K106" s="5">
        <f t="shared" si="27"/>
        <v>122</v>
      </c>
      <c r="L106" s="9" t="n">
        <f>ROUND($J106*1.637*1,0)</f>
        <v>396154000</v>
      </c>
      <c r="M106" s="3">
        <f t="shared" si="28"/>
        <v>123</v>
      </c>
      <c r="N106" s="10" t="n">
        <f>ROUND($J106*1.637*1.75*1,0)</f>
        <v>693269500</v>
      </c>
      <c r="O106" s="5">
        <f t="shared" si="29"/>
        <v>125</v>
      </c>
      <c r="P106" s="9" t="n">
        <f>ROUND($J106*1.637*1.75*2.1*1,0)</f>
        <v>1455865950</v>
      </c>
      <c r="Q106" s="3">
        <f t="shared" si="30"/>
        <v>127</v>
      </c>
      <c r="R106" s="10" t="n">
        <f>ROUND($J106*1.637*1.75*2.1*2.3*1,0)</f>
        <v>3348491685</v>
      </c>
      <c r="S106" s="5">
        <f t="shared" si="31"/>
        <v>129</v>
      </c>
      <c r="T106" s="9" t="n">
        <f>ROUND($J106*1.637*1.75*2.1*2.3*2.6*1,0)</f>
        <v>8706078381</v>
      </c>
      <c r="U106" s="3">
        <f t="shared" si="32"/>
        <v>132</v>
      </c>
      <c r="V106" s="10" t="n">
        <f>ROUND($J106*1.637*1.75*2.1*2.3*2.6*3.2*1,0)</f>
        <v>27859450819</v>
      </c>
      <c r="W106" s="5">
        <f t="shared" si="33"/>
        <v>136</v>
      </c>
      <c r="X106" s="9" t="n">
        <f>ROUND($J106*1.637*1.75*2.1*2.3*2.6*3.2*4.2*1,0)</f>
        <v>117009693441</v>
      </c>
      <c r="Y106" s="3">
        <f t="shared" si="34"/>
        <v>138</v>
      </c>
      <c r="Z106" s="10" t="n">
        <f>ROUND($J106*1.637*1.75*2.1*2.3*2.6*3.2*4.2*2.4*1,0)</f>
        <v>280823264258</v>
      </c>
      <c r="AA106" s="5">
        <f t="shared" si="35"/>
        <v>140</v>
      </c>
      <c r="AB106" s="9" t="n">
        <f>ROUND($J106*1.637*1.75*2.1*2.3*2.6*3.2*4.2*2.4*2.5*1,0)</f>
        <v>702058160644</v>
      </c>
      <c r="AC106" s="3">
        <f t="shared" si="36"/>
        <v>142</v>
      </c>
      <c r="AD106" s="10" t="n">
        <f>ROUND($J106*1.637*1.75*2.1*2.3*2.6*3.2*4.2*2.4*2.5*2.8*1,0)</f>
        <v>1965762849803</v>
      </c>
      <c r="AE106" s="5">
        <f t="shared" si="37"/>
        <v>145</v>
      </c>
      <c r="AF106" s="9" t="n">
        <f>ROUND($J106*1.637*1.75*2.1*2.3*2.6*3.2*4.2*2.4*2.5*2.8*3.2*1,0)</f>
        <v>6290441119369</v>
      </c>
      <c r="AG106" s="3">
        <f t="shared" si="38"/>
        <v>148</v>
      </c>
      <c r="AH106" s="10" t="n">
        <f>ROUND($J106*1.637*1.75*2.1*2.3*2.6*3.2*4.2*2.4*2.5*2.8*3.2*3.8*1,0)</f>
        <v>23903676253602</v>
      </c>
    </row>
    <row r="107" hidden="1">
      <c r="A107" s="2">
        <v>243</v>
      </c>
      <c r="B107" s="2" t="s">
        <v>191</v>
      </c>
      <c r="C107" s="2" t="s">
        <v>24</v>
      </c>
      <c r="D107" s="2" t="s">
        <v>40</v>
      </c>
      <c r="E107" s="2">
        <v>121</v>
      </c>
      <c r="F107" s="2" t="s">
        <v>120</v>
      </c>
      <c r="G107" s="2" t="s">
        <v>72</v>
      </c>
      <c r="H107" s="2">
        <v>30</v>
      </c>
      <c r="I107" s="3">
        <v>121</v>
      </c>
      <c r="J107" s="4">
        <v>152000000</v>
      </c>
      <c r="K107" s="5">
        <f t="shared" si="27"/>
        <v>122</v>
      </c>
      <c r="L107" s="9" t="n">
        <f>ROUND($J107*1.637*0.8,0)</f>
        <v>199059200</v>
      </c>
      <c r="M107" s="3">
        <f t="shared" si="28"/>
        <v>123</v>
      </c>
      <c r="N107" s="10" t="n">
        <f>ROUND($J107*1.637*1.75*0.8,0)</f>
        <v>348353600</v>
      </c>
      <c r="O107" s="5">
        <f t="shared" si="29"/>
        <v>125</v>
      </c>
      <c r="P107" s="9" t="n">
        <f>ROUND($J107*1.637*1.75*2.1*0.8,0)</f>
        <v>731542560</v>
      </c>
      <c r="Q107" s="3">
        <f t="shared" si="30"/>
        <v>127</v>
      </c>
      <c r="R107" s="10" t="n">
        <f>ROUND($J107*1.637*1.75*2.1*2.3*0.542035092435954,0)</f>
        <v>1140000000</v>
      </c>
      <c r="S107" s="5">
        <f t="shared" si="31"/>
        <v>129</v>
      </c>
      <c r="T107" s="9" t="n">
        <f>ROUND($J107*1.637*1.75*2.1*2.3*2.6*0.544690061623969,0)</f>
        <v>2978518117</v>
      </c>
      <c r="U107" s="3">
        <f t="shared" si="32"/>
        <v>132</v>
      </c>
      <c r="V107" s="10" t="n">
        <f>ROUND($J107*1.637*1.75*2.1*2.3*2.6*3.2*0.547345030811984,0)</f>
        <v>9577715946</v>
      </c>
      <c r="W107" s="5">
        <f t="shared" si="33"/>
        <v>136</v>
      </c>
      <c r="X107" s="9" t="n">
        <f>ROUND($J107*1.637*1.75*2.1*2.3*2.6*3.2*4.2*0.55,0)</f>
        <v>40421530461</v>
      </c>
      <c r="Y107" s="3">
        <f t="shared" si="34"/>
        <v>138</v>
      </c>
      <c r="Z107" s="10" t="n">
        <f>ROUND($J107*1.637*1.75*2.1*2.3*2.6*3.2*4.2*2.4*0.55,0)</f>
        <v>97011673107</v>
      </c>
      <c r="AA107" s="5">
        <f t="shared" si="35"/>
        <v>140</v>
      </c>
      <c r="AB107" s="9" t="n">
        <f>ROUND($J107*1.637*1.75*2.1*2.3*2.6*3.2*4.2*2.4*2.5*0.55,0)</f>
        <v>242529182768</v>
      </c>
      <c r="AC107" s="3">
        <f t="shared" si="36"/>
        <v>142</v>
      </c>
      <c r="AD107" s="10" t="n">
        <f>ROUND($J107*1.637*1.75*2.1*2.3*2.6*3.2*4.2*2.4*2.5*2.8*0.55,0)</f>
        <v>679081711750</v>
      </c>
      <c r="AE107" s="5">
        <f t="shared" si="37"/>
        <v>145</v>
      </c>
      <c r="AF107" s="9" t="n">
        <f>ROUND($J107*1.637*1.75*2.1*2.3*2.6*3.2*4.2*2.4*2.5*2.8*3.2*0.55,0)</f>
        <v>2173061477600</v>
      </c>
      <c r="AG107" s="3">
        <f t="shared" si="38"/>
        <v>148</v>
      </c>
      <c r="AH107" s="10" t="n">
        <f>ROUND($J107*1.637*1.75*2.1*2.3*2.6*3.2*4.2*2.4*2.5*2.8*3.2*3.8*0.55,0)</f>
        <v>8257633614881</v>
      </c>
    </row>
    <row r="108" hidden="1">
      <c r="A108" s="2">
        <v>244</v>
      </c>
      <c r="B108" s="2" t="s">
        <v>192</v>
      </c>
      <c r="C108" s="2" t="s">
        <v>24</v>
      </c>
      <c r="D108" s="2" t="s">
        <v>40</v>
      </c>
      <c r="E108" s="2">
        <v>121</v>
      </c>
      <c r="F108" s="2" t="s">
        <v>56</v>
      </c>
      <c r="G108" s="2" t="s">
        <v>95</v>
      </c>
      <c r="H108" s="2">
        <v>30</v>
      </c>
      <c r="I108" s="3">
        <v>121</v>
      </c>
      <c r="J108" s="4">
        <v>277000000</v>
      </c>
      <c r="K108" s="5">
        <f t="shared" si="27"/>
        <v>122</v>
      </c>
      <c r="L108" s="9" t="n">
        <f>ROUND($J108*1.637*1,0)</f>
        <v>453449000</v>
      </c>
      <c r="M108" s="3">
        <f t="shared" si="28"/>
        <v>123</v>
      </c>
      <c r="N108" s="10" t="n">
        <f>ROUND($J108*1.637*1.75*1,0)</f>
        <v>793535750</v>
      </c>
      <c r="O108" s="5">
        <f t="shared" si="29"/>
        <v>125</v>
      </c>
      <c r="P108" s="9" t="n">
        <f>ROUND($J108*1.637*1.75*2.1*1,0)</f>
        <v>1666425075</v>
      </c>
      <c r="Q108" s="3">
        <f t="shared" si="30"/>
        <v>127</v>
      </c>
      <c r="R108" s="10" t="n">
        <f>ROUND($J108*1.637*1.75*2.1*2.3*1,0)</f>
        <v>3832777673</v>
      </c>
      <c r="S108" s="5">
        <f t="shared" si="31"/>
        <v>129</v>
      </c>
      <c r="T108" s="9" t="n">
        <f>ROUND($J108*1.637*1.75*2.1*2.3*2.6*1,0)</f>
        <v>9965221949</v>
      </c>
      <c r="U108" s="3">
        <f t="shared" si="32"/>
        <v>132</v>
      </c>
      <c r="V108" s="10" t="n">
        <f>ROUND($J108*1.637*1.75*2.1*2.3*2.6*3.2*1,0)</f>
        <v>31888710235</v>
      </c>
      <c r="W108" s="5">
        <f t="shared" si="33"/>
        <v>136</v>
      </c>
      <c r="X108" s="9" t="n">
        <f>ROUND($J108*1.637*1.75*2.1*2.3*2.6*3.2*4.2*1,0)</f>
        <v>133932582988</v>
      </c>
      <c r="Y108" s="3">
        <f t="shared" si="34"/>
        <v>138</v>
      </c>
      <c r="Z108" s="10" t="n">
        <f>ROUND($J108*1.637*1.75*2.1*2.3*2.6*3.2*4.2*2.4*1,0)</f>
        <v>321438199171</v>
      </c>
      <c r="AA108" s="5">
        <f t="shared" si="35"/>
        <v>140</v>
      </c>
      <c r="AB108" s="9" t="n">
        <f>ROUND($J108*1.637*1.75*2.1*2.3*2.6*3.2*4.2*2.4*2.5*1,0)</f>
        <v>803595497927</v>
      </c>
      <c r="AC108" s="3">
        <f t="shared" si="36"/>
        <v>142</v>
      </c>
      <c r="AD108" s="10" t="n">
        <f>ROUND($J108*1.637*1.75*2.1*2.3*2.6*3.2*4.2*2.4*2.5*2.8*1,0)</f>
        <v>2250067394196</v>
      </c>
      <c r="AE108" s="5">
        <f t="shared" si="37"/>
        <v>145</v>
      </c>
      <c r="AF108" s="9" t="n">
        <f>ROUND($J108*1.637*1.75*2.1*2.3*2.6*3.2*4.2*2.4*2.5*2.8*3.2*1,0)</f>
        <v>7200215661426</v>
      </c>
      <c r="AG108" s="3">
        <f t="shared" si="38"/>
        <v>148</v>
      </c>
      <c r="AH108" s="10" t="n">
        <f>ROUND($J108*1.637*1.75*2.1*2.3*2.6*3.2*4.2*2.4*2.5*2.8*3.2*3.8*1,0)</f>
        <v>27360819513420</v>
      </c>
    </row>
    <row r="109" hidden="1">
      <c r="A109" s="2">
        <v>242</v>
      </c>
      <c r="B109" s="2" t="s">
        <v>193</v>
      </c>
      <c r="C109" s="2" t="s">
        <v>24</v>
      </c>
      <c r="D109" s="2" t="s">
        <v>102</v>
      </c>
      <c r="E109" s="2">
        <v>121</v>
      </c>
      <c r="F109" s="2" t="s">
        <v>194</v>
      </c>
      <c r="G109" s="2" t="s">
        <v>98</v>
      </c>
      <c r="H109" s="2">
        <v>30</v>
      </c>
      <c r="I109" s="3">
        <v>121</v>
      </c>
      <c r="J109" s="4">
        <v>144000000</v>
      </c>
      <c r="K109" s="5">
        <f t="shared" si="27"/>
        <v>122</v>
      </c>
      <c r="L109" s="9" t="n">
        <f>ROUND($J109*1.637*1,0)</f>
        <v>235728000</v>
      </c>
      <c r="M109" s="3">
        <f t="shared" si="28"/>
        <v>123</v>
      </c>
      <c r="N109" s="10" t="n">
        <f>ROUND($J109*1.637*1.75*1,0)</f>
        <v>412524000</v>
      </c>
      <c r="O109" s="5">
        <f t="shared" si="29"/>
        <v>125</v>
      </c>
      <c r="P109" s="9" t="n">
        <f>ROUND($J109*1.637*1.75*2.1*1,0)</f>
        <v>866300400</v>
      </c>
      <c r="Q109" s="3">
        <f t="shared" si="30"/>
        <v>127</v>
      </c>
      <c r="R109" s="10" t="n">
        <f>ROUND($J109*1.637*1.75*2.1*2.3*1,0)</f>
        <v>1992490920</v>
      </c>
      <c r="S109" s="5">
        <f t="shared" si="31"/>
        <v>129</v>
      </c>
      <c r="T109" s="9" t="n">
        <f>ROUND($J109*1.637*1.75*2.1*2.3*2.6*1,0)</f>
        <v>5180476392</v>
      </c>
      <c r="U109" s="3">
        <f t="shared" si="32"/>
        <v>132</v>
      </c>
      <c r="V109" s="10" t="n">
        <f>ROUND($J109*1.637*1.75*2.1*2.3*2.6*3.2*1,0)</f>
        <v>16577524454</v>
      </c>
      <c r="W109" s="5">
        <f t="shared" si="33"/>
        <v>136</v>
      </c>
      <c r="X109" s="9" t="n">
        <f>ROUND($J109*1.637*1.75*2.1*2.3*2.6*3.2*4.2*1,0)</f>
        <v>69625602708</v>
      </c>
      <c r="Y109" s="3">
        <f t="shared" si="34"/>
        <v>138</v>
      </c>
      <c r="Z109" s="10" t="n">
        <f>ROUND($J109*1.637*1.75*2.1*2.3*2.6*3.2*4.2*2.4*1,0)</f>
        <v>167101446500</v>
      </c>
      <c r="AA109" s="5">
        <f t="shared" si="35"/>
        <v>140</v>
      </c>
      <c r="AB109" s="9" t="n">
        <f>ROUND($J109*1.637*1.75*2.1*2.3*2.6*3.2*4.2*2.4*2.5*1,0)</f>
        <v>417753616251</v>
      </c>
      <c r="AC109" s="3">
        <f t="shared" si="36"/>
        <v>142</v>
      </c>
      <c r="AD109" s="10" t="n">
        <f>ROUND($J109*1.637*1.75*2.1*2.3*2.6*3.2*4.2*2.4*2.5*2.8*1,0)</f>
        <v>1169710125502</v>
      </c>
      <c r="AE109" s="5">
        <f t="shared" si="37"/>
        <v>145</v>
      </c>
      <c r="AF109" s="9" t="n">
        <f>ROUND($J109*1.637*1.75*2.1*2.3*2.6*3.2*4.2*2.4*2.5*2.8*3.2*1,0)</f>
        <v>3743072401608</v>
      </c>
      <c r="AG109" s="3">
        <f t="shared" si="38"/>
        <v>148</v>
      </c>
      <c r="AH109" s="10" t="n">
        <f>ROUND($J109*1.637*1.75*2.1*2.3*2.6*3.2*4.2*2.4*2.5*2.8*3.2*3.8*1,0)</f>
        <v>14223675126110</v>
      </c>
    </row>
    <row r="110" hidden="1">
      <c r="A110" s="2">
        <v>245</v>
      </c>
      <c r="B110" s="2" t="s">
        <v>195</v>
      </c>
      <c r="C110" s="2" t="s">
        <v>24</v>
      </c>
      <c r="D110" s="2" t="s">
        <v>40</v>
      </c>
      <c r="E110" s="2">
        <v>121</v>
      </c>
      <c r="F110" s="2" t="s">
        <v>42</v>
      </c>
      <c r="G110" s="2" t="s">
        <v>72</v>
      </c>
      <c r="H110" s="2">
        <v>30</v>
      </c>
      <c r="I110" s="3">
        <v>121</v>
      </c>
      <c r="J110" s="4">
        <v>257900000</v>
      </c>
      <c r="K110" s="5">
        <f t="shared" si="27"/>
        <v>122</v>
      </c>
      <c r="L110" s="9" t="n">
        <f>ROUND($J110*1.637*0.8,0)</f>
        <v>337745840</v>
      </c>
      <c r="M110" s="3">
        <f t="shared" si="28"/>
        <v>123</v>
      </c>
      <c r="N110" s="10" t="n">
        <f>ROUND($J110*1.637*1.75*0.8,0)</f>
        <v>591055220</v>
      </c>
      <c r="O110" s="5">
        <f t="shared" si="29"/>
        <v>125</v>
      </c>
      <c r="P110" s="9" t="n">
        <f>ROUND($J110*1.637*1.75*2.1*0.8,0)</f>
        <v>1241215962</v>
      </c>
      <c r="Q110" s="3">
        <f t="shared" si="30"/>
        <v>127</v>
      </c>
      <c r="R110" s="10" t="n">
        <f>ROUND($J110*1.637*1.75*2.1*2.3*0.542035092435954,0)</f>
        <v>1934250000</v>
      </c>
      <c r="S110" s="5">
        <f t="shared" si="31"/>
        <v>129</v>
      </c>
      <c r="T110" s="9" t="n">
        <f>ROUND($J110*1.637*1.75*2.1*2.3*2.6*0.544690061623969,0)</f>
        <v>5053683041</v>
      </c>
      <c r="U110" s="3">
        <f t="shared" si="32"/>
        <v>132</v>
      </c>
      <c r="V110" s="10" t="n">
        <f>ROUND($J110*1.637*1.75*2.1*2.3*2.6*3.2*0.547345030811984,0)</f>
        <v>16250611464</v>
      </c>
      <c r="W110" s="5">
        <f t="shared" si="33"/>
        <v>136</v>
      </c>
      <c r="X110" s="9" t="n">
        <f>ROUND($J110*1.637*1.75*2.1*2.3*2.6*3.2*4.2*0.55,0)</f>
        <v>68583636224</v>
      </c>
      <c r="Y110" s="3">
        <f t="shared" si="34"/>
        <v>138</v>
      </c>
      <c r="Z110" s="10" t="n">
        <f>ROUND($J110*1.637*1.75*2.1*2.3*2.6*3.2*4.2*2.4*0.55,0)</f>
        <v>164600726936</v>
      </c>
      <c r="AA110" s="5">
        <f t="shared" si="35"/>
        <v>140</v>
      </c>
      <c r="AB110" s="9" t="n">
        <f>ROUND($J110*1.637*1.75*2.1*2.3*2.6*3.2*4.2*2.4*2.5*0.55,0)</f>
        <v>411501817341</v>
      </c>
      <c r="AC110" s="3">
        <f t="shared" si="36"/>
        <v>142</v>
      </c>
      <c r="AD110" s="10" t="n">
        <f>ROUND($J110*1.637*1.75*2.1*2.3*2.6*3.2*4.2*2.4*2.5*2.8*0.55,0)</f>
        <v>1152205088555</v>
      </c>
      <c r="AE110" s="5">
        <f t="shared" si="37"/>
        <v>145</v>
      </c>
      <c r="AF110" s="9" t="n">
        <f>ROUND($J110*1.637*1.75*2.1*2.3*2.6*3.2*4.2*2.4*2.5*2.8*3.2*0.55,0)</f>
        <v>3687056283375</v>
      </c>
      <c r="AG110" s="3">
        <f t="shared" si="38"/>
        <v>148</v>
      </c>
      <c r="AH110" s="10" t="n">
        <f>ROUND($J110*1.637*1.75*2.1*2.3*2.6*3.2*4.2*2.4*2.5*2.8*3.2*3.8*0.55,0)</f>
        <v>14010813876827</v>
      </c>
    </row>
    <row r="111" hidden="1">
      <c r="A111" s="2">
        <v>122</v>
      </c>
      <c r="B111" s="2" t="s">
        <v>196</v>
      </c>
      <c r="C111" s="2" t="s">
        <v>24</v>
      </c>
      <c r="D111" s="2" t="s">
        <v>25</v>
      </c>
      <c r="E111" s="2">
        <v>121</v>
      </c>
      <c r="F111" s="2" t="s">
        <v>59</v>
      </c>
      <c r="G111" s="2" t="s">
        <v>51</v>
      </c>
      <c r="H111" s="2">
        <v>30</v>
      </c>
      <c r="I111" s="3">
        <v>121</v>
      </c>
      <c r="J111" s="4">
        <v>118000000</v>
      </c>
      <c r="K111" s="5">
        <f t="shared" si="27"/>
        <v>122</v>
      </c>
      <c r="L111" s="9" t="n">
        <f>ROUND($J111*1.637*0.8,0)</f>
        <v>154532800</v>
      </c>
      <c r="M111" s="3">
        <f t="shared" si="28"/>
        <v>123</v>
      </c>
      <c r="N111" s="10" t="n">
        <f>ROUND($J111*1.637*1.75*0.8,0)</f>
        <v>270432400</v>
      </c>
      <c r="O111" s="5">
        <f t="shared" si="29"/>
        <v>125</v>
      </c>
      <c r="P111" s="9" t="n">
        <f>ROUND($J111*1.637*1.75*2.1*0.8,0)</f>
        <v>567908040</v>
      </c>
      <c r="Q111" s="3">
        <f t="shared" si="30"/>
        <v>127</v>
      </c>
      <c r="R111" s="10" t="n">
        <f>ROUND($J111*1.637*1.75*2.1*2.3*0.542035092435954,0)</f>
        <v>885000000</v>
      </c>
      <c r="S111" s="5">
        <f t="shared" si="31"/>
        <v>129</v>
      </c>
      <c r="T111" s="9" t="n">
        <f>ROUND($J111*1.637*1.75*2.1*2.3*2.6*0.544690061623969,0)</f>
        <v>2312270643</v>
      </c>
      <c r="U111" s="3">
        <f t="shared" si="32"/>
        <v>132</v>
      </c>
      <c r="V111" s="10" t="n">
        <f>ROUND($J111*1.637*1.75*2.1*2.3*2.6*3.2*0.547345030811984,0)</f>
        <v>7435332116</v>
      </c>
      <c r="W111" s="5">
        <f t="shared" si="33"/>
        <v>136</v>
      </c>
      <c r="X111" s="9" t="n">
        <f>ROUND($J111*1.637*1.75*2.1*2.3*2.6*3.2*4.2*0.55,0)</f>
        <v>31379872332</v>
      </c>
      <c r="Y111" s="3">
        <f t="shared" si="34"/>
        <v>138</v>
      </c>
      <c r="Z111" s="10" t="n">
        <f>ROUND($J111*1.637*1.75*2.1*2.3*2.6*3.2*4.2*2.4*0.55,0)</f>
        <v>75311693596</v>
      </c>
      <c r="AA111" s="5">
        <f t="shared" si="35"/>
        <v>140</v>
      </c>
      <c r="AB111" s="9" t="n">
        <f>ROUND($J111*1.637*1.75*2.1*2.3*2.6*3.2*4.2*2.4*2.5*0.55,0)</f>
        <v>188279233991</v>
      </c>
      <c r="AC111" s="3">
        <f t="shared" si="36"/>
        <v>142</v>
      </c>
      <c r="AD111" s="10" t="n">
        <f>ROUND($J111*1.637*1.75*2.1*2.3*2.6*3.2*4.2*2.4*2.5*2.8*0.55,0)</f>
        <v>527181855174</v>
      </c>
      <c r="AE111" s="5">
        <f t="shared" si="37"/>
        <v>145</v>
      </c>
      <c r="AF111" s="9" t="n">
        <f>ROUND($J111*1.637*1.75*2.1*2.3*2.6*3.2*4.2*2.4*2.5*2.8*3.2*0.55,0)</f>
        <v>1686981936558</v>
      </c>
      <c r="AG111" s="3">
        <f t="shared" si="38"/>
        <v>148</v>
      </c>
      <c r="AH111" s="10" t="n">
        <f>ROUND($J111*1.637*1.75*2.1*2.3*2.6*3.2*4.2*2.4*2.5*2.8*3.2*3.8*0.55,0)</f>
        <v>6410531358920</v>
      </c>
    </row>
    <row r="112" hidden="1">
      <c r="A112" s="2">
        <v>246</v>
      </c>
      <c r="B112" s="2" t="s">
        <v>197</v>
      </c>
      <c r="C112" s="2" t="s">
        <v>24</v>
      </c>
      <c r="D112" s="2" t="s">
        <v>25</v>
      </c>
      <c r="E112" s="2">
        <v>121</v>
      </c>
      <c r="F112" s="2" t="s">
        <v>30</v>
      </c>
      <c r="G112" s="2" t="s">
        <v>198</v>
      </c>
      <c r="H112" s="2">
        <v>30</v>
      </c>
      <c r="I112" s="3">
        <v>121</v>
      </c>
      <c r="J112" s="4">
        <v>147000000</v>
      </c>
      <c r="K112" s="5">
        <f t="shared" si="27"/>
        <v>122</v>
      </c>
      <c r="L112" s="9" t="n">
        <f>ROUND($J112*1.637*1,0)</f>
        <v>240639000</v>
      </c>
      <c r="M112" s="3">
        <f t="shared" si="28"/>
        <v>123</v>
      </c>
      <c r="N112" s="10" t="n">
        <f>ROUND($J112*1.637*1.75*1,0)</f>
        <v>421118250</v>
      </c>
      <c r="O112" s="5">
        <f t="shared" si="29"/>
        <v>125</v>
      </c>
      <c r="P112" s="9" t="n">
        <f>ROUND($J112*1.637*1.75*2.1*1,0)</f>
        <v>884348325</v>
      </c>
      <c r="Q112" s="3">
        <f t="shared" si="30"/>
        <v>127</v>
      </c>
      <c r="R112" s="10" t="n">
        <f>ROUND($J112*1.637*1.75*2.1*2.3*1,0)</f>
        <v>2034001148</v>
      </c>
      <c r="S112" s="5">
        <f t="shared" si="31"/>
        <v>129</v>
      </c>
      <c r="T112" s="9" t="n">
        <f>ROUND($J112*1.637*1.75*2.1*2.3*2.6*1,0)</f>
        <v>5288402984</v>
      </c>
      <c r="U112" s="3">
        <f t="shared" si="32"/>
        <v>132</v>
      </c>
      <c r="V112" s="10" t="n">
        <f>ROUND($J112*1.637*1.75*2.1*2.3*2.6*3.2*1,0)</f>
        <v>16922889547</v>
      </c>
      <c r="W112" s="5">
        <f t="shared" si="33"/>
        <v>136</v>
      </c>
      <c r="X112" s="9" t="n">
        <f>ROUND($J112*1.637*1.75*2.1*2.3*2.6*3.2*4.2*1,0)</f>
        <v>71076136098</v>
      </c>
      <c r="Y112" s="3">
        <f t="shared" si="34"/>
        <v>138</v>
      </c>
      <c r="Z112" s="10" t="n">
        <f>ROUND($J112*1.637*1.75*2.1*2.3*2.6*3.2*4.2*2.4*1,0)</f>
        <v>170582726636</v>
      </c>
      <c r="AA112" s="5">
        <f t="shared" si="35"/>
        <v>140</v>
      </c>
      <c r="AB112" s="9" t="n">
        <f>ROUND($J112*1.637*1.75*2.1*2.3*2.6*3.2*4.2*2.4*2.5*1,0)</f>
        <v>426456816589</v>
      </c>
      <c r="AC112" s="3">
        <f t="shared" si="36"/>
        <v>142</v>
      </c>
      <c r="AD112" s="10" t="n">
        <f>ROUND($J112*1.637*1.75*2.1*2.3*2.6*3.2*4.2*2.4*2.5*2.8*1,0)</f>
        <v>1194079086450</v>
      </c>
      <c r="AE112" s="5">
        <f t="shared" si="37"/>
        <v>145</v>
      </c>
      <c r="AF112" s="9" t="n">
        <f>ROUND($J112*1.637*1.75*2.1*2.3*2.6*3.2*4.2*2.4*2.5*2.8*3.2*1,0)</f>
        <v>3821053076641</v>
      </c>
      <c r="AG112" s="3">
        <f t="shared" si="38"/>
        <v>148</v>
      </c>
      <c r="AH112" s="10" t="n">
        <f>ROUND($J112*1.637*1.75*2.1*2.3*2.6*3.2*4.2*2.4*2.5*2.8*3.2*3.8*1,0)</f>
        <v>14520001691237</v>
      </c>
    </row>
    <row r="113" hidden="1">
      <c r="A113" s="2">
        <v>241</v>
      </c>
      <c r="B113" s="2" t="s">
        <v>199</v>
      </c>
      <c r="C113" s="2" t="s">
        <v>24</v>
      </c>
      <c r="D113" s="2" t="s">
        <v>45</v>
      </c>
      <c r="E113" s="2">
        <v>121</v>
      </c>
      <c r="F113" s="2" t="s">
        <v>26</v>
      </c>
      <c r="G113" s="2" t="s">
        <v>200</v>
      </c>
      <c r="H113" s="2">
        <v>30</v>
      </c>
      <c r="I113" s="3">
        <v>121</v>
      </c>
      <c r="J113" s="4">
        <v>228100000</v>
      </c>
      <c r="K113" s="5">
        <f t="shared" si="27"/>
        <v>122</v>
      </c>
      <c r="L113" s="9" t="n">
        <f>ROUND($J113*1.637*1,0)</f>
        <v>373399700</v>
      </c>
      <c r="M113" s="3">
        <f t="shared" si="28"/>
        <v>123</v>
      </c>
      <c r="N113" s="10" t="n">
        <f>ROUND($J113*1.637*1.75*1,0)</f>
        <v>653449475</v>
      </c>
      <c r="O113" s="5">
        <f t="shared" si="29"/>
        <v>125</v>
      </c>
      <c r="P113" s="9" t="n">
        <f>ROUND($J113*1.637*1.75*2.1*1,0)</f>
        <v>1372243898</v>
      </c>
      <c r="Q113" s="3">
        <f t="shared" si="30"/>
        <v>127</v>
      </c>
      <c r="R113" s="10" t="n">
        <f>ROUND($J113*1.637*1.75*2.1*2.3*1,0)</f>
        <v>3156160964</v>
      </c>
      <c r="S113" s="5">
        <f t="shared" si="31"/>
        <v>129</v>
      </c>
      <c r="T113" s="9" t="n">
        <f>ROUND($J113*1.637*1.75*2.1*2.3*2.6*1,0)</f>
        <v>8206018507</v>
      </c>
      <c r="U113" s="3">
        <f t="shared" si="32"/>
        <v>132</v>
      </c>
      <c r="V113" s="10" t="n">
        <f>ROUND($J113*1.637*1.75*2.1*2.3*2.6*3.2*1,0)</f>
        <v>26259259223</v>
      </c>
      <c r="W113" s="5">
        <f t="shared" si="33"/>
        <v>136</v>
      </c>
      <c r="X113" s="9" t="n">
        <f>ROUND($J113*1.637*1.75*2.1*2.3*2.6*3.2*4.2*1,0)</f>
        <v>110288888735</v>
      </c>
      <c r="Y113" s="3">
        <f t="shared" si="34"/>
        <v>138</v>
      </c>
      <c r="Z113" s="10" t="n">
        <f>ROUND($J113*1.637*1.75*2.1*2.3*2.6*3.2*4.2*2.4*1,0)</f>
        <v>264693332963</v>
      </c>
      <c r="AA113" s="5">
        <f t="shared" si="35"/>
        <v>140</v>
      </c>
      <c r="AB113" s="9" t="n">
        <f>ROUND($J113*1.637*1.75*2.1*2.3*2.6*3.2*4.2*2.4*2.5*1,0)</f>
        <v>661733332409</v>
      </c>
      <c r="AC113" s="3">
        <f t="shared" si="36"/>
        <v>142</v>
      </c>
      <c r="AD113" s="10" t="n">
        <f>ROUND($J113*1.637*1.75*2.1*2.3*2.6*3.2*4.2*2.4*2.5*2.8*1,0)</f>
        <v>1852853330744</v>
      </c>
      <c r="AE113" s="5">
        <f t="shared" si="37"/>
        <v>145</v>
      </c>
      <c r="AF113" s="9" t="n">
        <f>ROUND($J113*1.637*1.75*2.1*2.3*2.6*3.2*4.2*2.4*2.5*2.8*3.2*1,0)</f>
        <v>5929130658380</v>
      </c>
      <c r="AG113" s="3">
        <f t="shared" si="38"/>
        <v>148</v>
      </c>
      <c r="AH113" s="10" t="n">
        <f>ROUND($J113*1.637*1.75*2.1*2.3*2.6*3.2*4.2*2.4*2.5*2.8*3.2*3.8*1,0)</f>
        <v>22530696501845</v>
      </c>
    </row>
    <row r="114" hidden="1">
      <c r="A114" s="2">
        <v>258</v>
      </c>
      <c r="B114" s="2" t="s">
        <v>201</v>
      </c>
      <c r="C114" s="2" t="s">
        <v>24</v>
      </c>
      <c r="D114" s="2" t="s">
        <v>93</v>
      </c>
      <c r="E114" s="2">
        <v>120</v>
      </c>
      <c r="F114" s="2" t="s">
        <v>120</v>
      </c>
      <c r="G114" s="2" t="s">
        <v>95</v>
      </c>
      <c r="H114" s="2">
        <v>30</v>
      </c>
      <c r="I114" s="3">
        <v>120</v>
      </c>
      <c r="J114" s="4">
        <v>221000000</v>
      </c>
      <c r="K114" s="5">
        <f t="shared" si="27"/>
        <v>121</v>
      </c>
      <c r="L114" s="9" t="n">
        <f t="shared" ref="L114:L128" si="45">ROUND($J114*1.637*0.8,0)</f>
        <v>289421600</v>
      </c>
      <c r="M114" s="3">
        <f t="shared" si="28"/>
        <v>122</v>
      </c>
      <c r="N114" s="10" t="n">
        <f t="shared" ref="N114:N128" si="46">ROUND($J114*1.637*1.75*0.8,0)</f>
        <v>506487800</v>
      </c>
      <c r="O114" s="5">
        <f t="shared" si="29"/>
        <v>124</v>
      </c>
      <c r="P114" s="9" t="n">
        <f t="shared" ref="P114:P128" si="47">ROUND($J114*1.637*1.75*2.1*0.8,0)</f>
        <v>1063624380</v>
      </c>
      <c r="Q114" s="3">
        <f t="shared" si="30"/>
        <v>126</v>
      </c>
      <c r="R114" s="10" t="n">
        <f t="shared" ref="R114:R128" si="48">ROUND($J114*1.637*1.75*2.1*2.3*0.542035092435954,0)</f>
        <v>1657500000</v>
      </c>
      <c r="S114" s="5">
        <f t="shared" si="31"/>
        <v>128</v>
      </c>
      <c r="T114" s="9" t="n">
        <f t="shared" ref="T114:T128" si="49">ROUND($J114*1.637*1.75*2.1*2.3*2.6*0.544690061623969,0)</f>
        <v>4330608577</v>
      </c>
      <c r="U114" s="3">
        <f t="shared" si="32"/>
        <v>131</v>
      </c>
      <c r="V114" s="10" t="n">
        <f t="shared" ref="V114:V128" si="50">ROUND($J114*1.637*1.75*2.1*2.3*2.6*3.2*0.547345030811984,0)</f>
        <v>13925494896</v>
      </c>
      <c r="W114" s="5">
        <f t="shared" si="33"/>
        <v>135</v>
      </c>
      <c r="X114" s="9" t="n">
        <f t="shared" ref="X114:X128" si="51">ROUND($J114*1.637*1.75*2.1*2.3*2.6*3.2*4.2*0.55,0)</f>
        <v>58770777842</v>
      </c>
      <c r="Y114" s="3">
        <f t="shared" si="34"/>
        <v>137</v>
      </c>
      <c r="Z114" s="10" t="n">
        <f t="shared" ref="Z114:Z128" si="52">ROUND($J114*1.637*1.75*2.1*2.3*2.6*3.2*4.2*2.4*0.55,0)</f>
        <v>141049866820</v>
      </c>
      <c r="AA114" s="5">
        <f t="shared" si="35"/>
        <v>139</v>
      </c>
      <c r="AB114" s="9" t="n">
        <f t="shared" ref="AB114:AB128" si="53">ROUND($J114*1.637*1.75*2.1*2.3*2.6*3.2*4.2*2.4*2.5*0.55,0)</f>
        <v>352624667051</v>
      </c>
      <c r="AC114" s="3">
        <f t="shared" si="36"/>
        <v>141</v>
      </c>
      <c r="AD114" s="10" t="n">
        <f t="shared" ref="AD114:AD128" si="54">ROUND($J114*1.637*1.75*2.1*2.3*2.6*3.2*4.2*2.4*2.5*2.8*0.55,0)</f>
        <v>987349067742</v>
      </c>
      <c r="AE114" s="5">
        <f t="shared" si="37"/>
        <v>144</v>
      </c>
      <c r="AF114" s="9" t="n">
        <f t="shared" ref="AF114:AF128" si="55">ROUND($J114*1.637*1.75*2.1*2.3*2.6*3.2*4.2*2.4*2.5*2.8*3.2*0.55,0)</f>
        <v>3159517016774</v>
      </c>
      <c r="AG114" s="3">
        <f t="shared" si="38"/>
        <v>147</v>
      </c>
      <c r="AH114" s="10" t="n">
        <f t="shared" ref="AH114:AH128" si="56">ROUND($J114*1.637*1.75*2.1*2.3*2.6*3.2*4.2*2.4*2.5*2.8*3.2*3.8*0.55,0)</f>
        <v>12006164663741</v>
      </c>
    </row>
    <row r="115" hidden="1">
      <c r="A115" s="2">
        <v>255</v>
      </c>
      <c r="B115" s="2" t="s">
        <v>202</v>
      </c>
      <c r="C115" s="2" t="s">
        <v>24</v>
      </c>
      <c r="D115" s="2" t="s">
        <v>29</v>
      </c>
      <c r="E115" s="2">
        <v>120</v>
      </c>
      <c r="F115" s="2" t="s">
        <v>62</v>
      </c>
      <c r="G115" s="2" t="s">
        <v>98</v>
      </c>
      <c r="H115" s="2">
        <v>30</v>
      </c>
      <c r="I115" s="3">
        <v>120</v>
      </c>
      <c r="J115" s="4">
        <v>217000000</v>
      </c>
      <c r="K115" s="5">
        <f t="shared" si="27"/>
        <v>121</v>
      </c>
      <c r="L115" s="9">
        <f t="shared" si="45"/>
        <v>284183200</v>
      </c>
      <c r="M115" s="3">
        <f t="shared" si="28"/>
        <v>122</v>
      </c>
      <c r="N115" s="10">
        <f t="shared" si="46"/>
        <v>497320600</v>
      </c>
      <c r="O115" s="5">
        <f t="shared" si="29"/>
        <v>124</v>
      </c>
      <c r="P115" s="9">
        <f t="shared" si="47"/>
        <v>1044373260</v>
      </c>
      <c r="Q115" s="3">
        <f t="shared" si="30"/>
        <v>126</v>
      </c>
      <c r="R115" s="10">
        <f t="shared" si="48"/>
        <v>1627500000</v>
      </c>
      <c r="S115" s="5">
        <f t="shared" si="31"/>
        <v>128</v>
      </c>
      <c r="T115" s="9">
        <f t="shared" si="49"/>
        <v>4252226522</v>
      </c>
      <c r="U115" s="3">
        <f t="shared" si="32"/>
        <v>131</v>
      </c>
      <c r="V115" s="10">
        <f t="shared" si="50"/>
        <v>13673449739</v>
      </c>
      <c r="W115" s="5">
        <f t="shared" si="33"/>
        <v>135</v>
      </c>
      <c r="X115" s="9">
        <f t="shared" si="51"/>
        <v>57707053356</v>
      </c>
      <c r="Y115" s="3">
        <f t="shared" si="34"/>
        <v>137</v>
      </c>
      <c r="Z115" s="10">
        <f t="shared" si="52"/>
        <v>138496928054</v>
      </c>
      <c r="AA115" s="5">
        <f t="shared" si="35"/>
        <v>139</v>
      </c>
      <c r="AB115" s="9">
        <f t="shared" si="53"/>
        <v>346242320136</v>
      </c>
      <c r="AC115" s="3">
        <f t="shared" si="36"/>
        <v>141</v>
      </c>
      <c r="AD115" s="10">
        <f t="shared" si="54"/>
        <v>969478496380</v>
      </c>
      <c r="AE115" s="5">
        <f t="shared" si="37"/>
        <v>144</v>
      </c>
      <c r="AF115" s="9">
        <f t="shared" si="55"/>
        <v>3102331188416</v>
      </c>
      <c r="AG115" s="3">
        <f t="shared" si="38"/>
        <v>147</v>
      </c>
      <c r="AH115" s="10">
        <f t="shared" si="56"/>
        <v>11788858515981</v>
      </c>
    </row>
    <row r="116" hidden="1">
      <c r="A116" s="2">
        <v>257</v>
      </c>
      <c r="B116" s="2" t="s">
        <v>203</v>
      </c>
      <c r="C116" s="2" t="s">
        <v>24</v>
      </c>
      <c r="D116" s="2" t="s">
        <v>25</v>
      </c>
      <c r="E116" s="2">
        <v>120</v>
      </c>
      <c r="F116" s="2" t="s">
        <v>204</v>
      </c>
      <c r="G116" s="2" t="s">
        <v>43</v>
      </c>
      <c r="H116" s="2">
        <v>30</v>
      </c>
      <c r="I116" s="3">
        <v>120</v>
      </c>
      <c r="J116" s="4">
        <v>155000000</v>
      </c>
      <c r="K116" s="5">
        <f t="shared" si="27"/>
        <v>121</v>
      </c>
      <c r="L116" s="9">
        <f t="shared" si="45"/>
        <v>202988000</v>
      </c>
      <c r="M116" s="3">
        <f t="shared" si="28"/>
        <v>122</v>
      </c>
      <c r="N116" s="10">
        <f t="shared" si="46"/>
        <v>355229000</v>
      </c>
      <c r="O116" s="5">
        <f t="shared" si="29"/>
        <v>124</v>
      </c>
      <c r="P116" s="9">
        <f t="shared" si="47"/>
        <v>745980900</v>
      </c>
      <c r="Q116" s="3">
        <f t="shared" si="30"/>
        <v>126</v>
      </c>
      <c r="R116" s="10">
        <f t="shared" si="48"/>
        <v>1162500000</v>
      </c>
      <c r="S116" s="5">
        <f t="shared" si="31"/>
        <v>128</v>
      </c>
      <c r="T116" s="9">
        <f t="shared" si="49"/>
        <v>3037304658</v>
      </c>
      <c r="U116" s="3">
        <f t="shared" si="32"/>
        <v>131</v>
      </c>
      <c r="V116" s="10">
        <f t="shared" si="50"/>
        <v>9766749814</v>
      </c>
      <c r="W116" s="5">
        <f t="shared" si="33"/>
        <v>135</v>
      </c>
      <c r="X116" s="9">
        <f t="shared" si="51"/>
        <v>41219323826</v>
      </c>
      <c r="Y116" s="3">
        <f t="shared" si="34"/>
        <v>137</v>
      </c>
      <c r="Z116" s="10">
        <f t="shared" si="52"/>
        <v>98926377182</v>
      </c>
      <c r="AA116" s="5">
        <f t="shared" si="35"/>
        <v>139</v>
      </c>
      <c r="AB116" s="9">
        <f t="shared" si="53"/>
        <v>247315942954</v>
      </c>
      <c r="AC116" s="3">
        <f t="shared" si="36"/>
        <v>141</v>
      </c>
      <c r="AD116" s="10">
        <f t="shared" si="54"/>
        <v>692484640271</v>
      </c>
      <c r="AE116" s="5">
        <f t="shared" si="37"/>
        <v>144</v>
      </c>
      <c r="AF116" s="9">
        <f t="shared" si="55"/>
        <v>2215950848869</v>
      </c>
      <c r="AG116" s="3">
        <f t="shared" si="38"/>
        <v>147</v>
      </c>
      <c r="AH116" s="10">
        <f t="shared" si="56"/>
        <v>8420613225701</v>
      </c>
    </row>
    <row r="117" hidden="1">
      <c r="A117" s="2">
        <v>259</v>
      </c>
      <c r="B117" s="2" t="s">
        <v>205</v>
      </c>
      <c r="C117" s="2" t="s">
        <v>24</v>
      </c>
      <c r="D117" s="2" t="s">
        <v>25</v>
      </c>
      <c r="E117" s="2">
        <v>120</v>
      </c>
      <c r="F117" s="2" t="s">
        <v>59</v>
      </c>
      <c r="G117" s="2" t="s">
        <v>206</v>
      </c>
      <c r="H117" s="2">
        <v>30</v>
      </c>
      <c r="I117" s="3">
        <v>120</v>
      </c>
      <c r="J117" s="4">
        <v>220000000</v>
      </c>
      <c r="K117" s="5">
        <f t="shared" si="27"/>
        <v>121</v>
      </c>
      <c r="L117" s="9">
        <f t="shared" si="45"/>
        <v>288112000</v>
      </c>
      <c r="M117" s="3">
        <f t="shared" si="28"/>
        <v>122</v>
      </c>
      <c r="N117" s="10">
        <f t="shared" si="46"/>
        <v>504196000</v>
      </c>
      <c r="O117" s="5">
        <f t="shared" si="29"/>
        <v>124</v>
      </c>
      <c r="P117" s="9">
        <f t="shared" si="47"/>
        <v>1058811600</v>
      </c>
      <c r="Q117" s="3">
        <f t="shared" si="30"/>
        <v>126</v>
      </c>
      <c r="R117" s="10">
        <f t="shared" si="48"/>
        <v>1650000000</v>
      </c>
      <c r="S117" s="5">
        <f t="shared" si="31"/>
        <v>128</v>
      </c>
      <c r="T117" s="9">
        <f t="shared" si="49"/>
        <v>4311013064</v>
      </c>
      <c r="U117" s="3">
        <f t="shared" si="32"/>
        <v>131</v>
      </c>
      <c r="V117" s="10">
        <f t="shared" si="50"/>
        <v>13862483606</v>
      </c>
      <c r="W117" s="5">
        <f t="shared" si="33"/>
        <v>135</v>
      </c>
      <c r="X117" s="9">
        <f t="shared" si="51"/>
        <v>58504846720</v>
      </c>
      <c r="Y117" s="3">
        <f t="shared" si="34"/>
        <v>137</v>
      </c>
      <c r="Z117" s="10">
        <f t="shared" si="52"/>
        <v>140411632129</v>
      </c>
      <c r="AA117" s="5">
        <f t="shared" si="35"/>
        <v>139</v>
      </c>
      <c r="AB117" s="9">
        <f t="shared" si="53"/>
        <v>351029080322</v>
      </c>
      <c r="AC117" s="3">
        <f t="shared" si="36"/>
        <v>141</v>
      </c>
      <c r="AD117" s="10">
        <f t="shared" si="54"/>
        <v>982881424901</v>
      </c>
      <c r="AE117" s="5">
        <f t="shared" si="37"/>
        <v>144</v>
      </c>
      <c r="AF117" s="9">
        <f t="shared" si="55"/>
        <v>3145220559684</v>
      </c>
      <c r="AG117" s="3">
        <f t="shared" si="38"/>
        <v>147</v>
      </c>
      <c r="AH117" s="10">
        <f t="shared" si="56"/>
        <v>11951838126801</v>
      </c>
    </row>
    <row r="118" hidden="1">
      <c r="A118" s="2">
        <v>256</v>
      </c>
      <c r="B118" s="2" t="s">
        <v>207</v>
      </c>
      <c r="C118" s="2" t="s">
        <v>24</v>
      </c>
      <c r="D118" s="2" t="s">
        <v>165</v>
      </c>
      <c r="E118" s="2">
        <v>120</v>
      </c>
      <c r="F118" s="2" t="s">
        <v>54</v>
      </c>
      <c r="G118" s="2" t="s">
        <v>95</v>
      </c>
      <c r="H118" s="2">
        <v>30</v>
      </c>
      <c r="I118" s="3">
        <v>120</v>
      </c>
      <c r="J118" s="4">
        <v>167000000</v>
      </c>
      <c r="K118" s="5">
        <f t="shared" si="27"/>
        <v>121</v>
      </c>
      <c r="L118" s="9">
        <f t="shared" si="45"/>
        <v>218703200</v>
      </c>
      <c r="M118" s="3">
        <f t="shared" si="28"/>
        <v>122</v>
      </c>
      <c r="N118" s="10">
        <f t="shared" si="46"/>
        <v>382730600</v>
      </c>
      <c r="O118" s="5">
        <f t="shared" si="29"/>
        <v>124</v>
      </c>
      <c r="P118" s="9">
        <f t="shared" si="47"/>
        <v>803734260</v>
      </c>
      <c r="Q118" s="3">
        <f t="shared" si="30"/>
        <v>126</v>
      </c>
      <c r="R118" s="10">
        <f t="shared" si="48"/>
        <v>1252500000</v>
      </c>
      <c r="S118" s="5">
        <f t="shared" si="31"/>
        <v>128</v>
      </c>
      <c r="T118" s="9">
        <f t="shared" si="49"/>
        <v>3272450825</v>
      </c>
      <c r="U118" s="3">
        <f t="shared" si="32"/>
        <v>131</v>
      </c>
      <c r="V118" s="10">
        <f t="shared" si="50"/>
        <v>10522885283</v>
      </c>
      <c r="W118" s="5">
        <f t="shared" si="33"/>
        <v>135</v>
      </c>
      <c r="X118" s="9">
        <f t="shared" si="51"/>
        <v>44410497283</v>
      </c>
      <c r="Y118" s="3">
        <f t="shared" si="34"/>
        <v>137</v>
      </c>
      <c r="Z118" s="10">
        <f t="shared" si="52"/>
        <v>106585193480</v>
      </c>
      <c r="AA118" s="5">
        <f t="shared" si="35"/>
        <v>139</v>
      </c>
      <c r="AB118" s="9">
        <f t="shared" si="53"/>
        <v>266462983699</v>
      </c>
      <c r="AC118" s="3">
        <f t="shared" si="36"/>
        <v>141</v>
      </c>
      <c r="AD118" s="10">
        <f t="shared" si="54"/>
        <v>746096354357</v>
      </c>
      <c r="AE118" s="5">
        <f t="shared" si="37"/>
        <v>144</v>
      </c>
      <c r="AF118" s="9">
        <f t="shared" si="55"/>
        <v>2387508333942</v>
      </c>
      <c r="AG118" s="3">
        <f t="shared" si="38"/>
        <v>147</v>
      </c>
      <c r="AH118" s="10">
        <f t="shared" si="56"/>
        <v>9072531668981</v>
      </c>
    </row>
    <row r="119" hidden="1">
      <c r="A119" s="2">
        <v>254</v>
      </c>
      <c r="B119" s="2" t="s">
        <v>208</v>
      </c>
      <c r="C119" s="2" t="s">
        <v>24</v>
      </c>
      <c r="D119" s="2" t="s">
        <v>25</v>
      </c>
      <c r="E119" s="2">
        <v>120</v>
      </c>
      <c r="F119" s="2" t="s">
        <v>26</v>
      </c>
      <c r="G119" s="2" t="s">
        <v>209</v>
      </c>
      <c r="H119" s="2">
        <v>29</v>
      </c>
      <c r="I119" s="3">
        <v>120</v>
      </c>
      <c r="J119" s="4">
        <v>133000000</v>
      </c>
      <c r="K119" s="5">
        <f t="shared" si="27"/>
        <v>121</v>
      </c>
      <c r="L119" s="9">
        <f t="shared" si="45"/>
        <v>174176800</v>
      </c>
      <c r="M119" s="3">
        <f t="shared" si="28"/>
        <v>122</v>
      </c>
      <c r="N119" s="10">
        <f t="shared" si="46"/>
        <v>304809400</v>
      </c>
      <c r="O119" s="5">
        <f t="shared" si="29"/>
        <v>124</v>
      </c>
      <c r="P119" s="9">
        <f t="shared" si="47"/>
        <v>640099740</v>
      </c>
      <c r="Q119" s="3">
        <f t="shared" si="30"/>
        <v>126</v>
      </c>
      <c r="R119" s="10">
        <f t="shared" si="48"/>
        <v>997500000</v>
      </c>
      <c r="S119" s="5">
        <f t="shared" si="31"/>
        <v>128</v>
      </c>
      <c r="T119" s="9">
        <f t="shared" si="49"/>
        <v>2606203352</v>
      </c>
      <c r="U119" s="3">
        <f t="shared" si="32"/>
        <v>131</v>
      </c>
      <c r="V119" s="10">
        <f t="shared" si="50"/>
        <v>8380501453</v>
      </c>
      <c r="W119" s="5">
        <f t="shared" si="33"/>
        <v>135</v>
      </c>
      <c r="X119" s="9">
        <f t="shared" si="51"/>
        <v>35368839154</v>
      </c>
      <c r="Y119" s="3">
        <f t="shared" si="34"/>
        <v>137</v>
      </c>
      <c r="Z119" s="10">
        <f t="shared" si="52"/>
        <v>84885213969</v>
      </c>
      <c r="AA119" s="5">
        <f t="shared" si="35"/>
        <v>139</v>
      </c>
      <c r="AB119" s="9">
        <f t="shared" si="53"/>
        <v>212213034922</v>
      </c>
      <c r="AC119" s="3">
        <f t="shared" si="36"/>
        <v>141</v>
      </c>
      <c r="AD119" s="10">
        <f t="shared" si="54"/>
        <v>594196497781</v>
      </c>
      <c r="AE119" s="5">
        <f t="shared" si="37"/>
        <v>144</v>
      </c>
      <c r="AF119" s="9">
        <f t="shared" si="55"/>
        <v>1901428792900</v>
      </c>
      <c r="AG119" s="3">
        <f t="shared" si="38"/>
        <v>147</v>
      </c>
      <c r="AH119" s="10">
        <f t="shared" si="56"/>
        <v>7225429413020</v>
      </c>
    </row>
    <row r="120" hidden="1">
      <c r="A120" s="2">
        <v>260</v>
      </c>
      <c r="B120" s="2" t="s">
        <v>210</v>
      </c>
      <c r="C120" s="2" t="s">
        <v>24</v>
      </c>
      <c r="D120" s="2" t="s">
        <v>33</v>
      </c>
      <c r="E120" s="2">
        <v>120</v>
      </c>
      <c r="F120" s="2" t="s">
        <v>56</v>
      </c>
      <c r="G120" s="2" t="s">
        <v>95</v>
      </c>
      <c r="H120" s="2">
        <v>31</v>
      </c>
      <c r="I120" s="3">
        <v>120</v>
      </c>
      <c r="J120" s="4">
        <v>205000000</v>
      </c>
      <c r="K120" s="5">
        <f t="shared" si="27"/>
        <v>121</v>
      </c>
      <c r="L120" s="9">
        <f t="shared" si="45"/>
        <v>268468000</v>
      </c>
      <c r="M120" s="3">
        <f t="shared" si="28"/>
        <v>122</v>
      </c>
      <c r="N120" s="10">
        <f t="shared" si="46"/>
        <v>469819000</v>
      </c>
      <c r="O120" s="5">
        <f t="shared" si="29"/>
        <v>124</v>
      </c>
      <c r="P120" s="9">
        <f t="shared" si="47"/>
        <v>986619900</v>
      </c>
      <c r="Q120" s="3">
        <f t="shared" si="30"/>
        <v>126</v>
      </c>
      <c r="R120" s="10">
        <f t="shared" si="48"/>
        <v>1537500000</v>
      </c>
      <c r="S120" s="5">
        <f t="shared" si="31"/>
        <v>128</v>
      </c>
      <c r="T120" s="9">
        <f t="shared" si="49"/>
        <v>4017080355</v>
      </c>
      <c r="U120" s="3">
        <f t="shared" si="32"/>
        <v>131</v>
      </c>
      <c r="V120" s="10">
        <f t="shared" si="50"/>
        <v>12917314270</v>
      </c>
      <c r="W120" s="5">
        <f t="shared" si="33"/>
        <v>135</v>
      </c>
      <c r="X120" s="9">
        <f t="shared" si="51"/>
        <v>54515879898</v>
      </c>
      <c r="Y120" s="3">
        <f t="shared" si="34"/>
        <v>137</v>
      </c>
      <c r="Z120" s="10">
        <f t="shared" si="52"/>
        <v>130838111756</v>
      </c>
      <c r="AA120" s="5">
        <f t="shared" si="35"/>
        <v>139</v>
      </c>
      <c r="AB120" s="9">
        <f t="shared" si="53"/>
        <v>327095279391</v>
      </c>
      <c r="AC120" s="3">
        <f t="shared" si="36"/>
        <v>141</v>
      </c>
      <c r="AD120" s="10">
        <f t="shared" si="54"/>
        <v>915866782294</v>
      </c>
      <c r="AE120" s="5">
        <f t="shared" si="37"/>
        <v>144</v>
      </c>
      <c r="AF120" s="9">
        <f t="shared" si="55"/>
        <v>2930773703342</v>
      </c>
      <c r="AG120" s="3">
        <f t="shared" si="38"/>
        <v>147</v>
      </c>
      <c r="AH120" s="10">
        <f t="shared" si="56"/>
        <v>11136940072701</v>
      </c>
    </row>
    <row r="121" hidden="1">
      <c r="A121" s="2">
        <v>252</v>
      </c>
      <c r="B121" s="2" t="s">
        <v>211</v>
      </c>
      <c r="C121" s="2" t="s">
        <v>24</v>
      </c>
      <c r="D121" s="2" t="s">
        <v>40</v>
      </c>
      <c r="E121" s="2">
        <v>119</v>
      </c>
      <c r="F121" s="2" t="s">
        <v>212</v>
      </c>
      <c r="G121" s="2" t="s">
        <v>213</v>
      </c>
      <c r="H121" s="2">
        <v>30</v>
      </c>
      <c r="I121" s="3">
        <v>119</v>
      </c>
      <c r="J121" s="4">
        <v>189000000</v>
      </c>
      <c r="K121" s="5">
        <f t="shared" si="27"/>
        <v>120</v>
      </c>
      <c r="L121" s="9">
        <f t="shared" si="45"/>
        <v>247514400</v>
      </c>
      <c r="M121" s="3">
        <f t="shared" si="28"/>
        <v>121</v>
      </c>
      <c r="N121" s="10">
        <f t="shared" si="46"/>
        <v>433150200</v>
      </c>
      <c r="O121" s="5">
        <f t="shared" si="29"/>
        <v>123</v>
      </c>
      <c r="P121" s="9">
        <f t="shared" si="47"/>
        <v>909615420</v>
      </c>
      <c r="Q121" s="3">
        <f t="shared" si="30"/>
        <v>125</v>
      </c>
      <c r="R121" s="10">
        <f t="shared" si="48"/>
        <v>1417500000</v>
      </c>
      <c r="S121" s="5">
        <f t="shared" si="31"/>
        <v>127</v>
      </c>
      <c r="T121" s="9">
        <f t="shared" si="49"/>
        <v>3703552132</v>
      </c>
      <c r="U121" s="3">
        <f t="shared" si="32"/>
        <v>130</v>
      </c>
      <c r="V121" s="10">
        <f t="shared" si="50"/>
        <v>11909133644</v>
      </c>
      <c r="W121" s="5">
        <f t="shared" si="33"/>
        <v>134</v>
      </c>
      <c r="X121" s="9">
        <f t="shared" si="51"/>
        <v>50260981955</v>
      </c>
      <c r="Y121" s="3">
        <f t="shared" si="34"/>
        <v>136</v>
      </c>
      <c r="Z121" s="10">
        <f t="shared" si="52"/>
        <v>120626356692</v>
      </c>
      <c r="AA121" s="5">
        <f t="shared" si="35"/>
        <v>138</v>
      </c>
      <c r="AB121" s="9">
        <f t="shared" si="53"/>
        <v>301565891731</v>
      </c>
      <c r="AC121" s="3">
        <f t="shared" si="36"/>
        <v>140</v>
      </c>
      <c r="AD121" s="10">
        <f t="shared" si="54"/>
        <v>844384496847</v>
      </c>
      <c r="AE121" s="5">
        <f t="shared" si="37"/>
        <v>143</v>
      </c>
      <c r="AF121" s="9">
        <f t="shared" si="55"/>
        <v>2702030389911</v>
      </c>
      <c r="AG121" s="3">
        <f t="shared" si="38"/>
        <v>146</v>
      </c>
      <c r="AH121" s="10">
        <f t="shared" si="56"/>
        <v>10267715481661</v>
      </c>
    </row>
    <row r="122" hidden="1">
      <c r="A122" s="2">
        <v>253</v>
      </c>
      <c r="B122" s="2" t="s">
        <v>214</v>
      </c>
      <c r="C122" s="2" t="s">
        <v>24</v>
      </c>
      <c r="D122" s="2" t="s">
        <v>79</v>
      </c>
      <c r="E122" s="2">
        <v>119</v>
      </c>
      <c r="F122" s="2" t="s">
        <v>56</v>
      </c>
      <c r="G122" s="2" t="s">
        <v>133</v>
      </c>
      <c r="H122" s="2">
        <v>30</v>
      </c>
      <c r="I122" s="3">
        <v>119</v>
      </c>
      <c r="J122" s="4">
        <v>180000000</v>
      </c>
      <c r="K122" s="5">
        <f t="shared" si="27"/>
        <v>120</v>
      </c>
      <c r="L122" s="9">
        <f t="shared" si="45"/>
        <v>235728000</v>
      </c>
      <c r="M122" s="3">
        <f t="shared" si="28"/>
        <v>121</v>
      </c>
      <c r="N122" s="10">
        <f t="shared" si="46"/>
        <v>412524000</v>
      </c>
      <c r="O122" s="5">
        <f t="shared" si="29"/>
        <v>123</v>
      </c>
      <c r="P122" s="9">
        <f t="shared" si="47"/>
        <v>866300400</v>
      </c>
      <c r="Q122" s="3">
        <f t="shared" si="30"/>
        <v>125</v>
      </c>
      <c r="R122" s="10">
        <f t="shared" si="48"/>
        <v>1350000000</v>
      </c>
      <c r="S122" s="5">
        <f t="shared" si="31"/>
        <v>127</v>
      </c>
      <c r="T122" s="9">
        <f t="shared" si="49"/>
        <v>3527192507</v>
      </c>
      <c r="U122" s="3">
        <f t="shared" si="32"/>
        <v>130</v>
      </c>
      <c r="V122" s="10">
        <f t="shared" si="50"/>
        <v>11342032042</v>
      </c>
      <c r="W122" s="5">
        <f t="shared" si="33"/>
        <v>134</v>
      </c>
      <c r="X122" s="9">
        <f t="shared" si="51"/>
        <v>47867601862</v>
      </c>
      <c r="Y122" s="3">
        <f t="shared" si="34"/>
        <v>136</v>
      </c>
      <c r="Z122" s="10">
        <f t="shared" si="52"/>
        <v>114882244469</v>
      </c>
      <c r="AA122" s="5">
        <f t="shared" si="35"/>
        <v>138</v>
      </c>
      <c r="AB122" s="9">
        <f t="shared" si="53"/>
        <v>287205611172</v>
      </c>
      <c r="AC122" s="3">
        <f t="shared" si="36"/>
        <v>140</v>
      </c>
      <c r="AD122" s="10">
        <f t="shared" si="54"/>
        <v>804175711283</v>
      </c>
      <c r="AE122" s="5">
        <f t="shared" si="37"/>
        <v>143</v>
      </c>
      <c r="AF122" s="9">
        <f t="shared" si="55"/>
        <v>2573362276105</v>
      </c>
      <c r="AG122" s="3">
        <f t="shared" si="38"/>
        <v>146</v>
      </c>
      <c r="AH122" s="10">
        <f t="shared" si="56"/>
        <v>9778776649201</v>
      </c>
    </row>
    <row r="123" hidden="1">
      <c r="A123" s="2">
        <v>251</v>
      </c>
      <c r="B123" s="2" t="s">
        <v>215</v>
      </c>
      <c r="C123" s="2" t="s">
        <v>24</v>
      </c>
      <c r="D123" s="2" t="s">
        <v>33</v>
      </c>
      <c r="E123" s="2">
        <v>119</v>
      </c>
      <c r="F123" s="2" t="s">
        <v>56</v>
      </c>
      <c r="G123" s="2" t="s">
        <v>133</v>
      </c>
      <c r="H123" s="2">
        <v>30</v>
      </c>
      <c r="I123" s="3">
        <v>119</v>
      </c>
      <c r="J123" s="4">
        <v>120000000</v>
      </c>
      <c r="K123" s="5">
        <f t="shared" si="27"/>
        <v>120</v>
      </c>
      <c r="L123" s="9">
        <f t="shared" si="45"/>
        <v>157152000</v>
      </c>
      <c r="M123" s="3">
        <f t="shared" si="28"/>
        <v>121</v>
      </c>
      <c r="N123" s="10">
        <f t="shared" si="46"/>
        <v>275016000</v>
      </c>
      <c r="O123" s="5">
        <f t="shared" si="29"/>
        <v>123</v>
      </c>
      <c r="P123" s="9">
        <f t="shared" si="47"/>
        <v>577533600</v>
      </c>
      <c r="Q123" s="3">
        <f t="shared" si="30"/>
        <v>125</v>
      </c>
      <c r="R123" s="10">
        <f t="shared" si="48"/>
        <v>900000000</v>
      </c>
      <c r="S123" s="5">
        <f t="shared" si="31"/>
        <v>127</v>
      </c>
      <c r="T123" s="9">
        <f t="shared" si="49"/>
        <v>2351461671</v>
      </c>
      <c r="U123" s="3">
        <f t="shared" si="32"/>
        <v>130</v>
      </c>
      <c r="V123" s="10">
        <f t="shared" si="50"/>
        <v>7561354694</v>
      </c>
      <c r="W123" s="5">
        <f t="shared" si="33"/>
        <v>134</v>
      </c>
      <c r="X123" s="9">
        <f t="shared" si="51"/>
        <v>31911734575</v>
      </c>
      <c r="Y123" s="3">
        <f t="shared" si="34"/>
        <v>136</v>
      </c>
      <c r="Z123" s="10">
        <f t="shared" si="52"/>
        <v>76588162979</v>
      </c>
      <c r="AA123" s="5">
        <f t="shared" si="35"/>
        <v>138</v>
      </c>
      <c r="AB123" s="9">
        <f t="shared" si="53"/>
        <v>191470407448</v>
      </c>
      <c r="AC123" s="3">
        <f t="shared" si="36"/>
        <v>140</v>
      </c>
      <c r="AD123" s="10">
        <f t="shared" si="54"/>
        <v>536117140855</v>
      </c>
      <c r="AE123" s="5">
        <f t="shared" si="37"/>
        <v>143</v>
      </c>
      <c r="AF123" s="9">
        <f t="shared" si="55"/>
        <v>1715574850737</v>
      </c>
      <c r="AG123" s="3">
        <f t="shared" si="38"/>
        <v>146</v>
      </c>
      <c r="AH123" s="10">
        <f t="shared" si="56"/>
        <v>6519184432800</v>
      </c>
    </row>
    <row r="124" hidden="1">
      <c r="A124" s="2">
        <v>261</v>
      </c>
      <c r="B124" s="2" t="s">
        <v>216</v>
      </c>
      <c r="C124" s="2" t="s">
        <v>24</v>
      </c>
      <c r="D124" s="2" t="s">
        <v>25</v>
      </c>
      <c r="E124" s="2">
        <v>119</v>
      </c>
      <c r="F124" s="2" t="s">
        <v>217</v>
      </c>
      <c r="G124" s="2" t="s">
        <v>218</v>
      </c>
      <c r="H124" s="2">
        <v>29</v>
      </c>
      <c r="I124" s="3">
        <v>119</v>
      </c>
      <c r="J124" s="4">
        <v>90000000</v>
      </c>
      <c r="K124" s="5">
        <f t="shared" si="27"/>
        <v>120</v>
      </c>
      <c r="L124" s="9">
        <f t="shared" si="45"/>
        <v>117864000</v>
      </c>
      <c r="M124" s="3">
        <f t="shared" si="28"/>
        <v>121</v>
      </c>
      <c r="N124" s="10">
        <f t="shared" si="46"/>
        <v>206262000</v>
      </c>
      <c r="O124" s="5">
        <f t="shared" si="29"/>
        <v>123</v>
      </c>
      <c r="P124" s="9">
        <f t="shared" si="47"/>
        <v>433150200</v>
      </c>
      <c r="Q124" s="3">
        <f t="shared" si="30"/>
        <v>125</v>
      </c>
      <c r="R124" s="10">
        <f t="shared" si="48"/>
        <v>675000000</v>
      </c>
      <c r="S124" s="5">
        <f t="shared" si="31"/>
        <v>127</v>
      </c>
      <c r="T124" s="9">
        <f t="shared" si="49"/>
        <v>1763596253</v>
      </c>
      <c r="U124" s="3">
        <f t="shared" si="32"/>
        <v>130</v>
      </c>
      <c r="V124" s="10">
        <f t="shared" si="50"/>
        <v>5671016021</v>
      </c>
      <c r="W124" s="5">
        <f t="shared" si="33"/>
        <v>134</v>
      </c>
      <c r="X124" s="9">
        <f t="shared" si="51"/>
        <v>23933800931</v>
      </c>
      <c r="Y124" s="3">
        <f t="shared" si="34"/>
        <v>136</v>
      </c>
      <c r="Z124" s="10">
        <f t="shared" si="52"/>
        <v>57441122234</v>
      </c>
      <c r="AA124" s="5">
        <f t="shared" si="35"/>
        <v>138</v>
      </c>
      <c r="AB124" s="9">
        <f t="shared" si="53"/>
        <v>143602805586</v>
      </c>
      <c r="AC124" s="3">
        <f t="shared" si="36"/>
        <v>140</v>
      </c>
      <c r="AD124" s="10">
        <f t="shared" si="54"/>
        <v>402087855641</v>
      </c>
      <c r="AE124" s="5">
        <f t="shared" si="37"/>
        <v>143</v>
      </c>
      <c r="AF124" s="9">
        <f t="shared" si="55"/>
        <v>1286681138053</v>
      </c>
      <c r="AG124" s="3">
        <f t="shared" si="38"/>
        <v>146</v>
      </c>
      <c r="AH124" s="10">
        <f t="shared" si="56"/>
        <v>4889388324600</v>
      </c>
    </row>
    <row r="125" hidden="1">
      <c r="A125" s="2">
        <v>248</v>
      </c>
      <c r="B125" s="2" t="s">
        <v>219</v>
      </c>
      <c r="C125" s="2" t="s">
        <v>24</v>
      </c>
      <c r="D125" s="2" t="s">
        <v>40</v>
      </c>
      <c r="E125" s="2">
        <v>119</v>
      </c>
      <c r="F125" s="2" t="s">
        <v>108</v>
      </c>
      <c r="G125" s="2" t="s">
        <v>220</v>
      </c>
      <c r="H125" s="2">
        <v>29</v>
      </c>
      <c r="I125" s="3">
        <v>119</v>
      </c>
      <c r="J125" s="4">
        <v>70000000</v>
      </c>
      <c r="K125" s="5">
        <f t="shared" si="27"/>
        <v>120</v>
      </c>
      <c r="L125" s="9">
        <f t="shared" si="45"/>
        <v>91672000</v>
      </c>
      <c r="M125" s="3">
        <f t="shared" si="28"/>
        <v>121</v>
      </c>
      <c r="N125" s="10">
        <f t="shared" si="46"/>
        <v>160426000</v>
      </c>
      <c r="O125" s="5">
        <f t="shared" si="29"/>
        <v>123</v>
      </c>
      <c r="P125" s="9">
        <f t="shared" si="47"/>
        <v>336894600</v>
      </c>
      <c r="Q125" s="3">
        <f t="shared" si="30"/>
        <v>125</v>
      </c>
      <c r="R125" s="10">
        <f t="shared" si="48"/>
        <v>525000000</v>
      </c>
      <c r="S125" s="5">
        <f t="shared" si="31"/>
        <v>127</v>
      </c>
      <c r="T125" s="9">
        <f t="shared" si="49"/>
        <v>1371685975</v>
      </c>
      <c r="U125" s="3">
        <f t="shared" si="32"/>
        <v>130</v>
      </c>
      <c r="V125" s="10">
        <f t="shared" si="50"/>
        <v>4410790238</v>
      </c>
      <c r="W125" s="5">
        <f t="shared" si="33"/>
        <v>134</v>
      </c>
      <c r="X125" s="9">
        <f t="shared" si="51"/>
        <v>18615178502</v>
      </c>
      <c r="Y125" s="3">
        <f t="shared" si="34"/>
        <v>136</v>
      </c>
      <c r="Z125" s="10">
        <f t="shared" si="52"/>
        <v>44676428405</v>
      </c>
      <c r="AA125" s="5">
        <f t="shared" si="35"/>
        <v>138</v>
      </c>
      <c r="AB125" s="9">
        <f t="shared" si="53"/>
        <v>111691071012</v>
      </c>
      <c r="AC125" s="3">
        <f t="shared" si="36"/>
        <v>140</v>
      </c>
      <c r="AD125" s="10">
        <f t="shared" si="54"/>
        <v>312734998832</v>
      </c>
      <c r="AE125" s="5">
        <f t="shared" si="37"/>
        <v>143</v>
      </c>
      <c r="AF125" s="9">
        <f t="shared" si="55"/>
        <v>1000751996263</v>
      </c>
      <c r="AG125" s="3">
        <f t="shared" si="38"/>
        <v>146</v>
      </c>
      <c r="AH125" s="10">
        <f t="shared" si="56"/>
        <v>3802857585800</v>
      </c>
    </row>
    <row r="126" hidden="1">
      <c r="A126" s="2">
        <v>249</v>
      </c>
      <c r="B126" s="2" t="s">
        <v>221</v>
      </c>
      <c r="C126" s="2" t="s">
        <v>24</v>
      </c>
      <c r="D126" s="2" t="s">
        <v>40</v>
      </c>
      <c r="E126" s="2">
        <v>119</v>
      </c>
      <c r="F126" s="2" t="s">
        <v>34</v>
      </c>
      <c r="G126" s="2" t="s">
        <v>51</v>
      </c>
      <c r="H126" s="2">
        <v>29</v>
      </c>
      <c r="I126" s="3">
        <v>119</v>
      </c>
      <c r="J126" s="4">
        <v>124000000</v>
      </c>
      <c r="K126" s="5">
        <f t="shared" si="27"/>
        <v>120</v>
      </c>
      <c r="L126" s="9">
        <f t="shared" si="45"/>
        <v>162390400</v>
      </c>
      <c r="M126" s="3">
        <f t="shared" si="28"/>
        <v>121</v>
      </c>
      <c r="N126" s="10">
        <f t="shared" si="46"/>
        <v>284183200</v>
      </c>
      <c r="O126" s="5">
        <f t="shared" si="29"/>
        <v>123</v>
      </c>
      <c r="P126" s="9">
        <f t="shared" si="47"/>
        <v>596784720</v>
      </c>
      <c r="Q126" s="3">
        <f t="shared" si="30"/>
        <v>125</v>
      </c>
      <c r="R126" s="10">
        <f t="shared" si="48"/>
        <v>930000000</v>
      </c>
      <c r="S126" s="5">
        <f t="shared" si="31"/>
        <v>127</v>
      </c>
      <c r="T126" s="9">
        <f t="shared" si="49"/>
        <v>2429843727</v>
      </c>
      <c r="U126" s="3">
        <f t="shared" si="32"/>
        <v>130</v>
      </c>
      <c r="V126" s="10">
        <f t="shared" si="50"/>
        <v>7813399851</v>
      </c>
      <c r="W126" s="5">
        <f t="shared" si="33"/>
        <v>134</v>
      </c>
      <c r="X126" s="9">
        <f t="shared" si="51"/>
        <v>32975459061</v>
      </c>
      <c r="Y126" s="3">
        <f t="shared" si="34"/>
        <v>136</v>
      </c>
      <c r="Z126" s="10">
        <f t="shared" si="52"/>
        <v>79141101745</v>
      </c>
      <c r="AA126" s="5">
        <f t="shared" si="35"/>
        <v>138</v>
      </c>
      <c r="AB126" s="9">
        <f t="shared" si="53"/>
        <v>197852754363</v>
      </c>
      <c r="AC126" s="3">
        <f t="shared" si="36"/>
        <v>140</v>
      </c>
      <c r="AD126" s="10">
        <f t="shared" si="54"/>
        <v>553987712217</v>
      </c>
      <c r="AE126" s="5">
        <f t="shared" si="37"/>
        <v>143</v>
      </c>
      <c r="AF126" s="9">
        <f t="shared" si="55"/>
        <v>1772760679095</v>
      </c>
      <c r="AG126" s="3">
        <f t="shared" si="38"/>
        <v>146</v>
      </c>
      <c r="AH126" s="10">
        <f t="shared" si="56"/>
        <v>6736490580560</v>
      </c>
    </row>
    <row r="127" hidden="1">
      <c r="A127" s="2">
        <v>250</v>
      </c>
      <c r="B127" s="2" t="s">
        <v>222</v>
      </c>
      <c r="C127" s="2" t="s">
        <v>24</v>
      </c>
      <c r="D127" s="2" t="s">
        <v>40</v>
      </c>
      <c r="E127" s="2">
        <v>119</v>
      </c>
      <c r="F127" s="2" t="s">
        <v>223</v>
      </c>
      <c r="G127" s="2" t="s">
        <v>57</v>
      </c>
      <c r="H127" s="2">
        <v>30</v>
      </c>
      <c r="I127" s="3">
        <v>119</v>
      </c>
      <c r="J127" s="4">
        <v>122000000</v>
      </c>
      <c r="K127" s="5">
        <f t="shared" si="27"/>
        <v>120</v>
      </c>
      <c r="L127" s="9">
        <f t="shared" si="45"/>
        <v>159771200</v>
      </c>
      <c r="M127" s="3">
        <f t="shared" si="28"/>
        <v>121</v>
      </c>
      <c r="N127" s="10">
        <f t="shared" si="46"/>
        <v>279599600</v>
      </c>
      <c r="O127" s="5">
        <f t="shared" si="29"/>
        <v>123</v>
      </c>
      <c r="P127" s="9">
        <f t="shared" si="47"/>
        <v>587159160</v>
      </c>
      <c r="Q127" s="3">
        <f t="shared" si="30"/>
        <v>125</v>
      </c>
      <c r="R127" s="10">
        <f t="shared" si="48"/>
        <v>915000000</v>
      </c>
      <c r="S127" s="5">
        <f t="shared" si="31"/>
        <v>127</v>
      </c>
      <c r="T127" s="9">
        <f t="shared" si="49"/>
        <v>2390652699</v>
      </c>
      <c r="U127" s="3">
        <f t="shared" si="32"/>
        <v>130</v>
      </c>
      <c r="V127" s="10">
        <f t="shared" si="50"/>
        <v>7687377273</v>
      </c>
      <c r="W127" s="5">
        <f t="shared" si="33"/>
        <v>134</v>
      </c>
      <c r="X127" s="9">
        <f t="shared" si="51"/>
        <v>32443596818</v>
      </c>
      <c r="Y127" s="3">
        <f t="shared" si="34"/>
        <v>136</v>
      </c>
      <c r="Z127" s="10">
        <f t="shared" si="52"/>
        <v>77864632362</v>
      </c>
      <c r="AA127" s="5">
        <f t="shared" si="35"/>
        <v>138</v>
      </c>
      <c r="AB127" s="9">
        <f t="shared" si="53"/>
        <v>194661580906</v>
      </c>
      <c r="AC127" s="3">
        <f t="shared" si="36"/>
        <v>140</v>
      </c>
      <c r="AD127" s="10">
        <f t="shared" si="54"/>
        <v>545052426536</v>
      </c>
      <c r="AE127" s="5">
        <f t="shared" si="37"/>
        <v>143</v>
      </c>
      <c r="AF127" s="9">
        <f t="shared" si="55"/>
        <v>1744167764916</v>
      </c>
      <c r="AG127" s="3">
        <f t="shared" si="38"/>
        <v>146</v>
      </c>
      <c r="AH127" s="10">
        <f t="shared" si="56"/>
        <v>6627837506680</v>
      </c>
    </row>
    <row r="128" hidden="1">
      <c r="A128" s="2">
        <v>247</v>
      </c>
      <c r="B128" s="2" t="s">
        <v>224</v>
      </c>
      <c r="C128" s="2" t="s">
        <v>24</v>
      </c>
      <c r="D128" s="2" t="s">
        <v>25</v>
      </c>
      <c r="E128" s="2">
        <v>117</v>
      </c>
      <c r="F128" s="2" t="s">
        <v>225</v>
      </c>
      <c r="G128" s="2" t="s">
        <v>226</v>
      </c>
      <c r="H128" s="2">
        <v>29</v>
      </c>
      <c r="I128" s="3">
        <v>117</v>
      </c>
      <c r="J128" s="4">
        <v>20000000</v>
      </c>
      <c r="K128" s="5">
        <f t="shared" si="27"/>
        <v>118</v>
      </c>
      <c r="L128" s="9">
        <f t="shared" si="45"/>
        <v>26192000</v>
      </c>
      <c r="M128" s="3">
        <f t="shared" si="28"/>
        <v>119</v>
      </c>
      <c r="N128" s="10">
        <f t="shared" si="46"/>
        <v>45836000</v>
      </c>
      <c r="O128" s="5">
        <f t="shared" si="29"/>
        <v>121</v>
      </c>
      <c r="P128" s="9">
        <f t="shared" si="47"/>
        <v>96255600</v>
      </c>
      <c r="Q128" s="3">
        <f t="shared" si="30"/>
        <v>123</v>
      </c>
      <c r="R128" s="10">
        <f t="shared" si="48"/>
        <v>150000000</v>
      </c>
      <c r="S128" s="5">
        <f t="shared" si="31"/>
        <v>125</v>
      </c>
      <c r="T128" s="9">
        <f t="shared" si="49"/>
        <v>391910279</v>
      </c>
      <c r="U128" s="3">
        <f t="shared" si="32"/>
        <v>128</v>
      </c>
      <c r="V128" s="10">
        <f t="shared" si="50"/>
        <v>1260225782</v>
      </c>
      <c r="W128" s="5">
        <f t="shared" si="33"/>
        <v>132</v>
      </c>
      <c r="X128" s="9">
        <f t="shared" si="51"/>
        <v>5318622429</v>
      </c>
      <c r="Y128" s="3">
        <f t="shared" si="34"/>
        <v>134</v>
      </c>
      <c r="Z128" s="10">
        <f t="shared" si="52"/>
        <v>12764693830</v>
      </c>
      <c r="AA128" s="5">
        <f t="shared" si="35"/>
        <v>136</v>
      </c>
      <c r="AB128" s="9">
        <f t="shared" si="53"/>
        <v>31911734575</v>
      </c>
      <c r="AC128" s="3">
        <f t="shared" si="36"/>
        <v>138</v>
      </c>
      <c r="AD128" s="10">
        <f t="shared" si="54"/>
        <v>89352856809</v>
      </c>
      <c r="AE128" s="5">
        <f t="shared" si="37"/>
        <v>141</v>
      </c>
      <c r="AF128" s="9">
        <f t="shared" si="55"/>
        <v>285929141789</v>
      </c>
      <c r="AG128" s="3">
        <f t="shared" si="38"/>
        <v>144</v>
      </c>
      <c r="AH128" s="10">
        <f t="shared" si="56"/>
        <v>1086530738800</v>
      </c>
    </row>
    <row r="129" hidden="1">
      <c r="A129" s="2">
        <v>13</v>
      </c>
      <c r="B129" s="2" t="s">
        <v>227</v>
      </c>
      <c r="C129" s="2" t="s">
        <v>228</v>
      </c>
      <c r="D129" s="2" t="s">
        <v>40</v>
      </c>
      <c r="E129" s="2">
        <v>126</v>
      </c>
      <c r="F129" s="2" t="s">
        <v>56</v>
      </c>
      <c r="G129" s="2" t="s">
        <v>35</v>
      </c>
      <c r="H129" s="2">
        <v>34</v>
      </c>
      <c r="I129" s="3">
        <v>126</v>
      </c>
      <c r="J129" s="4">
        <v>2503000000</v>
      </c>
      <c r="K129" s="5">
        <f t="shared" si="27"/>
        <v>127</v>
      </c>
      <c r="L129" s="9" t="n">
        <f t="shared" ref="L129:L147" si="57">ROUND($J129*1.637*1,0)</f>
        <v>4097411000</v>
      </c>
      <c r="M129" s="3">
        <f t="shared" si="28"/>
        <v>128</v>
      </c>
      <c r="N129" s="10" t="n">
        <f t="shared" ref="N129:N147" si="58">ROUND($J129*1.637*1.75*1,0)</f>
        <v>7170469250</v>
      </c>
      <c r="O129" s="5">
        <f t="shared" si="29"/>
        <v>130</v>
      </c>
      <c r="P129" s="9" t="n">
        <f t="shared" ref="P129:P147" si="59">ROUND($J129*1.637*1.75*2.1*1,0)</f>
        <v>15057985425</v>
      </c>
      <c r="Q129" s="3">
        <f t="shared" si="30"/>
        <v>132</v>
      </c>
      <c r="R129" s="10" t="n">
        <f t="shared" ref="R129:R135" si="60">ROUND($J129*1.637*1.75*2.1*2.3*1.25,0)</f>
        <v>43291708097</v>
      </c>
      <c r="S129" s="5">
        <f t="shared" si="31"/>
        <v>134</v>
      </c>
      <c r="T129" s="9" t="n">
        <f t="shared" ref="T129:T135" si="61">ROUND($J129*1.637*1.75*2.1*2.3*2.6*1.25,0)</f>
        <v>112558441052</v>
      </c>
      <c r="U129" s="3">
        <f t="shared" si="32"/>
        <v>137</v>
      </c>
      <c r="V129" s="10" t="n">
        <f t="shared" ref="V129:V135" si="62">ROUND($J129*1.637*1.75*2.1*2.3*2.6*3.2*1.25,0)</f>
        <v>360187011366</v>
      </c>
      <c r="W129" s="5">
        <f t="shared" si="33"/>
        <v>141</v>
      </c>
      <c r="X129" s="9" t="n">
        <f t="shared" ref="X129:X135" si="63">ROUND($J129*1.637*1.75*2.1*2.3*2.6*3.2*4.2*1.25,0)</f>
        <v>1512785447737</v>
      </c>
      <c r="Y129" s="3">
        <f t="shared" si="34"/>
        <v>143</v>
      </c>
      <c r="Z129" s="10" t="n">
        <f t="shared" ref="Z129:Z135" si="64">ROUND($J129*1.637*1.75*2.1*2.3*2.6*3.2*4.2*2.4*1.25,0)</f>
        <v>3630685074569</v>
      </c>
      <c r="AA129" s="5">
        <f t="shared" si="35"/>
        <v>145</v>
      </c>
      <c r="AB129" s="9" t="n">
        <f t="shared" ref="AB129:AB135" si="65">ROUND($J129*1.637*1.75*2.1*2.3*2.6*3.2*4.2*2.4*2.5*1.25,0)</f>
        <v>9076712686423</v>
      </c>
      <c r="AC129" s="3">
        <f t="shared" si="36"/>
        <v>147</v>
      </c>
      <c r="AD129" s="10" t="n">
        <f t="shared" ref="AD129:AD135" si="66">ROUND($J129*1.637*1.75*2.1*2.3*2.6*3.2*4.2*2.4*2.5*2.8*1.25,0)</f>
        <v>25414795521985</v>
      </c>
      <c r="AE129" s="5">
        <f t="shared" si="37"/>
        <v>150</v>
      </c>
      <c r="AF129" s="9" t="n">
        <f t="shared" ref="AF129:AF135" si="67">ROUND($J129*1.637*1.75*2.1*2.3*2.6*3.2*4.2*2.4*2.5*2.8*3.2*1.25,0)</f>
        <v>81327345670352</v>
      </c>
      <c r="AG129" s="3">
        <f t="shared" si="38"/>
        <v>153</v>
      </c>
      <c r="AH129" s="10" t="n">
        <f t="shared" ref="AH129:AH135" si="68">ROUND($J129*1.637*1.75*2.1*2.3*2.6*3.2*4.2*2.4*2.5*2.8*3.2*3.8*1.25,0)</f>
        <v>309043913547337</v>
      </c>
    </row>
    <row r="130" hidden="1">
      <c r="A130" s="2">
        <v>11</v>
      </c>
      <c r="B130" s="2" t="s">
        <v>229</v>
      </c>
      <c r="C130" s="2" t="s">
        <v>228</v>
      </c>
      <c r="D130" s="2" t="s">
        <v>40</v>
      </c>
      <c r="E130" s="2">
        <v>126</v>
      </c>
      <c r="F130" s="2" t="s">
        <v>54</v>
      </c>
      <c r="G130" s="2" t="s">
        <v>38</v>
      </c>
      <c r="H130" s="2">
        <v>33</v>
      </c>
      <c r="I130" s="3">
        <v>126</v>
      </c>
      <c r="J130" s="4">
        <v>848000000</v>
      </c>
      <c r="K130" s="5">
        <f t="shared" si="27"/>
        <v>127</v>
      </c>
      <c r="L130" s="9">
        <f t="shared" si="57"/>
        <v>1388176000</v>
      </c>
      <c r="M130" s="3">
        <f t="shared" si="28"/>
        <v>128</v>
      </c>
      <c r="N130" s="10">
        <f t="shared" si="58"/>
        <v>2429308000</v>
      </c>
      <c r="O130" s="5">
        <f t="shared" si="29"/>
        <v>130</v>
      </c>
      <c r="P130" s="9">
        <f t="shared" si="59"/>
        <v>5101546800</v>
      </c>
      <c r="Q130" s="3">
        <f t="shared" si="30"/>
        <v>132</v>
      </c>
      <c r="R130" s="10">
        <f t="shared" si="60"/>
        <v>14666947050</v>
      </c>
      <c r="S130" s="5">
        <f t="shared" si="31"/>
        <v>134</v>
      </c>
      <c r="T130" s="9">
        <f t="shared" si="61"/>
        <v>38134062330</v>
      </c>
      <c r="U130" s="3">
        <f t="shared" si="32"/>
        <v>137</v>
      </c>
      <c r="V130" s="10">
        <f t="shared" si="62"/>
        <v>122028999456</v>
      </c>
      <c r="W130" s="5">
        <f t="shared" si="33"/>
        <v>141</v>
      </c>
      <c r="X130" s="9">
        <f t="shared" si="63"/>
        <v>512521797715</v>
      </c>
      <c r="Y130" s="3">
        <f t="shared" si="34"/>
        <v>143</v>
      </c>
      <c r="Z130" s="10">
        <f t="shared" si="64"/>
        <v>1230052314516</v>
      </c>
      <c r="AA130" s="5">
        <f t="shared" si="35"/>
        <v>145</v>
      </c>
      <c r="AB130" s="9">
        <f t="shared" si="65"/>
        <v>3075130786291</v>
      </c>
      <c r="AC130" s="3">
        <f t="shared" si="36"/>
        <v>147</v>
      </c>
      <c r="AD130" s="10">
        <f t="shared" si="66"/>
        <v>8610366201615</v>
      </c>
      <c r="AE130" s="5">
        <f t="shared" si="37"/>
        <v>150</v>
      </c>
      <c r="AF130" s="9">
        <f t="shared" si="67"/>
        <v>27553171845169</v>
      </c>
      <c r="AG130" s="3">
        <f t="shared" si="38"/>
        <v>153</v>
      </c>
      <c r="AH130" s="10">
        <f t="shared" si="68"/>
        <v>104702053011643</v>
      </c>
    </row>
    <row r="131" hidden="1">
      <c r="A131" s="2">
        <v>14</v>
      </c>
      <c r="B131" s="2" t="s">
        <v>230</v>
      </c>
      <c r="C131" s="2" t="s">
        <v>228</v>
      </c>
      <c r="D131" s="2" t="s">
        <v>64</v>
      </c>
      <c r="E131" s="2">
        <v>126</v>
      </c>
      <c r="F131" s="2" t="s">
        <v>71</v>
      </c>
      <c r="G131" s="2" t="s">
        <v>72</v>
      </c>
      <c r="H131" s="2">
        <v>32</v>
      </c>
      <c r="I131" s="3">
        <v>126</v>
      </c>
      <c r="J131" s="4">
        <v>1236000000</v>
      </c>
      <c r="K131" s="5" t="n">
        <f t="shared" ref="K131:K194" si="69">$E131+1</f>
        <v>127</v>
      </c>
      <c r="L131" s="9">
        <f t="shared" si="57"/>
        <v>2023332000</v>
      </c>
      <c r="M131" s="3" t="n">
        <f t="shared" ref="M131:M194" si="70">$E131+2</f>
        <v>128</v>
      </c>
      <c r="N131" s="10">
        <f t="shared" si="58"/>
        <v>3540831000</v>
      </c>
      <c r="O131" s="5" t="n">
        <f t="shared" ref="O131:O194" si="71">$E131+4</f>
        <v>130</v>
      </c>
      <c r="P131" s="9">
        <f t="shared" si="59"/>
        <v>7435745100</v>
      </c>
      <c r="Q131" s="3" t="n">
        <f t="shared" ref="Q131:Q194" si="72">$E131+6</f>
        <v>132</v>
      </c>
      <c r="R131" s="10">
        <f t="shared" si="60"/>
        <v>21377767163</v>
      </c>
      <c r="S131" s="5" t="n">
        <f t="shared" ref="S131:S194" si="73">$E131+8</f>
        <v>134</v>
      </c>
      <c r="T131" s="9">
        <f t="shared" si="61"/>
        <v>55582194623</v>
      </c>
      <c r="U131" s="3" t="n">
        <f t="shared" ref="U131:U194" si="74">$E131+11</f>
        <v>137</v>
      </c>
      <c r="V131" s="10">
        <f t="shared" si="62"/>
        <v>177863022792</v>
      </c>
      <c r="W131" s="5" t="n">
        <f t="shared" ref="W131:W194" si="75">$E131+15</f>
        <v>141</v>
      </c>
      <c r="X131" s="9">
        <f t="shared" si="63"/>
        <v>747024695726</v>
      </c>
      <c r="Y131" s="3" t="n">
        <f t="shared" ref="Y131:Y194" si="76">$E131+17</f>
        <v>143</v>
      </c>
      <c r="Z131" s="10">
        <f t="shared" si="64"/>
        <v>1792859269743</v>
      </c>
      <c r="AA131" s="5" t="n">
        <f t="shared" ref="AA131:AA194" si="77">$E131+19</f>
        <v>145</v>
      </c>
      <c r="AB131" s="9">
        <f t="shared" si="65"/>
        <v>4482148174358</v>
      </c>
      <c r="AC131" s="3" t="n">
        <f t="shared" ref="AC131:AC194" si="78">$E131+21</f>
        <v>147</v>
      </c>
      <c r="AD131" s="10">
        <f t="shared" si="66"/>
        <v>12550014888204</v>
      </c>
      <c r="AE131" s="5" t="n">
        <f t="shared" ref="AE131:AE194" si="79">$E131+24</f>
        <v>150</v>
      </c>
      <c r="AF131" s="9">
        <f t="shared" si="67"/>
        <v>40160047642251</v>
      </c>
      <c r="AG131" s="3" t="n">
        <f t="shared" ref="AG131:AG194" si="80">$E131+27</f>
        <v>153</v>
      </c>
      <c r="AH131" s="10">
        <f t="shared" si="68"/>
        <v>152608181040555</v>
      </c>
    </row>
    <row r="132" hidden="1">
      <c r="A132" s="2">
        <v>15</v>
      </c>
      <c r="B132" s="2" t="s">
        <v>231</v>
      </c>
      <c r="C132" s="2" t="s">
        <v>228</v>
      </c>
      <c r="D132" s="2" t="s">
        <v>64</v>
      </c>
      <c r="E132" s="2">
        <v>126</v>
      </c>
      <c r="F132" s="2" t="s">
        <v>54</v>
      </c>
      <c r="G132" s="2" t="s">
        <v>35</v>
      </c>
      <c r="H132" s="2">
        <v>32</v>
      </c>
      <c r="I132" s="3">
        <v>126</v>
      </c>
      <c r="J132" s="4">
        <v>935000000</v>
      </c>
      <c r="K132" s="5">
        <f t="shared" si="69"/>
        <v>127</v>
      </c>
      <c r="L132" s="9">
        <f t="shared" si="57"/>
        <v>1530595000</v>
      </c>
      <c r="M132" s="3">
        <f t="shared" si="70"/>
        <v>128</v>
      </c>
      <c r="N132" s="10">
        <f t="shared" si="58"/>
        <v>2678541250</v>
      </c>
      <c r="O132" s="5">
        <f t="shared" si="71"/>
        <v>130</v>
      </c>
      <c r="P132" s="9">
        <f t="shared" si="59"/>
        <v>5624936625</v>
      </c>
      <c r="Q132" s="3">
        <f t="shared" si="72"/>
        <v>132</v>
      </c>
      <c r="R132" s="10">
        <f t="shared" si="60"/>
        <v>16171692797</v>
      </c>
      <c r="S132" s="5">
        <f t="shared" si="73"/>
        <v>134</v>
      </c>
      <c r="T132" s="9">
        <f t="shared" si="61"/>
        <v>42046401272</v>
      </c>
      <c r="U132" s="3">
        <f t="shared" si="74"/>
        <v>137</v>
      </c>
      <c r="V132" s="10">
        <f t="shared" si="62"/>
        <v>134548484070</v>
      </c>
      <c r="W132" s="5">
        <f t="shared" si="75"/>
        <v>141</v>
      </c>
      <c r="X132" s="9">
        <f t="shared" si="63"/>
        <v>565103633094</v>
      </c>
      <c r="Y132" s="3">
        <f t="shared" si="76"/>
        <v>143</v>
      </c>
      <c r="Z132" s="10">
        <f t="shared" si="64"/>
        <v>1356248719426</v>
      </c>
      <c r="AA132" s="5">
        <f t="shared" si="77"/>
        <v>145</v>
      </c>
      <c r="AB132" s="9">
        <f t="shared" si="65"/>
        <v>3390621798564</v>
      </c>
      <c r="AC132" s="3">
        <f t="shared" si="78"/>
        <v>147</v>
      </c>
      <c r="AD132" s="10">
        <f t="shared" si="66"/>
        <v>9493741035979</v>
      </c>
      <c r="AE132" s="5">
        <f t="shared" si="79"/>
        <v>150</v>
      </c>
      <c r="AF132" s="9">
        <f t="shared" si="67"/>
        <v>30379971315133</v>
      </c>
      <c r="AG132" s="3">
        <f t="shared" si="80"/>
        <v>153</v>
      </c>
      <c r="AH132" s="10">
        <f t="shared" si="68"/>
        <v>115443890997507</v>
      </c>
    </row>
    <row r="133" hidden="1">
      <c r="A133" s="2">
        <v>16</v>
      </c>
      <c r="B133" s="2" t="s">
        <v>232</v>
      </c>
      <c r="C133" s="2" t="s">
        <v>228</v>
      </c>
      <c r="D133" s="2" t="s">
        <v>25</v>
      </c>
      <c r="E133" s="2">
        <v>125</v>
      </c>
      <c r="F133" s="2" t="s">
        <v>59</v>
      </c>
      <c r="G133" s="2" t="s">
        <v>57</v>
      </c>
      <c r="H133" s="2">
        <v>33</v>
      </c>
      <c r="I133" s="3">
        <v>125</v>
      </c>
      <c r="J133" s="4">
        <v>390000000</v>
      </c>
      <c r="K133" s="5">
        <f t="shared" si="69"/>
        <v>126</v>
      </c>
      <c r="L133" s="9">
        <f t="shared" si="57"/>
        <v>638430000</v>
      </c>
      <c r="M133" s="3">
        <f t="shared" si="70"/>
        <v>127</v>
      </c>
      <c r="N133" s="10">
        <f t="shared" si="58"/>
        <v>1117252500</v>
      </c>
      <c r="O133" s="5">
        <f t="shared" si="71"/>
        <v>129</v>
      </c>
      <c r="P133" s="9">
        <f t="shared" si="59"/>
        <v>2346230250</v>
      </c>
      <c r="Q133" s="3">
        <f t="shared" si="72"/>
        <v>131</v>
      </c>
      <c r="R133" s="10">
        <f t="shared" si="60"/>
        <v>6745411969</v>
      </c>
      <c r="S133" s="5">
        <f t="shared" si="73"/>
        <v>133</v>
      </c>
      <c r="T133" s="9">
        <f t="shared" si="61"/>
        <v>17538071119</v>
      </c>
      <c r="U133" s="3">
        <f t="shared" si="74"/>
        <v>136</v>
      </c>
      <c r="V133" s="10">
        <f t="shared" si="62"/>
        <v>56121827580</v>
      </c>
      <c r="W133" s="5">
        <f t="shared" si="75"/>
        <v>140</v>
      </c>
      <c r="X133" s="9">
        <f t="shared" si="63"/>
        <v>235711675836</v>
      </c>
      <c r="Y133" s="3">
        <f t="shared" si="76"/>
        <v>142</v>
      </c>
      <c r="Z133" s="10">
        <f t="shared" si="64"/>
        <v>565708022006</v>
      </c>
      <c r="AA133" s="5">
        <f t="shared" si="77"/>
        <v>144</v>
      </c>
      <c r="AB133" s="9">
        <f t="shared" si="65"/>
        <v>1414270055016</v>
      </c>
      <c r="AC133" s="3">
        <f t="shared" si="78"/>
        <v>146</v>
      </c>
      <c r="AD133" s="10">
        <f t="shared" si="66"/>
        <v>3959956154045</v>
      </c>
      <c r="AE133" s="5">
        <f t="shared" si="79"/>
        <v>149</v>
      </c>
      <c r="AF133" s="9">
        <f t="shared" si="67"/>
        <v>12671859692943</v>
      </c>
      <c r="AG133" s="3">
        <f t="shared" si="80"/>
        <v>152</v>
      </c>
      <c r="AH133" s="10">
        <f t="shared" si="68"/>
        <v>48153066833185</v>
      </c>
    </row>
    <row r="134" hidden="1">
      <c r="A134" s="2">
        <v>20</v>
      </c>
      <c r="B134" s="2" t="s">
        <v>233</v>
      </c>
      <c r="C134" s="2" t="s">
        <v>228</v>
      </c>
      <c r="D134" s="2" t="s">
        <v>45</v>
      </c>
      <c r="E134" s="2">
        <v>125</v>
      </c>
      <c r="F134" s="2" t="s">
        <v>56</v>
      </c>
      <c r="G134" s="2" t="s">
        <v>95</v>
      </c>
      <c r="H134" s="2">
        <v>32</v>
      </c>
      <c r="I134" s="3">
        <v>125</v>
      </c>
      <c r="J134" s="4">
        <v>92100000</v>
      </c>
      <c r="K134" s="5">
        <f t="shared" si="69"/>
        <v>126</v>
      </c>
      <c r="L134" s="9">
        <f t="shared" si="57"/>
        <v>150767700</v>
      </c>
      <c r="M134" s="3">
        <f t="shared" si="70"/>
        <v>127</v>
      </c>
      <c r="N134" s="10">
        <f t="shared" si="58"/>
        <v>263843475</v>
      </c>
      <c r="O134" s="5">
        <f t="shared" si="71"/>
        <v>129</v>
      </c>
      <c r="P134" s="9">
        <f t="shared" si="59"/>
        <v>554071298</v>
      </c>
      <c r="Q134" s="3">
        <f t="shared" si="72"/>
        <v>131</v>
      </c>
      <c r="R134" s="10">
        <f t="shared" si="60"/>
        <v>1592954980</v>
      </c>
      <c r="S134" s="5">
        <f t="shared" si="73"/>
        <v>133</v>
      </c>
      <c r="T134" s="9">
        <f t="shared" si="61"/>
        <v>4141682949</v>
      </c>
      <c r="U134" s="3">
        <f t="shared" si="74"/>
        <v>136</v>
      </c>
      <c r="V134" s="10">
        <f t="shared" si="62"/>
        <v>13253385436</v>
      </c>
      <c r="W134" s="5">
        <f t="shared" si="75"/>
        <v>140</v>
      </c>
      <c r="X134" s="9">
        <f t="shared" si="63"/>
        <v>55664218832</v>
      </c>
      <c r="Y134" s="3">
        <f t="shared" si="76"/>
        <v>142</v>
      </c>
      <c r="Z134" s="10">
        <f t="shared" si="64"/>
        <v>133594125197</v>
      </c>
      <c r="AA134" s="5">
        <f t="shared" si="77"/>
        <v>144</v>
      </c>
      <c r="AB134" s="9">
        <f t="shared" si="65"/>
        <v>333985312992</v>
      </c>
      <c r="AC134" s="3">
        <f t="shared" si="78"/>
        <v>146</v>
      </c>
      <c r="AD134" s="10">
        <f t="shared" si="66"/>
        <v>935158876378</v>
      </c>
      <c r="AE134" s="5">
        <f t="shared" si="79"/>
        <v>149</v>
      </c>
      <c r="AF134" s="9">
        <f t="shared" si="67"/>
        <v>2992508404410</v>
      </c>
      <c r="AG134" s="3">
        <f t="shared" si="80"/>
        <v>152</v>
      </c>
      <c r="AH134" s="10">
        <f t="shared" si="68"/>
        <v>11371531936760</v>
      </c>
    </row>
    <row r="135" hidden="1">
      <c r="A135" s="2">
        <v>12</v>
      </c>
      <c r="B135" s="2" t="s">
        <v>234</v>
      </c>
      <c r="C135" s="2" t="s">
        <v>228</v>
      </c>
      <c r="D135" s="2" t="s">
        <v>40</v>
      </c>
      <c r="E135" s="2">
        <v>125</v>
      </c>
      <c r="F135" s="2" t="s">
        <v>223</v>
      </c>
      <c r="G135" s="2" t="s">
        <v>185</v>
      </c>
      <c r="H135" s="2">
        <v>33</v>
      </c>
      <c r="I135" s="3">
        <v>125</v>
      </c>
      <c r="J135" s="4">
        <v>132000000</v>
      </c>
      <c r="K135" s="5">
        <f t="shared" si="69"/>
        <v>126</v>
      </c>
      <c r="L135" s="9">
        <f t="shared" si="57"/>
        <v>216084000</v>
      </c>
      <c r="M135" s="3">
        <f t="shared" si="70"/>
        <v>127</v>
      </c>
      <c r="N135" s="10">
        <f t="shared" si="58"/>
        <v>378147000</v>
      </c>
      <c r="O135" s="5">
        <f t="shared" si="71"/>
        <v>129</v>
      </c>
      <c r="P135" s="9">
        <f t="shared" si="59"/>
        <v>794108700</v>
      </c>
      <c r="Q135" s="3">
        <f t="shared" si="72"/>
        <v>131</v>
      </c>
      <c r="R135" s="10">
        <f t="shared" si="60"/>
        <v>2283062513</v>
      </c>
      <c r="S135" s="5">
        <f t="shared" si="73"/>
        <v>133</v>
      </c>
      <c r="T135" s="9">
        <f t="shared" si="61"/>
        <v>5935962533</v>
      </c>
      <c r="U135" s="3">
        <f t="shared" si="74"/>
        <v>136</v>
      </c>
      <c r="V135" s="10">
        <f t="shared" si="62"/>
        <v>18995080104</v>
      </c>
      <c r="W135" s="5">
        <f t="shared" si="75"/>
        <v>140</v>
      </c>
      <c r="X135" s="9">
        <f t="shared" si="63"/>
        <v>79779336437</v>
      </c>
      <c r="Y135" s="3">
        <f t="shared" si="76"/>
        <v>142</v>
      </c>
      <c r="Z135" s="10">
        <f t="shared" si="64"/>
        <v>191470407448</v>
      </c>
      <c r="AA135" s="5">
        <f t="shared" si="77"/>
        <v>144</v>
      </c>
      <c r="AB135" s="9">
        <f t="shared" si="65"/>
        <v>478676018621</v>
      </c>
      <c r="AC135" s="3">
        <f t="shared" si="78"/>
        <v>146</v>
      </c>
      <c r="AD135" s="10">
        <f t="shared" si="66"/>
        <v>1340292852138</v>
      </c>
      <c r="AE135" s="5">
        <f t="shared" si="79"/>
        <v>149</v>
      </c>
      <c r="AF135" s="9">
        <f t="shared" si="67"/>
        <v>4288937126842</v>
      </c>
      <c r="AG135" s="3">
        <f t="shared" si="80"/>
        <v>152</v>
      </c>
      <c r="AH135" s="10">
        <f t="shared" si="68"/>
        <v>16297961082001</v>
      </c>
    </row>
    <row r="136" hidden="1">
      <c r="A136" s="2">
        <v>124</v>
      </c>
      <c r="B136" s="2" t="s">
        <v>235</v>
      </c>
      <c r="C136" s="2" t="s">
        <v>228</v>
      </c>
      <c r="D136" s="2" t="s">
        <v>33</v>
      </c>
      <c r="E136" s="2">
        <v>125</v>
      </c>
      <c r="F136" s="2" t="s">
        <v>30</v>
      </c>
      <c r="G136" s="2" t="s">
        <v>95</v>
      </c>
      <c r="H136" s="2">
        <v>32</v>
      </c>
      <c r="I136" s="3">
        <v>125</v>
      </c>
      <c r="J136" s="4">
        <v>48500000</v>
      </c>
      <c r="K136" s="5">
        <f t="shared" si="69"/>
        <v>126</v>
      </c>
      <c r="L136" s="9">
        <f t="shared" si="57"/>
        <v>79394500</v>
      </c>
      <c r="M136" s="3">
        <f t="shared" si="70"/>
        <v>127</v>
      </c>
      <c r="N136" s="10">
        <f t="shared" si="58"/>
        <v>138940375</v>
      </c>
      <c r="O136" s="5">
        <f t="shared" si="71"/>
        <v>129</v>
      </c>
      <c r="P136" s="9">
        <f t="shared" si="59"/>
        <v>291774788</v>
      </c>
      <c r="Q136" s="3">
        <f t="shared" si="72"/>
        <v>131</v>
      </c>
      <c r="R136" s="10" t="n">
        <f>ROUND($J136*1.637*1.75*2.1*2.3*1,0)</f>
        <v>671082011</v>
      </c>
      <c r="S136" s="5">
        <f t="shared" si="73"/>
        <v>133</v>
      </c>
      <c r="T136" s="9" t="n">
        <f>ROUND($J136*1.637*1.75*2.1*2.3*2.6*1,0)</f>
        <v>1744813229</v>
      </c>
      <c r="U136" s="3">
        <f t="shared" si="74"/>
        <v>136</v>
      </c>
      <c r="V136" s="10" t="n">
        <f>ROUND($J136*1.637*1.75*2.1*2.3*2.6*3.2*1,0)</f>
        <v>5583402334</v>
      </c>
      <c r="W136" s="5">
        <f t="shared" si="75"/>
        <v>140</v>
      </c>
      <c r="X136" s="9" t="n">
        <f>ROUND($J136*1.637*1.75*2.1*2.3*2.6*3.2*4.2*1,0)</f>
        <v>23450289801</v>
      </c>
      <c r="Y136" s="3">
        <f t="shared" si="76"/>
        <v>142</v>
      </c>
      <c r="Z136" s="10" t="n">
        <f>ROUND($J136*1.637*1.75*2.1*2.3*2.6*3.2*4.2*2.4*1,0)</f>
        <v>56280695523</v>
      </c>
      <c r="AA136" s="5">
        <f t="shared" si="77"/>
        <v>144</v>
      </c>
      <c r="AB136" s="9" t="n">
        <f>ROUND($J136*1.637*1.75*2.1*2.3*2.6*3.2*4.2*2.4*2.5*1,0)</f>
        <v>140701738807</v>
      </c>
      <c r="AC136" s="3">
        <f t="shared" si="78"/>
        <v>146</v>
      </c>
      <c r="AD136" s="10" t="n">
        <f>ROUND($J136*1.637*1.75*2.1*2.3*2.6*3.2*4.2*2.4*2.5*2.8*1,0)</f>
        <v>393964868659</v>
      </c>
      <c r="AE136" s="5">
        <f t="shared" si="79"/>
        <v>149</v>
      </c>
      <c r="AF136" s="9" t="n">
        <f>ROUND($J136*1.637*1.75*2.1*2.3*2.6*3.2*4.2*2.4*2.5*2.8*3.2*1,0)</f>
        <v>1260687579708</v>
      </c>
      <c r="AG136" s="3">
        <f t="shared" si="80"/>
        <v>152</v>
      </c>
      <c r="AH136" s="10" t="n">
        <f>ROUND($J136*1.637*1.75*2.1*2.3*2.6*3.2*4.2*2.4*2.5*2.8*3.2*3.8*1,0)</f>
        <v>4790612802891</v>
      </c>
    </row>
    <row r="137" hidden="1">
      <c r="A137" s="2">
        <v>123</v>
      </c>
      <c r="B137" s="2" t="s">
        <v>236</v>
      </c>
      <c r="C137" s="2" t="s">
        <v>228</v>
      </c>
      <c r="D137" s="2" t="s">
        <v>79</v>
      </c>
      <c r="E137" s="2">
        <v>125</v>
      </c>
      <c r="F137" s="2" t="s">
        <v>237</v>
      </c>
      <c r="G137" s="2" t="s">
        <v>35</v>
      </c>
      <c r="H137" s="2">
        <v>32</v>
      </c>
      <c r="I137" s="3">
        <v>125</v>
      </c>
      <c r="J137" s="4">
        <v>331000000</v>
      </c>
      <c r="K137" s="5">
        <f t="shared" si="69"/>
        <v>126</v>
      </c>
      <c r="L137" s="9">
        <f t="shared" si="57"/>
        <v>541847000</v>
      </c>
      <c r="M137" s="3">
        <f t="shared" si="70"/>
        <v>127</v>
      </c>
      <c r="N137" s="10">
        <f t="shared" si="58"/>
        <v>948232250</v>
      </c>
      <c r="O137" s="5">
        <f t="shared" si="71"/>
        <v>129</v>
      </c>
      <c r="P137" s="9">
        <f t="shared" si="59"/>
        <v>1991287725</v>
      </c>
      <c r="Q137" s="3">
        <f t="shared" si="72"/>
        <v>131</v>
      </c>
      <c r="R137" s="10" t="n">
        <f>ROUND($J137*1.637*1.75*2.1*2.3*1.25,0)</f>
        <v>5724952209</v>
      </c>
      <c r="S137" s="5">
        <f t="shared" si="73"/>
        <v>133</v>
      </c>
      <c r="T137" s="9" t="n">
        <f>ROUND($J137*1.637*1.75*2.1*2.3*2.6*1.25,0)</f>
        <v>14884875744</v>
      </c>
      <c r="U137" s="3">
        <f t="shared" si="74"/>
        <v>136</v>
      </c>
      <c r="V137" s="10" t="n">
        <f>ROUND($J137*1.637*1.75*2.1*2.3*2.6*3.2*1.25,0)</f>
        <v>47631602382</v>
      </c>
      <c r="W137" s="5">
        <f t="shared" si="75"/>
        <v>140</v>
      </c>
      <c r="X137" s="9" t="n">
        <f>ROUND($J137*1.637*1.75*2.1*2.3*2.6*3.2*4.2*1.25,0)</f>
        <v>200052730004</v>
      </c>
      <c r="Y137" s="3">
        <f t="shared" si="76"/>
        <v>142</v>
      </c>
      <c r="Z137" s="10" t="n">
        <f>ROUND($J137*1.637*1.75*2.1*2.3*2.6*3.2*4.2*2.4*1.25,0)</f>
        <v>480126552011</v>
      </c>
      <c r="AA137" s="5">
        <f t="shared" si="77"/>
        <v>144</v>
      </c>
      <c r="AB137" s="9" t="n">
        <f>ROUND($J137*1.637*1.75*2.1*2.3*2.6*3.2*4.2*2.4*2.5*1.25,0)</f>
        <v>1200316380026</v>
      </c>
      <c r="AC137" s="3">
        <f t="shared" si="78"/>
        <v>146</v>
      </c>
      <c r="AD137" s="10" t="n">
        <f>ROUND($J137*1.637*1.75*2.1*2.3*2.6*3.2*4.2*2.4*2.5*2.8*1.25,0)</f>
        <v>3360885864074</v>
      </c>
      <c r="AE137" s="5">
        <f t="shared" si="79"/>
        <v>149</v>
      </c>
      <c r="AF137" s="9" t="n">
        <f>ROUND($J137*1.637*1.75*2.1*2.3*2.6*3.2*4.2*2.4*2.5*2.8*3.2*1.25,0)</f>
        <v>10754834765037</v>
      </c>
      <c r="AG137" s="3">
        <f t="shared" si="80"/>
        <v>152</v>
      </c>
      <c r="AH137" s="10" t="n">
        <f>ROUND($J137*1.637*1.75*2.1*2.3*2.6*3.2*4.2*2.4*2.5*2.8*3.2*3.8*1.25,0)</f>
        <v>40868372107139</v>
      </c>
    </row>
    <row r="138" hidden="1">
      <c r="A138" s="2">
        <v>18</v>
      </c>
      <c r="B138" s="2" t="s">
        <v>238</v>
      </c>
      <c r="C138" s="2" t="s">
        <v>228</v>
      </c>
      <c r="D138" s="2" t="s">
        <v>45</v>
      </c>
      <c r="E138" s="2">
        <v>125</v>
      </c>
      <c r="F138" s="2" t="s">
        <v>71</v>
      </c>
      <c r="G138" s="2" t="s">
        <v>72</v>
      </c>
      <c r="H138" s="2">
        <v>32</v>
      </c>
      <c r="I138" s="3">
        <v>125</v>
      </c>
      <c r="J138" s="4">
        <v>197000000</v>
      </c>
      <c r="K138" s="5">
        <f t="shared" si="69"/>
        <v>126</v>
      </c>
      <c r="L138" s="9">
        <f t="shared" si="57"/>
        <v>322489000</v>
      </c>
      <c r="M138" s="3">
        <f t="shared" si="70"/>
        <v>127</v>
      </c>
      <c r="N138" s="10">
        <f t="shared" si="58"/>
        <v>564355750</v>
      </c>
      <c r="O138" s="5">
        <f t="shared" si="71"/>
        <v>129</v>
      </c>
      <c r="P138" s="9">
        <f t="shared" si="59"/>
        <v>1185147075</v>
      </c>
      <c r="Q138" s="3">
        <f t="shared" si="72"/>
        <v>131</v>
      </c>
      <c r="R138" s="10" t="n">
        <f>ROUND($J138*1.637*1.75*2.1*2.3*1.25,0)</f>
        <v>3407297841</v>
      </c>
      <c r="S138" s="5">
        <f t="shared" si="73"/>
        <v>133</v>
      </c>
      <c r="T138" s="9" t="n">
        <f>ROUND($J138*1.637*1.75*2.1*2.3*2.6*1.25,0)</f>
        <v>8858974386</v>
      </c>
      <c r="U138" s="3">
        <f t="shared" si="74"/>
        <v>136</v>
      </c>
      <c r="V138" s="10" t="n">
        <f>ROUND($J138*1.637*1.75*2.1*2.3*2.6*3.2*1.25,0)</f>
        <v>28348718034</v>
      </c>
      <c r="W138" s="5">
        <f t="shared" si="75"/>
        <v>140</v>
      </c>
      <c r="X138" s="9" t="n">
        <f>ROUND($J138*1.637*1.75*2.1*2.3*2.6*3.2*4.2*1.25,0)</f>
        <v>119064615743</v>
      </c>
      <c r="Y138" s="3">
        <f t="shared" si="76"/>
        <v>142</v>
      </c>
      <c r="Z138" s="10" t="n">
        <f>ROUND($J138*1.637*1.75*2.1*2.3*2.6*3.2*4.2*2.4*1.25,0)</f>
        <v>285755077783</v>
      </c>
      <c r="AA138" s="5">
        <f t="shared" si="77"/>
        <v>144</v>
      </c>
      <c r="AB138" s="9" t="n">
        <f>ROUND($J138*1.637*1.75*2.1*2.3*2.6*3.2*4.2*2.4*2.5*1.25,0)</f>
        <v>714387694457</v>
      </c>
      <c r="AC138" s="3">
        <f t="shared" si="78"/>
        <v>146</v>
      </c>
      <c r="AD138" s="10" t="n">
        <f>ROUND($J138*1.637*1.75*2.1*2.3*2.6*3.2*4.2*2.4*2.5*2.8*1.25,0)</f>
        <v>2000285544479</v>
      </c>
      <c r="AE138" s="5">
        <f t="shared" si="79"/>
        <v>149</v>
      </c>
      <c r="AF138" s="9" t="n">
        <f>ROUND($J138*1.637*1.75*2.1*2.3*2.6*3.2*4.2*2.4*2.5*2.8*3.2*1.25,0)</f>
        <v>6400913742333</v>
      </c>
      <c r="AG138" s="3">
        <f t="shared" si="80"/>
        <v>152</v>
      </c>
      <c r="AH138" s="10" t="n">
        <f>ROUND($J138*1.637*1.75*2.1*2.3*2.6*3.2*4.2*2.4*2.5*2.8*3.2*3.8*1.25,0)</f>
        <v>24323472220865</v>
      </c>
    </row>
    <row r="139" hidden="1">
      <c r="A139" s="2">
        <v>17</v>
      </c>
      <c r="B139" s="2" t="s">
        <v>239</v>
      </c>
      <c r="C139" s="2" t="s">
        <v>228</v>
      </c>
      <c r="D139" s="2" t="s">
        <v>45</v>
      </c>
      <c r="E139" s="2">
        <v>125</v>
      </c>
      <c r="F139" s="2" t="s">
        <v>59</v>
      </c>
      <c r="G139" s="2" t="s">
        <v>218</v>
      </c>
      <c r="H139" s="2">
        <v>32</v>
      </c>
      <c r="I139" s="3">
        <v>125</v>
      </c>
      <c r="J139" s="4">
        <v>57500000</v>
      </c>
      <c r="K139" s="5">
        <f t="shared" si="69"/>
        <v>126</v>
      </c>
      <c r="L139" s="9">
        <f t="shared" si="57"/>
        <v>94127500</v>
      </c>
      <c r="M139" s="3">
        <f t="shared" si="70"/>
        <v>127</v>
      </c>
      <c r="N139" s="10">
        <f t="shared" si="58"/>
        <v>164723125</v>
      </c>
      <c r="O139" s="5">
        <f t="shared" si="71"/>
        <v>129</v>
      </c>
      <c r="P139" s="9">
        <f t="shared" si="59"/>
        <v>345918563</v>
      </c>
      <c r="Q139" s="3">
        <f t="shared" si="72"/>
        <v>131</v>
      </c>
      <c r="R139" s="10" t="n">
        <f>ROUND($J139*1.637*1.75*2.1*2.3*1,0)</f>
        <v>795612694</v>
      </c>
      <c r="S139" s="5">
        <f t="shared" si="73"/>
        <v>133</v>
      </c>
      <c r="T139" s="9" t="n">
        <f>ROUND($J139*1.637*1.75*2.1*2.3*2.6*1,0)</f>
        <v>2068593004</v>
      </c>
      <c r="U139" s="3">
        <f t="shared" si="74"/>
        <v>136</v>
      </c>
      <c r="V139" s="10" t="n">
        <f>ROUND($J139*1.637*1.75*2.1*2.3*2.6*3.2*1,0)</f>
        <v>6619497612</v>
      </c>
      <c r="W139" s="5">
        <f t="shared" si="75"/>
        <v>140</v>
      </c>
      <c r="X139" s="9" t="n">
        <f>ROUND($J139*1.637*1.75*2.1*2.3*2.6*3.2*4.2*1,0)</f>
        <v>27801889970</v>
      </c>
      <c r="Y139" s="3">
        <f t="shared" si="76"/>
        <v>142</v>
      </c>
      <c r="Z139" s="10" t="n">
        <f>ROUND($J139*1.637*1.75*2.1*2.3*2.6*3.2*4.2*2.4*1,0)</f>
        <v>66724535929</v>
      </c>
      <c r="AA139" s="5">
        <f t="shared" si="77"/>
        <v>144</v>
      </c>
      <c r="AB139" s="9" t="n">
        <f>ROUND($J139*1.637*1.75*2.1*2.3*2.6*3.2*4.2*2.4*2.5*1,0)</f>
        <v>166811339822</v>
      </c>
      <c r="AC139" s="3">
        <f t="shared" si="78"/>
        <v>146</v>
      </c>
      <c r="AD139" s="10" t="n">
        <f>ROUND($J139*1.637*1.75*2.1*2.3*2.6*3.2*4.2*2.4*2.5*2.8*1,0)</f>
        <v>467071751503</v>
      </c>
      <c r="AE139" s="5">
        <f t="shared" si="79"/>
        <v>149</v>
      </c>
      <c r="AF139" s="9" t="n">
        <f>ROUND($J139*1.637*1.75*2.1*2.3*2.6*3.2*4.2*2.4*2.5*2.8*3.2*1,0)</f>
        <v>1494629604809</v>
      </c>
      <c r="AG139" s="3">
        <f t="shared" si="80"/>
        <v>152</v>
      </c>
      <c r="AH139" s="10" t="n">
        <f>ROUND($J139*1.637*1.75*2.1*2.3*2.6*3.2*4.2*2.4*2.5*2.8*3.2*3.8*1,0)</f>
        <v>5679592498273</v>
      </c>
    </row>
    <row r="140" hidden="1">
      <c r="A140" s="2">
        <v>128</v>
      </c>
      <c r="B140" s="2" t="s">
        <v>240</v>
      </c>
      <c r="C140" s="2" t="s">
        <v>228</v>
      </c>
      <c r="D140" s="2" t="s">
        <v>241</v>
      </c>
      <c r="E140" s="2">
        <v>124</v>
      </c>
      <c r="F140" s="2" t="s">
        <v>62</v>
      </c>
      <c r="G140" s="2" t="s">
        <v>242</v>
      </c>
      <c r="H140" s="2">
        <v>31</v>
      </c>
      <c r="I140" s="3">
        <v>124</v>
      </c>
      <c r="J140" s="4">
        <v>21700000</v>
      </c>
      <c r="K140" s="5">
        <f t="shared" si="69"/>
        <v>125</v>
      </c>
      <c r="L140" s="9">
        <f t="shared" si="57"/>
        <v>35522900</v>
      </c>
      <c r="M140" s="3">
        <f t="shared" si="70"/>
        <v>126</v>
      </c>
      <c r="N140" s="10">
        <f t="shared" si="58"/>
        <v>62165075</v>
      </c>
      <c r="O140" s="5">
        <f t="shared" si="71"/>
        <v>128</v>
      </c>
      <c r="P140" s="9">
        <f t="shared" si="59"/>
        <v>130546658</v>
      </c>
      <c r="Q140" s="3">
        <f t="shared" si="72"/>
        <v>130</v>
      </c>
      <c r="R140" s="10" t="n">
        <f>ROUND($J140*1.637*1.75*2.1*2.3*1,0)</f>
        <v>300257312</v>
      </c>
      <c r="S140" s="5">
        <f t="shared" si="73"/>
        <v>132</v>
      </c>
      <c r="T140" s="9" t="n">
        <f>ROUND($J140*1.637*1.75*2.1*2.3*2.6*1,0)</f>
        <v>780669012</v>
      </c>
      <c r="U140" s="3">
        <f t="shared" si="74"/>
        <v>135</v>
      </c>
      <c r="V140" s="10" t="n">
        <f>ROUND($J140*1.637*1.75*2.1*2.3*2.6*3.2*1,0)</f>
        <v>2498140838</v>
      </c>
      <c r="W140" s="5">
        <f t="shared" si="75"/>
        <v>139</v>
      </c>
      <c r="X140" s="9" t="n">
        <f>ROUND($J140*1.637*1.75*2.1*2.3*2.6*3.2*4.2*1,0)</f>
        <v>10492191519</v>
      </c>
      <c r="Y140" s="3">
        <f t="shared" si="76"/>
        <v>141</v>
      </c>
      <c r="Z140" s="10" t="n">
        <f>ROUND($J140*1.637*1.75*2.1*2.3*2.6*3.2*4.2*2.4*1,0)</f>
        <v>25181259646</v>
      </c>
      <c r="AA140" s="5">
        <f t="shared" si="77"/>
        <v>143</v>
      </c>
      <c r="AB140" s="9" t="n">
        <f>ROUND($J140*1.637*1.75*2.1*2.3*2.6*3.2*4.2*2.4*2.5*1,0)</f>
        <v>62953149116</v>
      </c>
      <c r="AC140" s="3">
        <f t="shared" si="78"/>
        <v>145</v>
      </c>
      <c r="AD140" s="10" t="n">
        <f>ROUND($J140*1.637*1.75*2.1*2.3*2.6*3.2*4.2*2.4*2.5*2.8*1,0)</f>
        <v>176268817524</v>
      </c>
      <c r="AE140" s="5">
        <f t="shared" si="79"/>
        <v>148</v>
      </c>
      <c r="AF140" s="9" t="n">
        <f>ROUND($J140*1.637*1.75*2.1*2.3*2.6*3.2*4.2*2.4*2.5*2.8*3.2*1,0)</f>
        <v>564060216076</v>
      </c>
      <c r="AG140" s="3">
        <f t="shared" si="80"/>
        <v>151</v>
      </c>
      <c r="AH140" s="10" t="n">
        <f>ROUND($J140*1.637*1.75*2.1*2.3*2.6*3.2*4.2*2.4*2.5*2.8*3.2*3.8*1,0)</f>
        <v>2143428821087</v>
      </c>
    </row>
    <row r="141" hidden="1">
      <c r="A141" s="2">
        <v>126</v>
      </c>
      <c r="B141" s="2" t="s">
        <v>243</v>
      </c>
      <c r="C141" s="2" t="s">
        <v>228</v>
      </c>
      <c r="D141" s="2" t="s">
        <v>40</v>
      </c>
      <c r="E141" s="2">
        <v>124</v>
      </c>
      <c r="F141" s="2" t="s">
        <v>30</v>
      </c>
      <c r="G141" s="2" t="s">
        <v>244</v>
      </c>
      <c r="H141" s="2">
        <v>31</v>
      </c>
      <c r="I141" s="3">
        <v>124</v>
      </c>
      <c r="J141" s="4">
        <v>19400000</v>
      </c>
      <c r="K141" s="5">
        <f t="shared" si="69"/>
        <v>125</v>
      </c>
      <c r="L141" s="9">
        <f t="shared" si="57"/>
        <v>31757800</v>
      </c>
      <c r="M141" s="3">
        <f t="shared" si="70"/>
        <v>126</v>
      </c>
      <c r="N141" s="10">
        <f t="shared" si="58"/>
        <v>55576150</v>
      </c>
      <c r="O141" s="5">
        <f t="shared" si="71"/>
        <v>128</v>
      </c>
      <c r="P141" s="9">
        <f t="shared" si="59"/>
        <v>116709915</v>
      </c>
      <c r="Q141" s="3">
        <f t="shared" si="72"/>
        <v>130</v>
      </c>
      <c r="R141" s="10" t="n">
        <f>ROUND($J141*1.637*1.75*2.1*2.3*1,0)</f>
        <v>268432805</v>
      </c>
      <c r="S141" s="5">
        <f t="shared" si="73"/>
        <v>132</v>
      </c>
      <c r="T141" s="9" t="n">
        <f>ROUND($J141*1.637*1.75*2.1*2.3*2.6*1,0)</f>
        <v>697925292</v>
      </c>
      <c r="U141" s="3">
        <f t="shared" si="74"/>
        <v>135</v>
      </c>
      <c r="V141" s="10" t="n">
        <f>ROUND($J141*1.637*1.75*2.1*2.3*2.6*3.2*1,0)</f>
        <v>2233360933</v>
      </c>
      <c r="W141" s="5">
        <f t="shared" si="75"/>
        <v>139</v>
      </c>
      <c r="X141" s="9" t="n">
        <f>ROUND($J141*1.637*1.75*2.1*2.3*2.6*3.2*4.2*1,0)</f>
        <v>9380115920</v>
      </c>
      <c r="Y141" s="3">
        <f t="shared" si="76"/>
        <v>141</v>
      </c>
      <c r="Z141" s="10" t="n">
        <f>ROUND($J141*1.637*1.75*2.1*2.3*2.6*3.2*4.2*2.4*1,0)</f>
        <v>22512278209</v>
      </c>
      <c r="AA141" s="5">
        <f t="shared" si="77"/>
        <v>143</v>
      </c>
      <c r="AB141" s="9" t="n">
        <f>ROUND($J141*1.637*1.75*2.1*2.3*2.6*3.2*4.2*2.4*2.5*1,0)</f>
        <v>56280695523</v>
      </c>
      <c r="AC141" s="3">
        <f t="shared" si="78"/>
        <v>145</v>
      </c>
      <c r="AD141" s="10" t="n">
        <f>ROUND($J141*1.637*1.75*2.1*2.3*2.6*3.2*4.2*2.4*2.5*2.8*1,0)</f>
        <v>157585947464</v>
      </c>
      <c r="AE141" s="5">
        <f t="shared" si="79"/>
        <v>148</v>
      </c>
      <c r="AF141" s="9" t="n">
        <f>ROUND($J141*1.637*1.75*2.1*2.3*2.6*3.2*4.2*2.4*2.5*2.8*3.2*1,0)</f>
        <v>504275031883</v>
      </c>
      <c r="AG141" s="3">
        <f t="shared" si="80"/>
        <v>151</v>
      </c>
      <c r="AH141" s="10" t="n">
        <f>ROUND($J141*1.637*1.75*2.1*2.3*2.6*3.2*4.2*2.4*2.5*2.8*3.2*3.8*1,0)</f>
        <v>1916245121156</v>
      </c>
    </row>
    <row r="142" hidden="1">
      <c r="A142" s="2">
        <v>19</v>
      </c>
      <c r="B142" s="2" t="s">
        <v>245</v>
      </c>
      <c r="C142" s="2" t="s">
        <v>228</v>
      </c>
      <c r="D142" s="2" t="s">
        <v>45</v>
      </c>
      <c r="E142" s="2">
        <v>124</v>
      </c>
      <c r="F142" s="2" t="s">
        <v>212</v>
      </c>
      <c r="G142" s="2" t="s">
        <v>51</v>
      </c>
      <c r="H142" s="2">
        <v>32</v>
      </c>
      <c r="I142" s="3">
        <v>124</v>
      </c>
      <c r="J142" s="4">
        <v>18700000</v>
      </c>
      <c r="K142" s="5">
        <f t="shared" si="69"/>
        <v>125</v>
      </c>
      <c r="L142" s="9">
        <f t="shared" si="57"/>
        <v>30611900</v>
      </c>
      <c r="M142" s="3">
        <f t="shared" si="70"/>
        <v>126</v>
      </c>
      <c r="N142" s="10">
        <f t="shared" si="58"/>
        <v>53570825</v>
      </c>
      <c r="O142" s="5">
        <f t="shared" si="71"/>
        <v>128</v>
      </c>
      <c r="P142" s="9">
        <f t="shared" si="59"/>
        <v>112498733</v>
      </c>
      <c r="Q142" s="3">
        <f t="shared" si="72"/>
        <v>130</v>
      </c>
      <c r="R142" s="10" t="n">
        <f>ROUND($J142*1.637*1.75*2.1*2.3*1.25,0)</f>
        <v>323433856</v>
      </c>
      <c r="S142" s="5">
        <f t="shared" si="73"/>
        <v>132</v>
      </c>
      <c r="T142" s="9" t="n">
        <f>ROUND($J142*1.637*1.75*2.1*2.3*2.6*1.25,0)</f>
        <v>840928025</v>
      </c>
      <c r="U142" s="3">
        <f t="shared" si="74"/>
        <v>135</v>
      </c>
      <c r="V142" s="10" t="n">
        <f>ROUND($J142*1.637*1.75*2.1*2.3*2.6*3.2*1.25,0)</f>
        <v>2690969681</v>
      </c>
      <c r="W142" s="5">
        <f t="shared" si="75"/>
        <v>139</v>
      </c>
      <c r="X142" s="9" t="n">
        <f>ROUND($J142*1.637*1.75*2.1*2.3*2.6*3.2*4.2*1.25,0)</f>
        <v>11302072662</v>
      </c>
      <c r="Y142" s="3">
        <f t="shared" si="76"/>
        <v>141</v>
      </c>
      <c r="Z142" s="10" t="n">
        <f>ROUND($J142*1.637*1.75*2.1*2.3*2.6*3.2*4.2*2.4*1.25,0)</f>
        <v>27124974389</v>
      </c>
      <c r="AA142" s="5">
        <f t="shared" si="77"/>
        <v>143</v>
      </c>
      <c r="AB142" s="9" t="n">
        <f>ROUND($J142*1.637*1.75*2.1*2.3*2.6*3.2*4.2*2.4*2.5*1.25,0)</f>
        <v>67812435971</v>
      </c>
      <c r="AC142" s="3">
        <f t="shared" si="78"/>
        <v>145</v>
      </c>
      <c r="AD142" s="10" t="n">
        <f>ROUND($J142*1.637*1.75*2.1*2.3*2.6*3.2*4.2*2.4*2.5*2.8*1.25,0)</f>
        <v>189874820720</v>
      </c>
      <c r="AE142" s="5">
        <f t="shared" si="79"/>
        <v>148</v>
      </c>
      <c r="AF142" s="9" t="n">
        <f>ROUND($J142*1.637*1.75*2.1*2.3*2.6*3.2*4.2*2.4*2.5*2.8*3.2*1.25,0)</f>
        <v>607599426303</v>
      </c>
      <c r="AG142" s="3">
        <f t="shared" si="80"/>
        <v>151</v>
      </c>
      <c r="AH142" s="10" t="n">
        <f>ROUND($J142*1.637*1.75*2.1*2.3*2.6*3.2*4.2*2.4*2.5*2.8*3.2*3.8*1.25,0)</f>
        <v>2308877819950</v>
      </c>
    </row>
    <row r="143" hidden="1">
      <c r="A143" s="2">
        <v>125</v>
      </c>
      <c r="B143" s="2" t="s">
        <v>246</v>
      </c>
      <c r="C143" s="2" t="s">
        <v>228</v>
      </c>
      <c r="D143" s="2" t="s">
        <v>25</v>
      </c>
      <c r="E143" s="2">
        <v>124</v>
      </c>
      <c r="F143" s="2" t="s">
        <v>26</v>
      </c>
      <c r="G143" s="2" t="s">
        <v>247</v>
      </c>
      <c r="H143" s="2">
        <v>31</v>
      </c>
      <c r="I143" s="3">
        <v>124</v>
      </c>
      <c r="J143" s="4">
        <v>19700000</v>
      </c>
      <c r="K143" s="5">
        <f t="shared" si="69"/>
        <v>125</v>
      </c>
      <c r="L143" s="9">
        <f t="shared" si="57"/>
        <v>32248900</v>
      </c>
      <c r="M143" s="3">
        <f t="shared" si="70"/>
        <v>126</v>
      </c>
      <c r="N143" s="10">
        <f t="shared" si="58"/>
        <v>56435575</v>
      </c>
      <c r="O143" s="5">
        <f t="shared" si="71"/>
        <v>128</v>
      </c>
      <c r="P143" s="9">
        <f t="shared" si="59"/>
        <v>118514708</v>
      </c>
      <c r="Q143" s="3">
        <f t="shared" si="72"/>
        <v>130</v>
      </c>
      <c r="R143" s="10" t="n">
        <f>ROUND($J143*1.637*1.75*2.1*2.3*1,0)</f>
        <v>272583827</v>
      </c>
      <c r="S143" s="5">
        <f t="shared" si="73"/>
        <v>132</v>
      </c>
      <c r="T143" s="9" t="n">
        <f>ROUND($J143*1.637*1.75*2.1*2.3*2.6*1,0)</f>
        <v>708717951</v>
      </c>
      <c r="U143" s="3">
        <f t="shared" si="74"/>
        <v>135</v>
      </c>
      <c r="V143" s="10" t="n">
        <f>ROUND($J143*1.637*1.75*2.1*2.3*2.6*3.2*1,0)</f>
        <v>2267897443</v>
      </c>
      <c r="W143" s="5">
        <f t="shared" si="75"/>
        <v>139</v>
      </c>
      <c r="X143" s="9" t="n">
        <f>ROUND($J143*1.637*1.75*2.1*2.3*2.6*3.2*4.2*1,0)</f>
        <v>9525169259</v>
      </c>
      <c r="Y143" s="3">
        <f t="shared" si="76"/>
        <v>141</v>
      </c>
      <c r="Z143" s="10" t="n">
        <f>ROUND($J143*1.637*1.75*2.1*2.3*2.6*3.2*4.2*2.4*1,0)</f>
        <v>22860406223</v>
      </c>
      <c r="AA143" s="5">
        <f t="shared" si="77"/>
        <v>143</v>
      </c>
      <c r="AB143" s="9" t="n">
        <f>ROUND($J143*1.637*1.75*2.1*2.3*2.6*3.2*4.2*2.4*2.5*1,0)</f>
        <v>57151015557</v>
      </c>
      <c r="AC143" s="3">
        <f t="shared" si="78"/>
        <v>145</v>
      </c>
      <c r="AD143" s="10" t="n">
        <f>ROUND($J143*1.637*1.75*2.1*2.3*2.6*3.2*4.2*2.4*2.5*2.8*1,0)</f>
        <v>160022843558</v>
      </c>
      <c r="AE143" s="5">
        <f t="shared" si="79"/>
        <v>148</v>
      </c>
      <c r="AF143" s="9" t="n">
        <f>ROUND($J143*1.637*1.75*2.1*2.3*2.6*3.2*4.2*2.4*2.5*2.8*3.2*1,0)</f>
        <v>512073099387</v>
      </c>
      <c r="AG143" s="3">
        <f t="shared" si="80"/>
        <v>151</v>
      </c>
      <c r="AH143" s="10" t="n">
        <f>ROUND($J143*1.637*1.75*2.1*2.3*2.6*3.2*4.2*2.4*2.5*2.8*3.2*3.8*1,0)</f>
        <v>1945877777669</v>
      </c>
    </row>
    <row r="144" hidden="1">
      <c r="A144" s="2">
        <v>127</v>
      </c>
      <c r="B144" s="2" t="s">
        <v>248</v>
      </c>
      <c r="C144" s="2" t="s">
        <v>228</v>
      </c>
      <c r="D144" s="2" t="s">
        <v>33</v>
      </c>
      <c r="E144" s="2">
        <v>124</v>
      </c>
      <c r="F144" s="2" t="s">
        <v>54</v>
      </c>
      <c r="G144" s="2" t="s">
        <v>95</v>
      </c>
      <c r="H144" s="2">
        <v>31</v>
      </c>
      <c r="I144" s="3">
        <v>124</v>
      </c>
      <c r="J144" s="4">
        <v>22300000</v>
      </c>
      <c r="K144" s="5">
        <f t="shared" si="69"/>
        <v>125</v>
      </c>
      <c r="L144" s="9">
        <f t="shared" si="57"/>
        <v>36505100</v>
      </c>
      <c r="M144" s="3">
        <f t="shared" si="70"/>
        <v>126</v>
      </c>
      <c r="N144" s="10">
        <f t="shared" si="58"/>
        <v>63883925</v>
      </c>
      <c r="O144" s="5">
        <f t="shared" si="71"/>
        <v>128</v>
      </c>
      <c r="P144" s="9">
        <f t="shared" si="59"/>
        <v>134156243</v>
      </c>
      <c r="Q144" s="3">
        <f t="shared" si="72"/>
        <v>130</v>
      </c>
      <c r="R144" s="10" t="n">
        <f>ROUND($J144*1.637*1.75*2.1*2.3*1.25,0)</f>
        <v>385699197</v>
      </c>
      <c r="S144" s="5">
        <f t="shared" si="73"/>
        <v>132</v>
      </c>
      <c r="T144" s="9" t="n">
        <f>ROUND($J144*1.637*1.75*2.1*2.3*2.6*1.25,0)</f>
        <v>1002817913</v>
      </c>
      <c r="U144" s="3">
        <f t="shared" si="74"/>
        <v>135</v>
      </c>
      <c r="V144" s="10" t="n">
        <f>ROUND($J144*1.637*1.75*2.1*2.3*2.6*3.2*1.25,0)</f>
        <v>3209017321</v>
      </c>
      <c r="W144" s="5">
        <f t="shared" si="75"/>
        <v>139</v>
      </c>
      <c r="X144" s="9" t="n">
        <f>ROUND($J144*1.637*1.75*2.1*2.3*2.6*3.2*4.2*1.25,0)</f>
        <v>13477872747</v>
      </c>
      <c r="Y144" s="3">
        <f t="shared" si="76"/>
        <v>141</v>
      </c>
      <c r="Z144" s="10" t="n">
        <f>ROUND($J144*1.637*1.75*2.1*2.3*2.6*3.2*4.2*2.4*1.25,0)</f>
        <v>32346894592</v>
      </c>
      <c r="AA144" s="5">
        <f t="shared" si="77"/>
        <v>143</v>
      </c>
      <c r="AB144" s="9" t="n">
        <f>ROUND($J144*1.637*1.75*2.1*2.3*2.6*3.2*4.2*2.4*2.5*1.25,0)</f>
        <v>80867236479</v>
      </c>
      <c r="AC144" s="3">
        <f t="shared" si="78"/>
        <v>145</v>
      </c>
      <c r="AD144" s="10" t="n">
        <f>ROUND($J144*1.637*1.75*2.1*2.3*2.6*3.2*4.2*2.4*2.5*2.8*1.25,0)</f>
        <v>226428262142</v>
      </c>
      <c r="AE144" s="5">
        <f t="shared" si="79"/>
        <v>148</v>
      </c>
      <c r="AF144" s="9" t="n">
        <f>ROUND($J144*1.637*1.75*2.1*2.3*2.6*3.2*4.2*2.4*2.5*2.8*3.2*1.25,0)</f>
        <v>724570438853</v>
      </c>
      <c r="AG144" s="3">
        <f t="shared" si="80"/>
        <v>151</v>
      </c>
      <c r="AH144" s="10" t="n">
        <f>ROUND($J144*1.637*1.75*2.1*2.3*2.6*3.2*4.2*2.4*2.5*2.8*3.2*3.8*1.25,0)</f>
        <v>2753367667641</v>
      </c>
    </row>
    <row r="145" hidden="1">
      <c r="A145" s="2">
        <v>145</v>
      </c>
      <c r="B145" s="2" t="s">
        <v>249</v>
      </c>
      <c r="C145" s="2" t="s">
        <v>228</v>
      </c>
      <c r="D145" s="2" t="s">
        <v>64</v>
      </c>
      <c r="E145" s="2">
        <v>123</v>
      </c>
      <c r="F145" s="2" t="s">
        <v>194</v>
      </c>
      <c r="G145" s="2" t="s">
        <v>185</v>
      </c>
      <c r="H145" s="2">
        <v>31</v>
      </c>
      <c r="I145" s="3">
        <v>123</v>
      </c>
      <c r="J145" s="4">
        <v>12500000</v>
      </c>
      <c r="K145" s="5">
        <f t="shared" si="69"/>
        <v>124</v>
      </c>
      <c r="L145" s="9">
        <f t="shared" si="57"/>
        <v>20462500</v>
      </c>
      <c r="M145" s="3">
        <f t="shared" si="70"/>
        <v>125</v>
      </c>
      <c r="N145" s="10">
        <f t="shared" si="58"/>
        <v>35809375</v>
      </c>
      <c r="O145" s="5">
        <f t="shared" si="71"/>
        <v>127</v>
      </c>
      <c r="P145" s="9">
        <f t="shared" si="59"/>
        <v>75199688</v>
      </c>
      <c r="Q145" s="3">
        <f t="shared" si="72"/>
        <v>129</v>
      </c>
      <c r="R145" s="10" t="n">
        <f>ROUND($J145*1.637*1.75*2.1*2.3*1,0)</f>
        <v>172959281</v>
      </c>
      <c r="S145" s="5">
        <f t="shared" si="73"/>
        <v>131</v>
      </c>
      <c r="T145" s="9" t="n">
        <f>ROUND($J145*1.637*1.75*2.1*2.3*2.6*1,0)</f>
        <v>449694131</v>
      </c>
      <c r="U145" s="3">
        <f t="shared" si="74"/>
        <v>134</v>
      </c>
      <c r="V145" s="10" t="n">
        <f>ROUND($J145*1.637*1.75*2.1*2.3*2.6*3.2*1,0)</f>
        <v>1439021220</v>
      </c>
      <c r="W145" s="5">
        <f t="shared" si="75"/>
        <v>138</v>
      </c>
      <c r="X145" s="9" t="n">
        <f>ROUND($J145*1.637*1.75*2.1*2.3*2.6*3.2*4.2*1,0)</f>
        <v>6043889124</v>
      </c>
      <c r="Y145" s="3">
        <f t="shared" si="76"/>
        <v>140</v>
      </c>
      <c r="Z145" s="10" t="n">
        <f>ROUND($J145*1.637*1.75*2.1*2.3*2.6*3.2*4.2*2.4*1,0)</f>
        <v>14505333898</v>
      </c>
      <c r="AA145" s="5">
        <f t="shared" si="77"/>
        <v>142</v>
      </c>
      <c r="AB145" s="9" t="n">
        <f>ROUND($J145*1.637*1.75*2.1*2.3*2.6*3.2*4.2*2.4*2.5*1,0)</f>
        <v>36263334744</v>
      </c>
      <c r="AC145" s="3">
        <f t="shared" si="78"/>
        <v>144</v>
      </c>
      <c r="AD145" s="10" t="n">
        <f>ROUND($J145*1.637*1.75*2.1*2.3*2.6*3.2*4.2*2.4*2.5*2.8*1,0)</f>
        <v>101537337283</v>
      </c>
      <c r="AE145" s="5">
        <f t="shared" si="79"/>
        <v>147</v>
      </c>
      <c r="AF145" s="9" t="n">
        <f>ROUND($J145*1.637*1.75*2.1*2.3*2.6*3.2*4.2*2.4*2.5*2.8*3.2*1,0)</f>
        <v>324919479306</v>
      </c>
      <c r="AG145" s="3">
        <f t="shared" si="80"/>
        <v>150</v>
      </c>
      <c r="AH145" s="10" t="n">
        <f>ROUND($J145*1.637*1.75*2.1*2.3*2.6*3.2*4.2*2.4*2.5*2.8*3.2*3.8*1,0)</f>
        <v>1234694021364</v>
      </c>
    </row>
    <row r="146" hidden="1">
      <c r="A146" s="2">
        <v>142</v>
      </c>
      <c r="B146" s="2" t="s">
        <v>250</v>
      </c>
      <c r="C146" s="2" t="s">
        <v>228</v>
      </c>
      <c r="D146" s="2" t="s">
        <v>45</v>
      </c>
      <c r="E146" s="2">
        <v>123</v>
      </c>
      <c r="F146" s="2" t="s">
        <v>30</v>
      </c>
      <c r="G146" s="2" t="s">
        <v>86</v>
      </c>
      <c r="H146" s="2">
        <v>31</v>
      </c>
      <c r="I146" s="3">
        <v>123</v>
      </c>
      <c r="J146" s="4">
        <v>10300000</v>
      </c>
      <c r="K146" s="5">
        <f t="shared" si="69"/>
        <v>124</v>
      </c>
      <c r="L146" s="9">
        <f t="shared" si="57"/>
        <v>16861100</v>
      </c>
      <c r="M146" s="3">
        <f t="shared" si="70"/>
        <v>125</v>
      </c>
      <c r="N146" s="10">
        <f t="shared" si="58"/>
        <v>29506925</v>
      </c>
      <c r="O146" s="5">
        <f t="shared" si="71"/>
        <v>127</v>
      </c>
      <c r="P146" s="9">
        <f t="shared" si="59"/>
        <v>61964543</v>
      </c>
      <c r="Q146" s="3">
        <f t="shared" si="72"/>
        <v>129</v>
      </c>
      <c r="R146" s="10" t="n">
        <f>ROUND($J146*1.637*1.75*2.1*2.3*1,0)</f>
        <v>142518448</v>
      </c>
      <c r="S146" s="5">
        <f t="shared" si="73"/>
        <v>131</v>
      </c>
      <c r="T146" s="9" t="n">
        <f>ROUND($J146*1.637*1.75*2.1*2.3*2.6*1,0)</f>
        <v>370547964</v>
      </c>
      <c r="U146" s="3">
        <f t="shared" si="74"/>
        <v>134</v>
      </c>
      <c r="V146" s="10" t="n">
        <f>ROUND($J146*1.637*1.75*2.1*2.3*2.6*3.2*1,0)</f>
        <v>1185753485</v>
      </c>
      <c r="W146" s="5">
        <f t="shared" si="75"/>
        <v>138</v>
      </c>
      <c r="X146" s="9" t="n">
        <f>ROUND($J146*1.637*1.75*2.1*2.3*2.6*3.2*4.2*1,0)</f>
        <v>4980164638</v>
      </c>
      <c r="Y146" s="3">
        <f t="shared" si="76"/>
        <v>140</v>
      </c>
      <c r="Z146" s="10" t="n">
        <f>ROUND($J146*1.637*1.75*2.1*2.3*2.6*3.2*4.2*2.4*1,0)</f>
        <v>11952395132</v>
      </c>
      <c r="AA146" s="5">
        <f t="shared" si="77"/>
        <v>142</v>
      </c>
      <c r="AB146" s="9" t="n">
        <f>ROUND($J146*1.637*1.75*2.1*2.3*2.6*3.2*4.2*2.4*2.5*1,0)</f>
        <v>29880987829</v>
      </c>
      <c r="AC146" s="3">
        <f t="shared" si="78"/>
        <v>144</v>
      </c>
      <c r="AD146" s="10" t="n">
        <f>ROUND($J146*1.637*1.75*2.1*2.3*2.6*3.2*4.2*2.4*2.5*2.8*1,0)</f>
        <v>83666765921</v>
      </c>
      <c r="AE146" s="5">
        <f t="shared" si="79"/>
        <v>147</v>
      </c>
      <c r="AF146" s="9" t="n">
        <f>ROUND($J146*1.637*1.75*2.1*2.3*2.6*3.2*4.2*2.4*2.5*2.8*3.2*1,0)</f>
        <v>267733650948</v>
      </c>
      <c r="AG146" s="3">
        <f t="shared" si="80"/>
        <v>150</v>
      </c>
      <c r="AH146" s="10" t="n">
        <f>ROUND($J146*1.637*1.75*2.1*2.3*2.6*3.2*4.2*2.4*2.5*2.8*3.2*3.8*1,0)</f>
        <v>1017387873604</v>
      </c>
    </row>
    <row r="147" hidden="1">
      <c r="A147" s="2">
        <v>130</v>
      </c>
      <c r="B147" s="2" t="s">
        <v>251</v>
      </c>
      <c r="C147" s="2" t="s">
        <v>228</v>
      </c>
      <c r="D147" s="2" t="s">
        <v>40</v>
      </c>
      <c r="E147" s="2">
        <v>123</v>
      </c>
      <c r="F147" s="2" t="s">
        <v>59</v>
      </c>
      <c r="G147" s="2" t="s">
        <v>252</v>
      </c>
      <c r="H147" s="2">
        <v>33</v>
      </c>
      <c r="I147" s="3">
        <v>123</v>
      </c>
      <c r="J147" s="4">
        <v>34000000</v>
      </c>
      <c r="K147" s="5">
        <f t="shared" si="69"/>
        <v>124</v>
      </c>
      <c r="L147" s="9">
        <f t="shared" si="57"/>
        <v>55658000</v>
      </c>
      <c r="M147" s="3">
        <f t="shared" si="70"/>
        <v>125</v>
      </c>
      <c r="N147" s="10">
        <f t="shared" si="58"/>
        <v>97401500</v>
      </c>
      <c r="O147" s="5">
        <f t="shared" si="71"/>
        <v>127</v>
      </c>
      <c r="P147" s="9">
        <f t="shared" si="59"/>
        <v>204543150</v>
      </c>
      <c r="Q147" s="3">
        <f t="shared" si="72"/>
        <v>129</v>
      </c>
      <c r="R147" s="10" t="n">
        <f>ROUND($J147*1.637*1.75*2.1*2.3*1.25,0)</f>
        <v>588061556</v>
      </c>
      <c r="S147" s="5">
        <f t="shared" si="73"/>
        <v>131</v>
      </c>
      <c r="T147" s="9" t="n">
        <f>ROUND($J147*1.637*1.75*2.1*2.3*2.6*1.25,0)</f>
        <v>1528960046</v>
      </c>
      <c r="U147" s="3">
        <f t="shared" si="74"/>
        <v>134</v>
      </c>
      <c r="V147" s="10" t="n">
        <f>ROUND($J147*1.637*1.75*2.1*2.3*2.6*3.2*1.25,0)</f>
        <v>4892672148</v>
      </c>
      <c r="W147" s="5">
        <f t="shared" si="75"/>
        <v>138</v>
      </c>
      <c r="X147" s="9" t="n">
        <f>ROUND($J147*1.637*1.75*2.1*2.3*2.6*3.2*4.2*1.25,0)</f>
        <v>20549223022</v>
      </c>
      <c r="Y147" s="3">
        <f t="shared" si="76"/>
        <v>140</v>
      </c>
      <c r="Z147" s="10" t="n">
        <f>ROUND($J147*1.637*1.75*2.1*2.3*2.6*3.2*4.2*2.4*1.25,0)</f>
        <v>49318135252</v>
      </c>
      <c r="AA147" s="5">
        <f t="shared" si="77"/>
        <v>142</v>
      </c>
      <c r="AB147" s="9" t="n">
        <f>ROUND($J147*1.637*1.75*2.1*2.3*2.6*3.2*4.2*2.4*2.5*1.25,0)</f>
        <v>123295338130</v>
      </c>
      <c r="AC147" s="3">
        <f t="shared" si="78"/>
        <v>144</v>
      </c>
      <c r="AD147" s="10" t="n">
        <f>ROUND($J147*1.637*1.75*2.1*2.3*2.6*3.2*4.2*2.4*2.5*2.8*1.25,0)</f>
        <v>345226946763</v>
      </c>
      <c r="AE147" s="5">
        <f t="shared" si="79"/>
        <v>147</v>
      </c>
      <c r="AF147" s="9" t="n">
        <f>ROUND($J147*1.637*1.75*2.1*2.3*2.6*3.2*4.2*2.4*2.5*2.8*3.2*1.25,0)</f>
        <v>1104726229641</v>
      </c>
      <c r="AG147" s="3">
        <f t="shared" si="80"/>
        <v>150</v>
      </c>
      <c r="AH147" s="10" t="n">
        <f>ROUND($J147*1.637*1.75*2.1*2.3*2.6*3.2*4.2*2.4*2.5*2.8*3.2*3.8*1.25,0)</f>
        <v>4197959672637</v>
      </c>
    </row>
    <row r="148" hidden="1">
      <c r="A148" s="2">
        <v>147</v>
      </c>
      <c r="B148" s="2" t="s">
        <v>253</v>
      </c>
      <c r="C148" s="2" t="s">
        <v>228</v>
      </c>
      <c r="D148" s="2" t="s">
        <v>75</v>
      </c>
      <c r="E148" s="2">
        <v>123</v>
      </c>
      <c r="F148" s="2" t="s">
        <v>34</v>
      </c>
      <c r="G148" s="2" t="s">
        <v>254</v>
      </c>
      <c r="H148" s="2">
        <v>31</v>
      </c>
      <c r="I148" s="3">
        <v>123</v>
      </c>
      <c r="J148" s="4">
        <v>11400000</v>
      </c>
      <c r="K148" s="5">
        <f t="shared" si="69"/>
        <v>124</v>
      </c>
      <c r="L148" s="9" t="n">
        <f>ROUND($J148*1.637*0.8,0)</f>
        <v>14929440</v>
      </c>
      <c r="M148" s="3">
        <f t="shared" si="70"/>
        <v>125</v>
      </c>
      <c r="N148" s="10" t="n">
        <f>ROUND($J148*1.637*1.75*0.8,0)</f>
        <v>26126520</v>
      </c>
      <c r="O148" s="5">
        <f t="shared" si="71"/>
        <v>127</v>
      </c>
      <c r="P148" s="9" t="n">
        <f>ROUND($J148*1.637*1.75*2.1*0.8,0)</f>
        <v>54865692</v>
      </c>
      <c r="Q148" s="3">
        <f t="shared" si="72"/>
        <v>129</v>
      </c>
      <c r="R148" s="10" t="n">
        <f>ROUND($J148*1.637*1.75*2.1*2.3*0.542035092435954,0)</f>
        <v>85500000</v>
      </c>
      <c r="S148" s="5">
        <f t="shared" si="73"/>
        <v>131</v>
      </c>
      <c r="T148" s="9" t="n">
        <f>ROUND($J148*1.637*1.75*2.1*2.3*2.6*0.544690061623969,0)</f>
        <v>223388859</v>
      </c>
      <c r="U148" s="3">
        <f t="shared" si="74"/>
        <v>134</v>
      </c>
      <c r="V148" s="10" t="n">
        <f>ROUND($J148*1.637*1.75*2.1*2.3*2.6*3.2*0.547345030811984,0)</f>
        <v>718328696</v>
      </c>
      <c r="W148" s="5">
        <f t="shared" si="75"/>
        <v>138</v>
      </c>
      <c r="X148" s="9" t="n">
        <f>ROUND($J148*1.637*1.75*2.1*2.3*2.6*3.2*4.2*0.55,0)</f>
        <v>3031614785</v>
      </c>
      <c r="Y148" s="3">
        <f t="shared" si="76"/>
        <v>140</v>
      </c>
      <c r="Z148" s="10" t="n">
        <f>ROUND($J148*1.637*1.75*2.1*2.3*2.6*3.2*4.2*2.4*0.55,0)</f>
        <v>7275875483</v>
      </c>
      <c r="AA148" s="5">
        <f t="shared" si="77"/>
        <v>142</v>
      </c>
      <c r="AB148" s="9" t="n">
        <f>ROUND($J148*1.637*1.75*2.1*2.3*2.6*3.2*4.2*2.4*2.5*0.55,0)</f>
        <v>18189688708</v>
      </c>
      <c r="AC148" s="3">
        <f t="shared" si="78"/>
        <v>144</v>
      </c>
      <c r="AD148" s="10" t="n">
        <f>ROUND($J148*1.637*1.75*2.1*2.3*2.6*3.2*4.2*2.4*2.5*2.8*0.55,0)</f>
        <v>50931128381</v>
      </c>
      <c r="AE148" s="5">
        <f t="shared" si="79"/>
        <v>147</v>
      </c>
      <c r="AF148" s="9" t="n">
        <f>ROUND($J148*1.637*1.75*2.1*2.3*2.6*3.2*4.2*2.4*2.5*2.8*3.2*0.55,0)</f>
        <v>162979610820</v>
      </c>
      <c r="AG148" s="3">
        <f t="shared" si="80"/>
        <v>150</v>
      </c>
      <c r="AH148" s="10" t="n">
        <f>ROUND($J148*1.637*1.75*2.1*2.3*2.6*3.2*4.2*2.4*2.5*2.8*3.2*3.8*0.55,0)</f>
        <v>619322521116</v>
      </c>
    </row>
    <row r="149" hidden="1">
      <c r="A149" s="2">
        <v>146</v>
      </c>
      <c r="B149" s="2" t="s">
        <v>255</v>
      </c>
      <c r="C149" s="2" t="s">
        <v>228</v>
      </c>
      <c r="D149" s="2" t="s">
        <v>25</v>
      </c>
      <c r="E149" s="2">
        <v>123</v>
      </c>
      <c r="F149" s="2" t="s">
        <v>37</v>
      </c>
      <c r="G149" s="2" t="s">
        <v>133</v>
      </c>
      <c r="H149" s="2">
        <v>31</v>
      </c>
      <c r="I149" s="3">
        <v>123</v>
      </c>
      <c r="J149" s="4">
        <v>11300000</v>
      </c>
      <c r="K149" s="5">
        <f t="shared" si="69"/>
        <v>124</v>
      </c>
      <c r="L149" s="9" t="n">
        <f>ROUND($J149*1.637*1,0)</f>
        <v>18498100</v>
      </c>
      <c r="M149" s="3">
        <f t="shared" si="70"/>
        <v>125</v>
      </c>
      <c r="N149" s="10" t="n">
        <f>ROUND($J149*1.637*1.75*1,0)</f>
        <v>32371675</v>
      </c>
      <c r="O149" s="5">
        <f t="shared" si="71"/>
        <v>127</v>
      </c>
      <c r="P149" s="9" t="n">
        <f>ROUND($J149*1.637*1.75*2.1*1,0)</f>
        <v>67980518</v>
      </c>
      <c r="Q149" s="3">
        <f t="shared" si="72"/>
        <v>129</v>
      </c>
      <c r="R149" s="10" t="n">
        <f>ROUND($J149*1.637*1.75*2.1*2.3*1.25,0)</f>
        <v>195443988</v>
      </c>
      <c r="S149" s="5">
        <f t="shared" si="73"/>
        <v>131</v>
      </c>
      <c r="T149" s="9" t="n">
        <f>ROUND($J149*1.637*1.75*2.1*2.3*2.6*1.25,0)</f>
        <v>508154368</v>
      </c>
      <c r="U149" s="3">
        <f t="shared" si="74"/>
        <v>134</v>
      </c>
      <c r="V149" s="10" t="n">
        <f>ROUND($J149*1.637*1.75*2.1*2.3*2.6*3.2*1.25,0)</f>
        <v>1626093979</v>
      </c>
      <c r="W149" s="5">
        <f t="shared" si="75"/>
        <v>138</v>
      </c>
      <c r="X149" s="9" t="n">
        <f>ROUND($J149*1.637*1.75*2.1*2.3*2.6*3.2*4.2*1.25,0)</f>
        <v>6829594710</v>
      </c>
      <c r="Y149" s="3">
        <f t="shared" si="76"/>
        <v>140</v>
      </c>
      <c r="Z149" s="10" t="n">
        <f>ROUND($J149*1.637*1.75*2.1*2.3*2.6*3.2*4.2*2.4*1.25,0)</f>
        <v>16391027304</v>
      </c>
      <c r="AA149" s="5">
        <f t="shared" si="77"/>
        <v>142</v>
      </c>
      <c r="AB149" s="9" t="n">
        <f>ROUND($J149*1.637*1.75*2.1*2.3*2.6*3.2*4.2*2.4*2.5*1.25,0)</f>
        <v>40977568261</v>
      </c>
      <c r="AC149" s="3">
        <f t="shared" si="78"/>
        <v>144</v>
      </c>
      <c r="AD149" s="10" t="n">
        <f>ROUND($J149*1.637*1.75*2.1*2.3*2.6*3.2*4.2*2.4*2.5*2.8*1.25,0)</f>
        <v>114737191130</v>
      </c>
      <c r="AE149" s="5">
        <f t="shared" si="79"/>
        <v>147</v>
      </c>
      <c r="AF149" s="9" t="n">
        <f>ROUND($J149*1.637*1.75*2.1*2.3*2.6*3.2*4.2*2.4*2.5*2.8*3.2*1.25,0)</f>
        <v>367159011616</v>
      </c>
      <c r="AG149" s="3">
        <f t="shared" si="80"/>
        <v>150</v>
      </c>
      <c r="AH149" s="10" t="n">
        <f>ROUND($J149*1.637*1.75*2.1*2.3*2.6*3.2*4.2*2.4*2.5*2.8*3.2*3.8*1.25,0)</f>
        <v>1395204244141</v>
      </c>
    </row>
    <row r="150" hidden="1">
      <c r="A150" s="2">
        <v>151</v>
      </c>
      <c r="B150" s="2" t="s">
        <v>256</v>
      </c>
      <c r="C150" s="2" t="s">
        <v>228</v>
      </c>
      <c r="D150" s="2" t="s">
        <v>47</v>
      </c>
      <c r="E150" s="2">
        <v>123</v>
      </c>
      <c r="F150" s="2" t="s">
        <v>71</v>
      </c>
      <c r="G150" s="2" t="s">
        <v>95</v>
      </c>
      <c r="H150" s="2">
        <v>28</v>
      </c>
      <c r="I150" s="3">
        <v>123</v>
      </c>
      <c r="J150" s="4">
        <v>13800000</v>
      </c>
      <c r="K150" s="5">
        <f t="shared" si="69"/>
        <v>124</v>
      </c>
      <c r="L150" s="9" t="n">
        <f>ROUND($J150*1.637*0.8,0)</f>
        <v>18072480</v>
      </c>
      <c r="M150" s="3">
        <f t="shared" si="70"/>
        <v>125</v>
      </c>
      <c r="N150" s="10" t="n">
        <f>ROUND($J150*1.637*1.75*0.8,0)</f>
        <v>31626840</v>
      </c>
      <c r="O150" s="5">
        <f t="shared" si="71"/>
        <v>127</v>
      </c>
      <c r="P150" s="9" t="n">
        <f>ROUND($J150*1.637*1.75*2.1*0.8,0)</f>
        <v>66416364</v>
      </c>
      <c r="Q150" s="3">
        <f t="shared" si="72"/>
        <v>129</v>
      </c>
      <c r="R150" s="10" t="n">
        <f>ROUND($J150*1.637*1.75*2.1*2.3*0.542035092435954,0)</f>
        <v>103500000</v>
      </c>
      <c r="S150" s="5">
        <f t="shared" si="73"/>
        <v>131</v>
      </c>
      <c r="T150" s="9" t="n">
        <f>ROUND($J150*1.637*1.75*2.1*2.3*2.6*0.544690061623969,0)</f>
        <v>270418092</v>
      </c>
      <c r="U150" s="3">
        <f t="shared" si="74"/>
        <v>134</v>
      </c>
      <c r="V150" s="10" t="n">
        <f>ROUND($J150*1.637*1.75*2.1*2.3*2.6*3.2*0.547345030811984,0)</f>
        <v>869555790</v>
      </c>
      <c r="W150" s="5">
        <f t="shared" si="75"/>
        <v>138</v>
      </c>
      <c r="X150" s="9" t="n">
        <f>ROUND($J150*1.637*1.75*2.1*2.3*2.6*3.2*4.2*0.55,0)</f>
        <v>3669849476</v>
      </c>
      <c r="Y150" s="3">
        <f t="shared" si="76"/>
        <v>140</v>
      </c>
      <c r="Z150" s="10" t="n">
        <f>ROUND($J150*1.637*1.75*2.1*2.3*2.6*3.2*4.2*2.4*0.55,0)</f>
        <v>8807638743</v>
      </c>
      <c r="AA150" s="5">
        <f t="shared" si="77"/>
        <v>142</v>
      </c>
      <c r="AB150" s="9" t="n">
        <f>ROUND($J150*1.637*1.75*2.1*2.3*2.6*3.2*4.2*2.4*2.5*0.55,0)</f>
        <v>22019096857</v>
      </c>
      <c r="AC150" s="3">
        <f t="shared" si="78"/>
        <v>144</v>
      </c>
      <c r="AD150" s="10" t="n">
        <f>ROUND($J150*1.637*1.75*2.1*2.3*2.6*3.2*4.2*2.4*2.5*2.8*0.55,0)</f>
        <v>61653471198</v>
      </c>
      <c r="AE150" s="5">
        <f t="shared" si="79"/>
        <v>147</v>
      </c>
      <c r="AF150" s="9" t="n">
        <f>ROUND($J150*1.637*1.75*2.1*2.3*2.6*3.2*4.2*2.4*2.5*2.8*3.2*0.55,0)</f>
        <v>197291107835</v>
      </c>
      <c r="AG150" s="3">
        <f t="shared" si="80"/>
        <v>150</v>
      </c>
      <c r="AH150" s="10" t="n">
        <f>ROUND($J150*1.637*1.75*2.1*2.3*2.6*3.2*4.2*2.4*2.5*2.8*3.2*3.8*0.55,0)</f>
        <v>749706209772</v>
      </c>
    </row>
    <row r="151" hidden="1">
      <c r="A151" s="2">
        <v>133</v>
      </c>
      <c r="B151" s="2" t="s">
        <v>257</v>
      </c>
      <c r="C151" s="2" t="s">
        <v>228</v>
      </c>
      <c r="D151" s="2" t="s">
        <v>93</v>
      </c>
      <c r="E151" s="2">
        <v>123</v>
      </c>
      <c r="F151" s="2" t="s">
        <v>258</v>
      </c>
      <c r="G151" s="2" t="s">
        <v>38</v>
      </c>
      <c r="H151" s="2">
        <v>32</v>
      </c>
      <c r="I151" s="3">
        <v>123</v>
      </c>
      <c r="J151" s="4">
        <v>239000000</v>
      </c>
      <c r="K151" s="5">
        <f t="shared" si="69"/>
        <v>124</v>
      </c>
      <c r="L151" s="9" t="n">
        <f>ROUND($J151*1.637*1,0)</f>
        <v>391243000</v>
      </c>
      <c r="M151" s="3">
        <f t="shared" si="70"/>
        <v>125</v>
      </c>
      <c r="N151" s="10" t="n">
        <f>ROUND($J151*1.637*1.75*1,0)</f>
        <v>684675250</v>
      </c>
      <c r="O151" s="5">
        <f t="shared" si="71"/>
        <v>127</v>
      </c>
      <c r="P151" s="9" t="n">
        <f>ROUND($J151*1.637*1.75*2.1*1,0)</f>
        <v>1437818025</v>
      </c>
      <c r="Q151" s="3">
        <f t="shared" si="72"/>
        <v>129</v>
      </c>
      <c r="R151" s="10" t="n">
        <f>ROUND($J151*1.637*1.75*2.1*2.3*1.25,0)</f>
        <v>4133726822</v>
      </c>
      <c r="S151" s="5">
        <f t="shared" si="73"/>
        <v>131</v>
      </c>
      <c r="T151" s="9" t="n">
        <f>ROUND($J151*1.637*1.75*2.1*2.3*2.6*1.25,0)</f>
        <v>10747689737</v>
      </c>
      <c r="U151" s="3">
        <f t="shared" si="74"/>
        <v>134</v>
      </c>
      <c r="V151" s="10" t="n">
        <f>ROUND($J151*1.637*1.75*2.1*2.3*2.6*3.2*1.25,0)</f>
        <v>34392607158</v>
      </c>
      <c r="W151" s="5">
        <f t="shared" si="75"/>
        <v>138</v>
      </c>
      <c r="X151" s="9" t="n">
        <f>ROUND($J151*1.637*1.75*2.1*2.3*2.6*3.2*4.2*1.25,0)</f>
        <v>144448950064</v>
      </c>
      <c r="Y151" s="3">
        <f t="shared" si="76"/>
        <v>140</v>
      </c>
      <c r="Z151" s="10" t="n">
        <f>ROUND($J151*1.637*1.75*2.1*2.3*2.6*3.2*4.2*2.4*1.25,0)</f>
        <v>346677480153</v>
      </c>
      <c r="AA151" s="5">
        <f t="shared" si="77"/>
        <v>142</v>
      </c>
      <c r="AB151" s="9" t="n">
        <f>ROUND($J151*1.637*1.75*2.1*2.3*2.6*3.2*4.2*2.4*2.5*1.25,0)</f>
        <v>866693700382</v>
      </c>
      <c r="AC151" s="3">
        <f t="shared" si="78"/>
        <v>144</v>
      </c>
      <c r="AD151" s="10" t="n">
        <f>ROUND($J151*1.637*1.75*2.1*2.3*2.6*3.2*4.2*2.4*2.5*2.8*1.25,0)</f>
        <v>2426742361068</v>
      </c>
      <c r="AE151" s="5">
        <f t="shared" si="79"/>
        <v>147</v>
      </c>
      <c r="AF151" s="9" t="n">
        <f>ROUND($J151*1.637*1.75*2.1*2.3*2.6*3.2*4.2*2.4*2.5*2.8*3.2*1.25,0)</f>
        <v>7765575555419</v>
      </c>
      <c r="AG151" s="3">
        <f t="shared" si="80"/>
        <v>150</v>
      </c>
      <c r="AH151" s="10" t="n">
        <f>ROUND($J151*1.637*1.75*2.1*2.3*2.6*3.2*4.2*2.4*2.5*2.8*3.2*3.8*1.25,0)</f>
        <v>29509187110593</v>
      </c>
    </row>
    <row r="152" hidden="1">
      <c r="A152" s="2">
        <v>137</v>
      </c>
      <c r="B152" s="2" t="s">
        <v>259</v>
      </c>
      <c r="C152" s="2" t="s">
        <v>228</v>
      </c>
      <c r="D152" s="2" t="s">
        <v>102</v>
      </c>
      <c r="E152" s="2">
        <v>123</v>
      </c>
      <c r="F152" s="2" t="s">
        <v>34</v>
      </c>
      <c r="G152" s="2" t="s">
        <v>35</v>
      </c>
      <c r="H152" s="2">
        <v>32</v>
      </c>
      <c r="I152" s="3">
        <v>123</v>
      </c>
      <c r="J152" s="4">
        <v>12700000</v>
      </c>
      <c r="K152" s="5">
        <f t="shared" si="69"/>
        <v>124</v>
      </c>
      <c r="L152" s="9" t="n">
        <f>ROUND($J152*1.637*1,0)</f>
        <v>20789900</v>
      </c>
      <c r="M152" s="3">
        <f t="shared" si="70"/>
        <v>125</v>
      </c>
      <c r="N152" s="10" t="n">
        <f>ROUND($J152*1.637*1.75*1,0)</f>
        <v>36382325</v>
      </c>
      <c r="O152" s="5">
        <f t="shared" si="71"/>
        <v>127</v>
      </c>
      <c r="P152" s="9" t="n">
        <f>ROUND($J152*1.637*1.75*2.1*1,0)</f>
        <v>76402883</v>
      </c>
      <c r="Q152" s="3">
        <f t="shared" si="72"/>
        <v>129</v>
      </c>
      <c r="R152" s="10" t="n">
        <f>ROUND($J152*1.637*1.75*2.1*2.3*1.25,0)</f>
        <v>219658287</v>
      </c>
      <c r="S152" s="5">
        <f t="shared" si="73"/>
        <v>131</v>
      </c>
      <c r="T152" s="9" t="n">
        <f>ROUND($J152*1.637*1.75*2.1*2.3*2.6*1.25,0)</f>
        <v>571111547</v>
      </c>
      <c r="U152" s="3">
        <f t="shared" si="74"/>
        <v>134</v>
      </c>
      <c r="V152" s="10" t="n">
        <f>ROUND($J152*1.637*1.75*2.1*2.3*2.6*3.2*1.25,0)</f>
        <v>1827556949</v>
      </c>
      <c r="W152" s="5">
        <f t="shared" si="75"/>
        <v>138</v>
      </c>
      <c r="X152" s="9" t="n">
        <f>ROUND($J152*1.637*1.75*2.1*2.3*2.6*3.2*4.2*1.25,0)</f>
        <v>7675739187</v>
      </c>
      <c r="Y152" s="3">
        <f t="shared" si="76"/>
        <v>140</v>
      </c>
      <c r="Z152" s="10" t="n">
        <f>ROUND($J152*1.637*1.75*2.1*2.3*2.6*3.2*4.2*2.4*1.25,0)</f>
        <v>18421774050</v>
      </c>
      <c r="AA152" s="5">
        <f t="shared" si="77"/>
        <v>142</v>
      </c>
      <c r="AB152" s="9" t="n">
        <f>ROUND($J152*1.637*1.75*2.1*2.3*2.6*3.2*4.2*2.4*2.5*1.25,0)</f>
        <v>46054435125</v>
      </c>
      <c r="AC152" s="3">
        <f t="shared" si="78"/>
        <v>144</v>
      </c>
      <c r="AD152" s="10" t="n">
        <f>ROUND($J152*1.637*1.75*2.1*2.3*2.6*3.2*4.2*2.4*2.5*2.8*1.25,0)</f>
        <v>128952418350</v>
      </c>
      <c r="AE152" s="5">
        <f t="shared" si="79"/>
        <v>147</v>
      </c>
      <c r="AF152" s="9" t="n">
        <f>ROUND($J152*1.637*1.75*2.1*2.3*2.6*3.2*4.2*2.4*2.5*2.8*3.2*1.25,0)</f>
        <v>412647738719</v>
      </c>
      <c r="AG152" s="3">
        <f t="shared" si="80"/>
        <v>150</v>
      </c>
      <c r="AH152" s="10" t="n">
        <f>ROUND($J152*1.637*1.75*2.1*2.3*2.6*3.2*4.2*2.4*2.5*2.8*3.2*3.8*1.25,0)</f>
        <v>1568061407132</v>
      </c>
    </row>
    <row r="153" hidden="1">
      <c r="A153" s="2">
        <v>139</v>
      </c>
      <c r="B153" s="2" t="s">
        <v>260</v>
      </c>
      <c r="C153" s="2" t="s">
        <v>228</v>
      </c>
      <c r="D153" s="2" t="s">
        <v>45</v>
      </c>
      <c r="E153" s="2">
        <v>123</v>
      </c>
      <c r="F153" s="2" t="s">
        <v>42</v>
      </c>
      <c r="G153" s="2" t="s">
        <v>261</v>
      </c>
      <c r="H153" s="2">
        <v>31</v>
      </c>
      <c r="I153" s="3">
        <v>123</v>
      </c>
      <c r="J153" s="4">
        <v>11700000</v>
      </c>
      <c r="K153" s="5">
        <f t="shared" si="69"/>
        <v>124</v>
      </c>
      <c r="L153" s="9" t="n">
        <f>ROUND($J153*1.637*0.8,0)</f>
        <v>15322320</v>
      </c>
      <c r="M153" s="3">
        <f t="shared" si="70"/>
        <v>125</v>
      </c>
      <c r="N153" s="10" t="n">
        <f>ROUND($J153*1.637*1.75*0.8,0)</f>
        <v>26814060</v>
      </c>
      <c r="O153" s="5">
        <f t="shared" si="71"/>
        <v>127</v>
      </c>
      <c r="P153" s="9" t="n">
        <f>ROUND($J153*1.637*1.75*2.1*0.8,0)</f>
        <v>56309526</v>
      </c>
      <c r="Q153" s="3">
        <f t="shared" si="72"/>
        <v>129</v>
      </c>
      <c r="R153" s="10" t="n">
        <f>ROUND($J153*1.637*1.75*2.1*2.3*0.542035092435954,0)</f>
        <v>87750000</v>
      </c>
      <c r="S153" s="5">
        <f t="shared" si="73"/>
        <v>131</v>
      </c>
      <c r="T153" s="9" t="n">
        <f>ROUND($J153*1.637*1.75*2.1*2.3*2.6*0.544690061623969,0)</f>
        <v>229267513</v>
      </c>
      <c r="U153" s="3">
        <f t="shared" si="74"/>
        <v>134</v>
      </c>
      <c r="V153" s="10" t="n">
        <f>ROUND($J153*1.637*1.75*2.1*2.3*2.6*3.2*0.547345030811984,0)</f>
        <v>737232083</v>
      </c>
      <c r="W153" s="5">
        <f t="shared" si="75"/>
        <v>138</v>
      </c>
      <c r="X153" s="9" t="n">
        <f>ROUND($J153*1.637*1.75*2.1*2.3*2.6*3.2*4.2*0.55,0)</f>
        <v>3111394121</v>
      </c>
      <c r="Y153" s="3">
        <f t="shared" si="76"/>
        <v>140</v>
      </c>
      <c r="Z153" s="10" t="n">
        <f>ROUND($J153*1.637*1.75*2.1*2.3*2.6*3.2*4.2*2.4*0.55,0)</f>
        <v>7467345890</v>
      </c>
      <c r="AA153" s="5">
        <f t="shared" si="77"/>
        <v>142</v>
      </c>
      <c r="AB153" s="9" t="n">
        <f>ROUND($J153*1.637*1.75*2.1*2.3*2.6*3.2*4.2*2.4*2.5*0.55,0)</f>
        <v>18668364726</v>
      </c>
      <c r="AC153" s="3">
        <f t="shared" si="78"/>
        <v>144</v>
      </c>
      <c r="AD153" s="10" t="n">
        <f>ROUND($J153*1.637*1.75*2.1*2.3*2.6*3.2*4.2*2.4*2.5*2.8*0.55,0)</f>
        <v>52271421233</v>
      </c>
      <c r="AE153" s="5">
        <f t="shared" si="79"/>
        <v>147</v>
      </c>
      <c r="AF153" s="9" t="n">
        <f>ROUND($J153*1.637*1.75*2.1*2.3*2.6*3.2*4.2*2.4*2.5*2.8*3.2*0.55,0)</f>
        <v>167268547947</v>
      </c>
      <c r="AG153" s="3">
        <f t="shared" si="80"/>
        <v>150</v>
      </c>
      <c r="AH153" s="10" t="n">
        <f>ROUND($J153*1.637*1.75*2.1*2.3*2.6*3.2*4.2*2.4*2.5*2.8*3.2*3.8*0.55,0)</f>
        <v>635620482198</v>
      </c>
    </row>
    <row r="154" hidden="1">
      <c r="A154" s="2">
        <v>149</v>
      </c>
      <c r="B154" s="2" t="s">
        <v>262</v>
      </c>
      <c r="C154" s="2" t="s">
        <v>228</v>
      </c>
      <c r="D154" s="2" t="s">
        <v>33</v>
      </c>
      <c r="E154" s="2">
        <v>123</v>
      </c>
      <c r="F154" s="2" t="s">
        <v>71</v>
      </c>
      <c r="G154" s="2" t="s">
        <v>247</v>
      </c>
      <c r="H154" s="2">
        <v>31</v>
      </c>
      <c r="I154" s="3">
        <v>123</v>
      </c>
      <c r="J154" s="4">
        <v>13200000</v>
      </c>
      <c r="K154" s="5">
        <f t="shared" si="69"/>
        <v>124</v>
      </c>
      <c r="L154" s="9" t="n">
        <f>ROUND($J154*1.637*0.8,0)</f>
        <v>17286720</v>
      </c>
      <c r="M154" s="3">
        <f t="shared" si="70"/>
        <v>125</v>
      </c>
      <c r="N154" s="10" t="n">
        <f>ROUND($J154*1.637*1.75*0.8,0)</f>
        <v>30251760</v>
      </c>
      <c r="O154" s="5">
        <f t="shared" si="71"/>
        <v>127</v>
      </c>
      <c r="P154" s="9" t="n">
        <f>ROUND($J154*1.637*1.75*2.1*0.8,0)</f>
        <v>63528696</v>
      </c>
      <c r="Q154" s="3">
        <f t="shared" si="72"/>
        <v>129</v>
      </c>
      <c r="R154" s="10" t="n">
        <f>ROUND($J154*1.637*1.75*2.1*2.3*0.542035092435954,0)</f>
        <v>99000000</v>
      </c>
      <c r="S154" s="5">
        <f t="shared" si="73"/>
        <v>131</v>
      </c>
      <c r="T154" s="9" t="n">
        <f>ROUND($J154*1.637*1.75*2.1*2.3*2.6*0.544690061623969,0)</f>
        <v>258660784</v>
      </c>
      <c r="U154" s="3">
        <f t="shared" si="74"/>
        <v>134</v>
      </c>
      <c r="V154" s="10" t="n">
        <f>ROUND($J154*1.637*1.75*2.1*2.3*2.6*3.2*0.547345030811984,0)</f>
        <v>831749016</v>
      </c>
      <c r="W154" s="5">
        <f t="shared" si="75"/>
        <v>138</v>
      </c>
      <c r="X154" s="9" t="n">
        <f>ROUND($J154*1.637*1.75*2.1*2.3*2.6*3.2*4.2*0.55,0)</f>
        <v>3510290803</v>
      </c>
      <c r="Y154" s="3">
        <f t="shared" si="76"/>
        <v>140</v>
      </c>
      <c r="Z154" s="10" t="n">
        <f>ROUND($J154*1.637*1.75*2.1*2.3*2.6*3.2*4.2*2.4*0.55,0)</f>
        <v>8424697928</v>
      </c>
      <c r="AA154" s="5">
        <f t="shared" si="77"/>
        <v>142</v>
      </c>
      <c r="AB154" s="9" t="n">
        <f>ROUND($J154*1.637*1.75*2.1*2.3*2.6*3.2*4.2*2.4*2.5*0.55,0)</f>
        <v>21061744819</v>
      </c>
      <c r="AC154" s="3">
        <f t="shared" si="78"/>
        <v>144</v>
      </c>
      <c r="AD154" s="10" t="n">
        <f>ROUND($J154*1.637*1.75*2.1*2.3*2.6*3.2*4.2*2.4*2.5*2.8*0.55,0)</f>
        <v>58972885494</v>
      </c>
      <c r="AE154" s="5">
        <f t="shared" si="79"/>
        <v>147</v>
      </c>
      <c r="AF154" s="9" t="n">
        <f>ROUND($J154*1.637*1.75*2.1*2.3*2.6*3.2*4.2*2.4*2.5*2.8*3.2*0.55,0)</f>
        <v>188713233581</v>
      </c>
      <c r="AG154" s="3">
        <f t="shared" si="80"/>
        <v>150</v>
      </c>
      <c r="AH154" s="10" t="n">
        <f>ROUND($J154*1.637*1.75*2.1*2.3*2.6*3.2*4.2*2.4*2.5*2.8*3.2*3.8*0.55,0)</f>
        <v>717110287608</v>
      </c>
    </row>
    <row r="155" hidden="1">
      <c r="A155" s="2">
        <v>141</v>
      </c>
      <c r="B155" s="2" t="s">
        <v>263</v>
      </c>
      <c r="C155" s="2" t="s">
        <v>228</v>
      </c>
      <c r="D155" s="2" t="s">
        <v>40</v>
      </c>
      <c r="E155" s="2">
        <v>123</v>
      </c>
      <c r="F155" s="2" t="s">
        <v>30</v>
      </c>
      <c r="G155" s="2" t="s">
        <v>98</v>
      </c>
      <c r="H155" s="2">
        <v>31</v>
      </c>
      <c r="I155" s="3">
        <v>123</v>
      </c>
      <c r="J155" s="4">
        <v>12500000</v>
      </c>
      <c r="K155" s="5">
        <f t="shared" si="69"/>
        <v>124</v>
      </c>
      <c r="L155" s="9" t="n">
        <f t="shared" ref="L155:L160" si="81">ROUND($J155*1.637*1,0)</f>
        <v>20462500</v>
      </c>
      <c r="M155" s="3">
        <f t="shared" si="70"/>
        <v>125</v>
      </c>
      <c r="N155" s="10" t="n">
        <f t="shared" ref="N155:N160" si="82">ROUND($J155*1.637*1.75*1,0)</f>
        <v>35809375</v>
      </c>
      <c r="O155" s="5">
        <f t="shared" si="71"/>
        <v>127</v>
      </c>
      <c r="P155" s="9" t="n">
        <f t="shared" ref="P155:P160" si="83">ROUND($J155*1.637*1.75*2.1*1,0)</f>
        <v>75199688</v>
      </c>
      <c r="Q155" s="3">
        <f t="shared" si="72"/>
        <v>129</v>
      </c>
      <c r="R155" s="10" t="n">
        <f>ROUND($J155*1.637*1.75*2.1*2.3*1.25,0)</f>
        <v>216199102</v>
      </c>
      <c r="S155" s="5">
        <f t="shared" si="73"/>
        <v>131</v>
      </c>
      <c r="T155" s="9" t="n">
        <f>ROUND($J155*1.637*1.75*2.1*2.3*2.6*1.25,0)</f>
        <v>562117664</v>
      </c>
      <c r="U155" s="3">
        <f t="shared" si="74"/>
        <v>134</v>
      </c>
      <c r="V155" s="10" t="n">
        <f>ROUND($J155*1.637*1.75*2.1*2.3*2.6*3.2*1.25,0)</f>
        <v>1798776525</v>
      </c>
      <c r="W155" s="5">
        <f t="shared" si="75"/>
        <v>138</v>
      </c>
      <c r="X155" s="9" t="n">
        <f>ROUND($J155*1.637*1.75*2.1*2.3*2.6*3.2*4.2*1.25,0)</f>
        <v>7554861405</v>
      </c>
      <c r="Y155" s="3">
        <f t="shared" si="76"/>
        <v>140</v>
      </c>
      <c r="Z155" s="10" t="n">
        <f>ROUND($J155*1.637*1.75*2.1*2.3*2.6*3.2*4.2*2.4*1.25,0)</f>
        <v>18131667372</v>
      </c>
      <c r="AA155" s="5">
        <f t="shared" si="77"/>
        <v>142</v>
      </c>
      <c r="AB155" s="9" t="n">
        <f>ROUND($J155*1.637*1.75*2.1*2.3*2.6*3.2*4.2*2.4*2.5*1.25,0)</f>
        <v>45329168430</v>
      </c>
      <c r="AC155" s="3">
        <f t="shared" si="78"/>
        <v>144</v>
      </c>
      <c r="AD155" s="10" t="n">
        <f>ROUND($J155*1.637*1.75*2.1*2.3*2.6*3.2*4.2*2.4*2.5*2.8*1.25,0)</f>
        <v>126921671604</v>
      </c>
      <c r="AE155" s="5">
        <f t="shared" si="79"/>
        <v>147</v>
      </c>
      <c r="AF155" s="9" t="n">
        <f>ROUND($J155*1.637*1.75*2.1*2.3*2.6*3.2*4.2*2.4*2.5*2.8*3.2*1.25,0)</f>
        <v>406149349133</v>
      </c>
      <c r="AG155" s="3">
        <f t="shared" si="80"/>
        <v>150</v>
      </c>
      <c r="AH155" s="10" t="n">
        <f>ROUND($J155*1.637*1.75*2.1*2.3*2.6*3.2*4.2*2.4*2.5*2.8*3.2*3.8*1.25,0)</f>
        <v>1543367526705</v>
      </c>
    </row>
    <row r="156" hidden="1">
      <c r="A156" s="2">
        <v>144</v>
      </c>
      <c r="B156" s="2" t="s">
        <v>264</v>
      </c>
      <c r="C156" s="2" t="s">
        <v>228</v>
      </c>
      <c r="D156" s="2" t="s">
        <v>79</v>
      </c>
      <c r="E156" s="2">
        <v>123</v>
      </c>
      <c r="F156" s="2" t="s">
        <v>265</v>
      </c>
      <c r="G156" s="2" t="s">
        <v>218</v>
      </c>
      <c r="H156" s="2">
        <v>31</v>
      </c>
      <c r="I156" s="3">
        <v>123</v>
      </c>
      <c r="J156" s="4">
        <v>19400000</v>
      </c>
      <c r="K156" s="5">
        <f t="shared" si="69"/>
        <v>124</v>
      </c>
      <c r="L156" s="9">
        <f t="shared" si="81"/>
        <v>31757800</v>
      </c>
      <c r="M156" s="3">
        <f t="shared" si="70"/>
        <v>125</v>
      </c>
      <c r="N156" s="10">
        <f t="shared" si="82"/>
        <v>55576150</v>
      </c>
      <c r="O156" s="5">
        <f t="shared" si="71"/>
        <v>127</v>
      </c>
      <c r="P156" s="9">
        <f t="shared" si="83"/>
        <v>116709915</v>
      </c>
      <c r="Q156" s="3">
        <f t="shared" si="72"/>
        <v>129</v>
      </c>
      <c r="R156" s="10" t="n">
        <f>ROUND($J156*1.637*1.75*2.1*2.3*1.25,0)</f>
        <v>335541006</v>
      </c>
      <c r="S156" s="5">
        <f t="shared" si="73"/>
        <v>131</v>
      </c>
      <c r="T156" s="9" t="n">
        <f>ROUND($J156*1.637*1.75*2.1*2.3*2.6*1.25,0)</f>
        <v>872406615</v>
      </c>
      <c r="U156" s="3">
        <f t="shared" si="74"/>
        <v>134</v>
      </c>
      <c r="V156" s="10" t="n">
        <f>ROUND($J156*1.637*1.75*2.1*2.3*2.6*3.2*1.25,0)</f>
        <v>2791701167</v>
      </c>
      <c r="W156" s="5">
        <f t="shared" si="75"/>
        <v>138</v>
      </c>
      <c r="X156" s="9" t="n">
        <f>ROUND($J156*1.637*1.75*2.1*2.3*2.6*3.2*4.2*1.25,0)</f>
        <v>11725144901</v>
      </c>
      <c r="Y156" s="3">
        <f t="shared" si="76"/>
        <v>140</v>
      </c>
      <c r="Z156" s="10" t="n">
        <f>ROUND($J156*1.637*1.75*2.1*2.3*2.6*3.2*4.2*2.4*1.25,0)</f>
        <v>28140347761</v>
      </c>
      <c r="AA156" s="5">
        <f t="shared" si="77"/>
        <v>142</v>
      </c>
      <c r="AB156" s="9" t="n">
        <f>ROUND($J156*1.637*1.75*2.1*2.3*2.6*3.2*4.2*2.4*2.5*1.25,0)</f>
        <v>70350869403</v>
      </c>
      <c r="AC156" s="3">
        <f t="shared" si="78"/>
        <v>144</v>
      </c>
      <c r="AD156" s="10" t="n">
        <f>ROUND($J156*1.637*1.75*2.1*2.3*2.6*3.2*4.2*2.4*2.5*2.8*1.25,0)</f>
        <v>196982434329</v>
      </c>
      <c r="AE156" s="5">
        <f t="shared" si="79"/>
        <v>147</v>
      </c>
      <c r="AF156" s="9" t="n">
        <f>ROUND($J156*1.637*1.75*2.1*2.3*2.6*3.2*4.2*2.4*2.5*2.8*3.2*1.25,0)</f>
        <v>630343789854</v>
      </c>
      <c r="AG156" s="3">
        <f t="shared" si="80"/>
        <v>150</v>
      </c>
      <c r="AH156" s="10" t="n">
        <f>ROUND($J156*1.637*1.75*2.1*2.3*2.6*3.2*4.2*2.4*2.5*2.8*3.2*3.8*1.25,0)</f>
        <v>2395306401446</v>
      </c>
    </row>
    <row r="157" hidden="1">
      <c r="A157" s="2">
        <v>131</v>
      </c>
      <c r="B157" s="2" t="s">
        <v>266</v>
      </c>
      <c r="C157" s="2" t="s">
        <v>228</v>
      </c>
      <c r="D157" s="2" t="s">
        <v>79</v>
      </c>
      <c r="E157" s="2">
        <v>123</v>
      </c>
      <c r="F157" s="2" t="s">
        <v>267</v>
      </c>
      <c r="G157" s="2" t="s">
        <v>67</v>
      </c>
      <c r="H157" s="2">
        <v>32</v>
      </c>
      <c r="I157" s="3">
        <v>123</v>
      </c>
      <c r="J157" s="4">
        <v>39200000</v>
      </c>
      <c r="K157" s="5">
        <f t="shared" si="69"/>
        <v>124</v>
      </c>
      <c r="L157" s="9">
        <f t="shared" si="81"/>
        <v>64170400</v>
      </c>
      <c r="M157" s="3">
        <f t="shared" si="70"/>
        <v>125</v>
      </c>
      <c r="N157" s="10">
        <f t="shared" si="82"/>
        <v>112298200</v>
      </c>
      <c r="O157" s="5">
        <f t="shared" si="71"/>
        <v>127</v>
      </c>
      <c r="P157" s="9">
        <f t="shared" si="83"/>
        <v>235826220</v>
      </c>
      <c r="Q157" s="3">
        <f t="shared" si="72"/>
        <v>129</v>
      </c>
      <c r="R157" s="10" t="n">
        <f>ROUND($J157*1.637*1.75*2.1*2.3*1.25,0)</f>
        <v>678000383</v>
      </c>
      <c r="S157" s="5">
        <f t="shared" si="73"/>
        <v>131</v>
      </c>
      <c r="T157" s="9" t="n">
        <f>ROUND($J157*1.637*1.75*2.1*2.3*2.6*1.25,0)</f>
        <v>1762800995</v>
      </c>
      <c r="U157" s="3">
        <f t="shared" si="74"/>
        <v>134</v>
      </c>
      <c r="V157" s="10" t="n">
        <f>ROUND($J157*1.637*1.75*2.1*2.3*2.6*3.2*1.25,0)</f>
        <v>5640963182</v>
      </c>
      <c r="W157" s="5">
        <f t="shared" si="75"/>
        <v>138</v>
      </c>
      <c r="X157" s="9" t="n">
        <f>ROUND($J157*1.637*1.75*2.1*2.3*2.6*3.2*4.2*1.25,0)</f>
        <v>23692045366</v>
      </c>
      <c r="Y157" s="3">
        <f t="shared" si="76"/>
        <v>140</v>
      </c>
      <c r="Z157" s="10" t="n">
        <f>ROUND($J157*1.637*1.75*2.1*2.3*2.6*3.2*4.2*2.4*1.25,0)</f>
        <v>56860908879</v>
      </c>
      <c r="AA157" s="5">
        <f t="shared" si="77"/>
        <v>142</v>
      </c>
      <c r="AB157" s="9" t="n">
        <f>ROUND($J157*1.637*1.75*2.1*2.3*2.6*3.2*4.2*2.4*2.5*1.25,0)</f>
        <v>142152272196</v>
      </c>
      <c r="AC157" s="3">
        <f t="shared" si="78"/>
        <v>144</v>
      </c>
      <c r="AD157" s="10" t="n">
        <f>ROUND($J157*1.637*1.75*2.1*2.3*2.6*3.2*4.2*2.4*2.5*2.8*1.25,0)</f>
        <v>398026362150</v>
      </c>
      <c r="AE157" s="5">
        <f t="shared" si="79"/>
        <v>147</v>
      </c>
      <c r="AF157" s="9" t="n">
        <f>ROUND($J157*1.637*1.75*2.1*2.3*2.6*3.2*4.2*2.4*2.5*2.8*3.2*1.25,0)</f>
        <v>1273684358880</v>
      </c>
      <c r="AG157" s="3">
        <f t="shared" si="80"/>
        <v>150</v>
      </c>
      <c r="AH157" s="10" t="n">
        <f>ROUND($J157*1.637*1.75*2.1*2.3*2.6*3.2*4.2*2.4*2.5*2.8*3.2*3.8*1.25,0)</f>
        <v>4840000563746</v>
      </c>
    </row>
    <row r="158" hidden="1">
      <c r="A158" s="2">
        <v>134</v>
      </c>
      <c r="B158" s="2" t="s">
        <v>268</v>
      </c>
      <c r="C158" s="2" t="s">
        <v>228</v>
      </c>
      <c r="D158" s="2" t="s">
        <v>40</v>
      </c>
      <c r="E158" s="2">
        <v>123</v>
      </c>
      <c r="F158" s="2" t="s">
        <v>26</v>
      </c>
      <c r="G158" s="2" t="s">
        <v>242</v>
      </c>
      <c r="H158" s="2">
        <v>32</v>
      </c>
      <c r="I158" s="3">
        <v>123</v>
      </c>
      <c r="J158" s="4">
        <v>9520000</v>
      </c>
      <c r="K158" s="5">
        <f t="shared" si="69"/>
        <v>124</v>
      </c>
      <c r="L158" s="9">
        <f t="shared" si="81"/>
        <v>15584240</v>
      </c>
      <c r="M158" s="3">
        <f t="shared" si="70"/>
        <v>125</v>
      </c>
      <c r="N158" s="10">
        <f t="shared" si="82"/>
        <v>27272420</v>
      </c>
      <c r="O158" s="5">
        <f t="shared" si="71"/>
        <v>127</v>
      </c>
      <c r="P158" s="9">
        <f t="shared" si="83"/>
        <v>57272082</v>
      </c>
      <c r="Q158" s="3">
        <f t="shared" si="72"/>
        <v>129</v>
      </c>
      <c r="R158" s="10" t="n">
        <f>ROUND($J158*1.637*1.75*2.1*2.3*1,0)</f>
        <v>131725789</v>
      </c>
      <c r="S158" s="5">
        <f t="shared" si="73"/>
        <v>131</v>
      </c>
      <c r="T158" s="9" t="n">
        <f>ROUND($J158*1.637*1.75*2.1*2.3*2.6*1,0)</f>
        <v>342487050</v>
      </c>
      <c r="U158" s="3">
        <f t="shared" si="74"/>
        <v>134</v>
      </c>
      <c r="V158" s="10" t="n">
        <f>ROUND($J158*1.637*1.75*2.1*2.3*2.6*3.2*1,0)</f>
        <v>1095958561</v>
      </c>
      <c r="W158" s="5">
        <f t="shared" si="75"/>
        <v>138</v>
      </c>
      <c r="X158" s="9" t="n">
        <f>ROUND($J158*1.637*1.75*2.1*2.3*2.6*3.2*4.2*1,0)</f>
        <v>4603025957</v>
      </c>
      <c r="Y158" s="3">
        <f t="shared" si="76"/>
        <v>140</v>
      </c>
      <c r="Z158" s="10" t="n">
        <f>ROUND($J158*1.637*1.75*2.1*2.3*2.6*3.2*4.2*2.4*1,0)</f>
        <v>11047262296</v>
      </c>
      <c r="AA158" s="5">
        <f t="shared" si="77"/>
        <v>142</v>
      </c>
      <c r="AB158" s="9" t="n">
        <f>ROUND($J158*1.637*1.75*2.1*2.3*2.6*3.2*4.2*2.4*2.5*1,0)</f>
        <v>27618155741</v>
      </c>
      <c r="AC158" s="3">
        <f t="shared" si="78"/>
        <v>144</v>
      </c>
      <c r="AD158" s="10" t="n">
        <f>ROUND($J158*1.637*1.75*2.1*2.3*2.6*3.2*4.2*2.4*2.5*2.8*1,0)</f>
        <v>77330836075</v>
      </c>
      <c r="AE158" s="5">
        <f t="shared" si="79"/>
        <v>147</v>
      </c>
      <c r="AF158" s="9" t="n">
        <f>ROUND($J158*1.637*1.75*2.1*2.3*2.6*3.2*4.2*2.4*2.5*2.8*3.2*1,0)</f>
        <v>247458675440</v>
      </c>
      <c r="AG158" s="3">
        <f t="shared" si="80"/>
        <v>150</v>
      </c>
      <c r="AH158" s="10" t="n">
        <f>ROUND($J158*1.637*1.75*2.1*2.3*2.6*3.2*4.2*2.4*2.5*2.8*3.2*3.8*1,0)</f>
        <v>940342966671</v>
      </c>
    </row>
    <row r="159" hidden="1">
      <c r="A159" s="2">
        <v>129</v>
      </c>
      <c r="B159" s="2" t="s">
        <v>269</v>
      </c>
      <c r="C159" s="2" t="s">
        <v>228</v>
      </c>
      <c r="D159" s="2" t="s">
        <v>29</v>
      </c>
      <c r="E159" s="2">
        <v>123</v>
      </c>
      <c r="F159" s="2" t="s">
        <v>26</v>
      </c>
      <c r="G159" s="2" t="s">
        <v>270</v>
      </c>
      <c r="H159" s="2">
        <v>33</v>
      </c>
      <c r="I159" s="3">
        <v>123</v>
      </c>
      <c r="J159" s="4">
        <v>13400000</v>
      </c>
      <c r="K159" s="5">
        <f t="shared" si="69"/>
        <v>124</v>
      </c>
      <c r="L159" s="9">
        <f t="shared" si="81"/>
        <v>21935800</v>
      </c>
      <c r="M159" s="3">
        <f t="shared" si="70"/>
        <v>125</v>
      </c>
      <c r="N159" s="10">
        <f t="shared" si="82"/>
        <v>38387650</v>
      </c>
      <c r="O159" s="5">
        <f t="shared" si="71"/>
        <v>127</v>
      </c>
      <c r="P159" s="9">
        <f t="shared" si="83"/>
        <v>80614065</v>
      </c>
      <c r="Q159" s="3">
        <f t="shared" si="72"/>
        <v>129</v>
      </c>
      <c r="R159" s="10" t="n">
        <f>ROUND($J159*1.637*1.75*2.1*2.3*1.25,0)</f>
        <v>231765437</v>
      </c>
      <c r="S159" s="5">
        <f t="shared" si="73"/>
        <v>131</v>
      </c>
      <c r="T159" s="9" t="n">
        <f>ROUND($J159*1.637*1.75*2.1*2.3*2.6*1.25,0)</f>
        <v>602590136</v>
      </c>
      <c r="U159" s="3">
        <f t="shared" si="74"/>
        <v>134</v>
      </c>
      <c r="V159" s="10" t="n">
        <f>ROUND($J159*1.637*1.75*2.1*2.3*2.6*3.2*1.25,0)</f>
        <v>1928288435</v>
      </c>
      <c r="W159" s="5">
        <f t="shared" si="75"/>
        <v>138</v>
      </c>
      <c r="X159" s="9" t="n">
        <f>ROUND($J159*1.637*1.75*2.1*2.3*2.6*3.2*4.2*1.25,0)</f>
        <v>8098811426</v>
      </c>
      <c r="Y159" s="3">
        <f t="shared" si="76"/>
        <v>140</v>
      </c>
      <c r="Z159" s="10" t="n">
        <f>ROUND($J159*1.637*1.75*2.1*2.3*2.6*3.2*4.2*2.4*1.25,0)</f>
        <v>19437147423</v>
      </c>
      <c r="AA159" s="5">
        <f t="shared" si="77"/>
        <v>142</v>
      </c>
      <c r="AB159" s="9" t="n">
        <f>ROUND($J159*1.637*1.75*2.1*2.3*2.6*3.2*4.2*2.4*2.5*1.25,0)</f>
        <v>48592868557</v>
      </c>
      <c r="AC159" s="3">
        <f t="shared" si="78"/>
        <v>144</v>
      </c>
      <c r="AD159" s="10" t="n">
        <f>ROUND($J159*1.637*1.75*2.1*2.3*2.6*3.2*4.2*2.4*2.5*2.8*1.25,0)</f>
        <v>136060031959</v>
      </c>
      <c r="AE159" s="5">
        <f t="shared" si="79"/>
        <v>147</v>
      </c>
      <c r="AF159" s="9" t="n">
        <f>ROUND($J159*1.637*1.75*2.1*2.3*2.6*3.2*4.2*2.4*2.5*2.8*3.2*1.25,0)</f>
        <v>435392102270</v>
      </c>
      <c r="AG159" s="3">
        <f t="shared" si="80"/>
        <v>150</v>
      </c>
      <c r="AH159" s="10" t="n">
        <f>ROUND($J159*1.637*1.75*2.1*2.3*2.6*3.2*4.2*2.4*2.5*2.8*3.2*3.8*1.25,0)</f>
        <v>1654489988627</v>
      </c>
    </row>
    <row r="160" hidden="1">
      <c r="A160" s="2">
        <v>132</v>
      </c>
      <c r="B160" s="2" t="s">
        <v>271</v>
      </c>
      <c r="C160" s="2" t="s">
        <v>228</v>
      </c>
      <c r="D160" s="2" t="s">
        <v>40</v>
      </c>
      <c r="E160" s="2">
        <v>123</v>
      </c>
      <c r="F160" s="2" t="s">
        <v>237</v>
      </c>
      <c r="G160" s="2" t="s">
        <v>272</v>
      </c>
      <c r="H160" s="2">
        <v>32</v>
      </c>
      <c r="I160" s="3">
        <v>123</v>
      </c>
      <c r="J160" s="4">
        <v>12300000</v>
      </c>
      <c r="K160" s="5">
        <f t="shared" si="69"/>
        <v>124</v>
      </c>
      <c r="L160" s="9">
        <f t="shared" si="81"/>
        <v>20135100</v>
      </c>
      <c r="M160" s="3">
        <f t="shared" si="70"/>
        <v>125</v>
      </c>
      <c r="N160" s="10">
        <f t="shared" si="82"/>
        <v>35236425</v>
      </c>
      <c r="O160" s="5">
        <f t="shared" si="71"/>
        <v>127</v>
      </c>
      <c r="P160" s="9">
        <f t="shared" si="83"/>
        <v>73996493</v>
      </c>
      <c r="Q160" s="3">
        <f t="shared" si="72"/>
        <v>129</v>
      </c>
      <c r="R160" s="10" t="n">
        <f>ROUND($J160*1.637*1.75*2.1*2.3*1,0)</f>
        <v>170191933</v>
      </c>
      <c r="S160" s="5">
        <f t="shared" si="73"/>
        <v>131</v>
      </c>
      <c r="T160" s="9" t="n">
        <f>ROUND($J160*1.637*1.75*2.1*2.3*2.6*1,0)</f>
        <v>442499025</v>
      </c>
      <c r="U160" s="3">
        <f t="shared" si="74"/>
        <v>134</v>
      </c>
      <c r="V160" s="10" t="n">
        <f>ROUND($J160*1.637*1.75*2.1*2.3*2.6*3.2*1,0)</f>
        <v>1415996880</v>
      </c>
      <c r="W160" s="5">
        <f t="shared" si="75"/>
        <v>138</v>
      </c>
      <c r="X160" s="9" t="n">
        <f>ROUND($J160*1.637*1.75*2.1*2.3*2.6*3.2*4.2*1,0)</f>
        <v>5947186898</v>
      </c>
      <c r="Y160" s="3">
        <f t="shared" si="76"/>
        <v>140</v>
      </c>
      <c r="Z160" s="10" t="n">
        <f>ROUND($J160*1.637*1.75*2.1*2.3*2.6*3.2*4.2*2.4*1,0)</f>
        <v>14273248555</v>
      </c>
      <c r="AA160" s="5">
        <f t="shared" si="77"/>
        <v>142</v>
      </c>
      <c r="AB160" s="9" t="n">
        <f>ROUND($J160*1.637*1.75*2.1*2.3*2.6*3.2*4.2*2.4*2.5*1,0)</f>
        <v>35683121388</v>
      </c>
      <c r="AC160" s="3">
        <f t="shared" si="78"/>
        <v>144</v>
      </c>
      <c r="AD160" s="10" t="n">
        <f>ROUND($J160*1.637*1.75*2.1*2.3*2.6*3.2*4.2*2.4*2.5*2.8*1,0)</f>
        <v>99912739887</v>
      </c>
      <c r="AE160" s="5">
        <f t="shared" si="79"/>
        <v>147</v>
      </c>
      <c r="AF160" s="9" t="n">
        <f>ROUND($J160*1.637*1.75*2.1*2.3*2.6*3.2*4.2*2.4*2.5*2.8*3.2*1,0)</f>
        <v>319720767637</v>
      </c>
      <c r="AG160" s="3">
        <f t="shared" si="80"/>
        <v>150</v>
      </c>
      <c r="AH160" s="10" t="n">
        <f>ROUND($J160*1.637*1.75*2.1*2.3*2.6*3.2*4.2*2.4*2.5*2.8*3.2*3.8*1,0)</f>
        <v>1214938917022</v>
      </c>
    </row>
    <row r="161" hidden="1">
      <c r="A161" s="2">
        <v>150</v>
      </c>
      <c r="B161" s="2" t="s">
        <v>273</v>
      </c>
      <c r="C161" s="2" t="s">
        <v>228</v>
      </c>
      <c r="D161" s="2" t="s">
        <v>33</v>
      </c>
      <c r="E161" s="2">
        <v>123</v>
      </c>
      <c r="F161" s="2" t="s">
        <v>212</v>
      </c>
      <c r="G161" s="2" t="s">
        <v>274</v>
      </c>
      <c r="H161" s="2">
        <v>30</v>
      </c>
      <c r="I161" s="3">
        <v>123</v>
      </c>
      <c r="J161" s="4">
        <v>12200000</v>
      </c>
      <c r="K161" s="5">
        <f t="shared" si="69"/>
        <v>124</v>
      </c>
      <c r="L161" s="9" t="n">
        <f>ROUND($J161*1.637*0.8,0)</f>
        <v>15977120</v>
      </c>
      <c r="M161" s="3">
        <f t="shared" si="70"/>
        <v>125</v>
      </c>
      <c r="N161" s="10" t="n">
        <f>ROUND($J161*1.637*1.75*0.8,0)</f>
        <v>27959960</v>
      </c>
      <c r="O161" s="5">
        <f t="shared" si="71"/>
        <v>127</v>
      </c>
      <c r="P161" s="9" t="n">
        <f>ROUND($J161*1.637*1.75*2.1*0.8,0)</f>
        <v>58715916</v>
      </c>
      <c r="Q161" s="3">
        <f t="shared" si="72"/>
        <v>129</v>
      </c>
      <c r="R161" s="10" t="n">
        <f>ROUND($J161*1.637*1.75*2.1*2.3*0.542035092435954,0)</f>
        <v>91500000</v>
      </c>
      <c r="S161" s="5">
        <f t="shared" si="73"/>
        <v>131</v>
      </c>
      <c r="T161" s="9" t="n">
        <f>ROUND($J161*1.637*1.75*2.1*2.3*2.6*0.544690061623969,0)</f>
        <v>239065270</v>
      </c>
      <c r="U161" s="3">
        <f t="shared" si="74"/>
        <v>134</v>
      </c>
      <c r="V161" s="10" t="n">
        <f>ROUND($J161*1.637*1.75*2.1*2.3*2.6*3.2*0.547345030811984,0)</f>
        <v>768737727</v>
      </c>
      <c r="W161" s="5">
        <f t="shared" si="75"/>
        <v>138</v>
      </c>
      <c r="X161" s="9" t="n">
        <f>ROUND($J161*1.637*1.75*2.1*2.3*2.6*3.2*4.2*0.55,0)</f>
        <v>3244359682</v>
      </c>
      <c r="Y161" s="3">
        <f t="shared" si="76"/>
        <v>140</v>
      </c>
      <c r="Z161" s="10" t="n">
        <f>ROUND($J161*1.637*1.75*2.1*2.3*2.6*3.2*4.2*2.4*0.55,0)</f>
        <v>7786463236</v>
      </c>
      <c r="AA161" s="5">
        <f t="shared" si="77"/>
        <v>142</v>
      </c>
      <c r="AB161" s="9" t="n">
        <f>ROUND($J161*1.637*1.75*2.1*2.3*2.6*3.2*4.2*2.4*2.5*0.55,0)</f>
        <v>19466158091</v>
      </c>
      <c r="AC161" s="3">
        <f t="shared" si="78"/>
        <v>144</v>
      </c>
      <c r="AD161" s="10" t="n">
        <f>ROUND($J161*1.637*1.75*2.1*2.3*2.6*3.2*4.2*2.4*2.5*2.8*0.55,0)</f>
        <v>54505242654</v>
      </c>
      <c r="AE161" s="5">
        <f t="shared" si="79"/>
        <v>147</v>
      </c>
      <c r="AF161" s="9" t="n">
        <f>ROUND($J161*1.637*1.75*2.1*2.3*2.6*3.2*4.2*2.4*2.5*2.8*3.2*0.55,0)</f>
        <v>174416776492</v>
      </c>
      <c r="AG161" s="3">
        <f t="shared" si="80"/>
        <v>150</v>
      </c>
      <c r="AH161" s="10" t="n">
        <f>ROUND($J161*1.637*1.75*2.1*2.3*2.6*3.2*4.2*2.4*2.5*2.8*3.2*3.8*0.55,0)</f>
        <v>662783750668</v>
      </c>
    </row>
    <row r="162" hidden="1">
      <c r="A162" s="2">
        <v>135</v>
      </c>
      <c r="B162" s="2" t="s">
        <v>275</v>
      </c>
      <c r="C162" s="2" t="s">
        <v>228</v>
      </c>
      <c r="D162" s="2" t="s">
        <v>90</v>
      </c>
      <c r="E162" s="2">
        <v>123</v>
      </c>
      <c r="F162" s="2" t="s">
        <v>71</v>
      </c>
      <c r="G162" s="2" t="s">
        <v>206</v>
      </c>
      <c r="H162" s="2">
        <v>32</v>
      </c>
      <c r="I162" s="3">
        <v>123</v>
      </c>
      <c r="J162" s="4">
        <v>12200000</v>
      </c>
      <c r="K162" s="5">
        <f t="shared" si="69"/>
        <v>124</v>
      </c>
      <c r="L162" s="9" t="n">
        <f>ROUND($J162*1.637*1,0)</f>
        <v>19971400</v>
      </c>
      <c r="M162" s="3">
        <f t="shared" si="70"/>
        <v>125</v>
      </c>
      <c r="N162" s="10" t="n">
        <f>ROUND($J162*1.637*1.75*1,0)</f>
        <v>34949950</v>
      </c>
      <c r="O162" s="5">
        <f t="shared" si="71"/>
        <v>127</v>
      </c>
      <c r="P162" s="9" t="n">
        <f>ROUND($J162*1.637*1.75*2.1*1,0)</f>
        <v>73394895</v>
      </c>
      <c r="Q162" s="3">
        <f t="shared" si="72"/>
        <v>129</v>
      </c>
      <c r="R162" s="10" t="n">
        <f>ROUND($J162*1.637*1.75*2.1*2.3*1,0)</f>
        <v>168808259</v>
      </c>
      <c r="S162" s="5">
        <f t="shared" si="73"/>
        <v>131</v>
      </c>
      <c r="T162" s="9" t="n">
        <f>ROUND($J162*1.637*1.75*2.1*2.3*2.6*1,0)</f>
        <v>438901472</v>
      </c>
      <c r="U162" s="3">
        <f t="shared" si="74"/>
        <v>134</v>
      </c>
      <c r="V162" s="10" t="n">
        <f>ROUND($J162*1.637*1.75*2.1*2.3*2.6*3.2*1,0)</f>
        <v>1404484711</v>
      </c>
      <c r="W162" s="5">
        <f t="shared" si="75"/>
        <v>138</v>
      </c>
      <c r="X162" s="9" t="n">
        <f>ROUND($J162*1.637*1.75*2.1*2.3*2.6*3.2*4.2*1,0)</f>
        <v>5898835785</v>
      </c>
      <c r="Y162" s="3">
        <f t="shared" si="76"/>
        <v>140</v>
      </c>
      <c r="Z162" s="10" t="n">
        <f>ROUND($J162*1.637*1.75*2.1*2.3*2.6*3.2*4.2*2.4*1,0)</f>
        <v>14157205884</v>
      </c>
      <c r="AA162" s="5">
        <f t="shared" si="77"/>
        <v>142</v>
      </c>
      <c r="AB162" s="9" t="n">
        <f>ROUND($J162*1.637*1.75*2.1*2.3*2.6*3.2*4.2*2.4*2.5*1,0)</f>
        <v>35393014710</v>
      </c>
      <c r="AC162" s="3">
        <f t="shared" si="78"/>
        <v>144</v>
      </c>
      <c r="AD162" s="10" t="n">
        <f>ROUND($J162*1.637*1.75*2.1*2.3*2.6*3.2*4.2*2.4*2.5*2.8*1,0)</f>
        <v>99100441188</v>
      </c>
      <c r="AE162" s="5">
        <f t="shared" si="79"/>
        <v>147</v>
      </c>
      <c r="AF162" s="9" t="n">
        <f>ROUND($J162*1.637*1.75*2.1*2.3*2.6*3.2*4.2*2.4*2.5*2.8*3.2*1,0)</f>
        <v>317121411803</v>
      </c>
      <c r="AG162" s="3">
        <f t="shared" si="80"/>
        <v>150</v>
      </c>
      <c r="AH162" s="10" t="n">
        <f>ROUND($J162*1.637*1.75*2.1*2.3*2.6*3.2*4.2*2.4*2.5*2.8*3.2*3.8*1,0)</f>
        <v>1205061364851</v>
      </c>
    </row>
    <row r="163" hidden="1">
      <c r="A163" s="2">
        <v>143</v>
      </c>
      <c r="B163" s="2" t="s">
        <v>276</v>
      </c>
      <c r="C163" s="2" t="s">
        <v>228</v>
      </c>
      <c r="D163" s="2" t="s">
        <v>33</v>
      </c>
      <c r="E163" s="2">
        <v>123</v>
      </c>
      <c r="F163" s="2" t="s">
        <v>34</v>
      </c>
      <c r="G163" s="2" t="s">
        <v>277</v>
      </c>
      <c r="H163" s="2">
        <v>31</v>
      </c>
      <c r="I163" s="3">
        <v>123</v>
      </c>
      <c r="J163" s="4">
        <v>12800000</v>
      </c>
      <c r="K163" s="5">
        <f t="shared" si="69"/>
        <v>124</v>
      </c>
      <c r="L163" s="9" t="n">
        <f>ROUND($J163*1.637*1,0)</f>
        <v>20953600</v>
      </c>
      <c r="M163" s="3">
        <f t="shared" si="70"/>
        <v>125</v>
      </c>
      <c r="N163" s="10" t="n">
        <f>ROUND($J163*1.637*1.75*1,0)</f>
        <v>36668800</v>
      </c>
      <c r="O163" s="5">
        <f t="shared" si="71"/>
        <v>127</v>
      </c>
      <c r="P163" s="9" t="n">
        <f>ROUND($J163*1.637*1.75*2.1*1,0)</f>
        <v>77004480</v>
      </c>
      <c r="Q163" s="3">
        <f t="shared" si="72"/>
        <v>129</v>
      </c>
      <c r="R163" s="10" t="n">
        <f>ROUND($J163*1.637*1.75*2.1*2.3*1,0)</f>
        <v>177110304</v>
      </c>
      <c r="S163" s="5">
        <f t="shared" si="73"/>
        <v>131</v>
      </c>
      <c r="T163" s="9" t="n">
        <f>ROUND($J163*1.637*1.75*2.1*2.3*2.6*1,0)</f>
        <v>460486790</v>
      </c>
      <c r="U163" s="3">
        <f t="shared" si="74"/>
        <v>134</v>
      </c>
      <c r="V163" s="10" t="n">
        <f>ROUND($J163*1.637*1.75*2.1*2.3*2.6*3.2*1,0)</f>
        <v>1473557729</v>
      </c>
      <c r="W163" s="5">
        <f t="shared" si="75"/>
        <v>138</v>
      </c>
      <c r="X163" s="9" t="n">
        <f>ROUND($J163*1.637*1.75*2.1*2.3*2.6*3.2*4.2*1,0)</f>
        <v>6188942463</v>
      </c>
      <c r="Y163" s="3">
        <f t="shared" si="76"/>
        <v>140</v>
      </c>
      <c r="Z163" s="10" t="n">
        <f>ROUND($J163*1.637*1.75*2.1*2.3*2.6*3.2*4.2*2.4*1,0)</f>
        <v>14853461911</v>
      </c>
      <c r="AA163" s="5">
        <f t="shared" si="77"/>
        <v>142</v>
      </c>
      <c r="AB163" s="9" t="n">
        <f>ROUND($J163*1.637*1.75*2.1*2.3*2.6*3.2*4.2*2.4*2.5*1,0)</f>
        <v>37133654778</v>
      </c>
      <c r="AC163" s="3">
        <f t="shared" si="78"/>
        <v>144</v>
      </c>
      <c r="AD163" s="10" t="n">
        <f>ROUND($J163*1.637*1.75*2.1*2.3*2.6*3.2*4.2*2.4*2.5*2.8*1,0)</f>
        <v>103974233378</v>
      </c>
      <c r="AE163" s="5">
        <f t="shared" si="79"/>
        <v>147</v>
      </c>
      <c r="AF163" s="9" t="n">
        <f>ROUND($J163*1.637*1.75*2.1*2.3*2.6*3.2*4.2*2.4*2.5*2.8*3.2*1,0)</f>
        <v>332717546810</v>
      </c>
      <c r="AG163" s="3">
        <f t="shared" si="80"/>
        <v>150</v>
      </c>
      <c r="AH163" s="10" t="n">
        <f>ROUND($J163*1.637*1.75*2.1*2.3*2.6*3.2*4.2*2.4*2.5*2.8*3.2*3.8*1,0)</f>
        <v>1264326677876</v>
      </c>
    </row>
    <row r="164" hidden="1">
      <c r="A164" s="2">
        <v>140</v>
      </c>
      <c r="B164" s="2" t="s">
        <v>278</v>
      </c>
      <c r="C164" s="2" t="s">
        <v>228</v>
      </c>
      <c r="D164" s="2" t="s">
        <v>75</v>
      </c>
      <c r="E164" s="2">
        <v>123</v>
      </c>
      <c r="F164" s="2" t="s">
        <v>59</v>
      </c>
      <c r="G164" s="2" t="s">
        <v>218</v>
      </c>
      <c r="H164" s="2">
        <v>31</v>
      </c>
      <c r="I164" s="3">
        <v>123</v>
      </c>
      <c r="J164" s="4">
        <v>13200000</v>
      </c>
      <c r="K164" s="5">
        <f t="shared" si="69"/>
        <v>124</v>
      </c>
      <c r="L164" s="9" t="n">
        <f>ROUND($J164*1.637*1,0)</f>
        <v>21608400</v>
      </c>
      <c r="M164" s="3">
        <f t="shared" si="70"/>
        <v>125</v>
      </c>
      <c r="N164" s="10" t="n">
        <f>ROUND($J164*1.637*1.75*1,0)</f>
        <v>37814700</v>
      </c>
      <c r="O164" s="5">
        <f t="shared" si="71"/>
        <v>127</v>
      </c>
      <c r="P164" s="9" t="n">
        <f>ROUND($J164*1.637*1.75*2.1*1,0)</f>
        <v>79410870</v>
      </c>
      <c r="Q164" s="3">
        <f t="shared" si="72"/>
        <v>129</v>
      </c>
      <c r="R164" s="10" t="n">
        <f>ROUND($J164*1.637*1.75*2.1*2.3*1,0)</f>
        <v>182645001</v>
      </c>
      <c r="S164" s="5">
        <f t="shared" si="73"/>
        <v>131</v>
      </c>
      <c r="T164" s="9" t="n">
        <f>ROUND($J164*1.637*1.75*2.1*2.3*2.6*1,0)</f>
        <v>474877003</v>
      </c>
      <c r="U164" s="3">
        <f t="shared" si="74"/>
        <v>134</v>
      </c>
      <c r="V164" s="10" t="n">
        <f>ROUND($J164*1.637*1.75*2.1*2.3*2.6*3.2*1,0)</f>
        <v>1519606408</v>
      </c>
      <c r="W164" s="5">
        <f t="shared" si="75"/>
        <v>138</v>
      </c>
      <c r="X164" s="9" t="n">
        <f>ROUND($J164*1.637*1.75*2.1*2.3*2.6*3.2*4.2*1,0)</f>
        <v>6382346915</v>
      </c>
      <c r="Y164" s="3">
        <f t="shared" si="76"/>
        <v>140</v>
      </c>
      <c r="Z164" s="10" t="n">
        <f>ROUND($J164*1.637*1.75*2.1*2.3*2.6*3.2*4.2*2.4*1,0)</f>
        <v>15317632596</v>
      </c>
      <c r="AA164" s="5">
        <f t="shared" si="77"/>
        <v>142</v>
      </c>
      <c r="AB164" s="9" t="n">
        <f>ROUND($J164*1.637*1.75*2.1*2.3*2.6*3.2*4.2*2.4*2.5*1,0)</f>
        <v>38294081490</v>
      </c>
      <c r="AC164" s="3">
        <f t="shared" si="78"/>
        <v>144</v>
      </c>
      <c r="AD164" s="10" t="n">
        <f>ROUND($J164*1.637*1.75*2.1*2.3*2.6*3.2*4.2*2.4*2.5*2.8*1,0)</f>
        <v>107223428171</v>
      </c>
      <c r="AE164" s="5">
        <f t="shared" si="79"/>
        <v>147</v>
      </c>
      <c r="AF164" s="9" t="n">
        <f>ROUND($J164*1.637*1.75*2.1*2.3*2.6*3.2*4.2*2.4*2.5*2.8*3.2*1,0)</f>
        <v>343114970147</v>
      </c>
      <c r="AG164" s="3">
        <f t="shared" si="80"/>
        <v>150</v>
      </c>
      <c r="AH164" s="10" t="n">
        <f>ROUND($J164*1.637*1.75*2.1*2.3*2.6*3.2*4.2*2.4*2.5*2.8*3.2*3.8*1,0)</f>
        <v>1303836886560</v>
      </c>
    </row>
    <row r="165" hidden="1">
      <c r="A165" s="2">
        <v>148</v>
      </c>
      <c r="B165" s="2" t="s">
        <v>279</v>
      </c>
      <c r="C165" s="2" t="s">
        <v>228</v>
      </c>
      <c r="D165" s="2" t="s">
        <v>40</v>
      </c>
      <c r="E165" s="2">
        <v>123</v>
      </c>
      <c r="F165" s="2" t="s">
        <v>54</v>
      </c>
      <c r="G165" s="2" t="s">
        <v>218</v>
      </c>
      <c r="H165" s="2">
        <v>31</v>
      </c>
      <c r="I165" s="3">
        <v>123</v>
      </c>
      <c r="J165" s="4">
        <v>51900000</v>
      </c>
      <c r="K165" s="5">
        <f t="shared" si="69"/>
        <v>124</v>
      </c>
      <c r="L165" s="9" t="n">
        <f>ROUND($J165*1.637*1,0)</f>
        <v>84960300</v>
      </c>
      <c r="M165" s="3">
        <f t="shared" si="70"/>
        <v>125</v>
      </c>
      <c r="N165" s="10" t="n">
        <f>ROUND($J165*1.637*1.75*1,0)</f>
        <v>148680525</v>
      </c>
      <c r="O165" s="5">
        <f t="shared" si="71"/>
        <v>127</v>
      </c>
      <c r="P165" s="9" t="n">
        <f>ROUND($J165*1.637*1.75*2.1*1,0)</f>
        <v>312229103</v>
      </c>
      <c r="Q165" s="3">
        <f t="shared" si="72"/>
        <v>129</v>
      </c>
      <c r="R165" s="10" t="n">
        <f>ROUND($J165*1.637*1.75*2.1*2.3*1.25,0)</f>
        <v>897658670</v>
      </c>
      <c r="S165" s="5">
        <f t="shared" si="73"/>
        <v>131</v>
      </c>
      <c r="T165" s="9" t="n">
        <f>ROUND($J165*1.637*1.75*2.1*2.3*2.6*1.25,0)</f>
        <v>2333912541</v>
      </c>
      <c r="U165" s="3">
        <f t="shared" si="74"/>
        <v>134</v>
      </c>
      <c r="V165" s="10" t="n">
        <f>ROUND($J165*1.637*1.75*2.1*2.3*2.6*3.2*1.25,0)</f>
        <v>7468520132</v>
      </c>
      <c r="W165" s="5">
        <f t="shared" si="75"/>
        <v>138</v>
      </c>
      <c r="X165" s="9" t="n">
        <f>ROUND($J165*1.637*1.75*2.1*2.3*2.6*3.2*4.2*1.25,0)</f>
        <v>31367784554</v>
      </c>
      <c r="Y165" s="3">
        <f t="shared" si="76"/>
        <v>140</v>
      </c>
      <c r="Z165" s="10" t="n">
        <f>ROUND($J165*1.637*1.75*2.1*2.3*2.6*3.2*4.2*2.4*1.25,0)</f>
        <v>75282682929</v>
      </c>
      <c r="AA165" s="5">
        <f t="shared" si="77"/>
        <v>142</v>
      </c>
      <c r="AB165" s="9" t="n">
        <f>ROUND($J165*1.637*1.75*2.1*2.3*2.6*3.2*4.2*2.4*2.5*1.25,0)</f>
        <v>188206707321</v>
      </c>
      <c r="AC165" s="3">
        <f t="shared" si="78"/>
        <v>144</v>
      </c>
      <c r="AD165" s="10" t="n">
        <f>ROUND($J165*1.637*1.75*2.1*2.3*2.6*3.2*4.2*2.4*2.5*2.8*1.25,0)</f>
        <v>526978780500</v>
      </c>
      <c r="AE165" s="5">
        <f t="shared" si="79"/>
        <v>147</v>
      </c>
      <c r="AF165" s="9" t="n">
        <f>ROUND($J165*1.637*1.75*2.1*2.3*2.6*3.2*4.2*2.4*2.5*2.8*3.2*1.25,0)</f>
        <v>1686332097599</v>
      </c>
      <c r="AG165" s="3">
        <f t="shared" si="80"/>
        <v>150</v>
      </c>
      <c r="AH165" s="10" t="n">
        <f>ROUND($J165*1.637*1.75*2.1*2.3*2.6*3.2*4.2*2.4*2.5*2.8*3.2*3.8*1.25,0)</f>
        <v>6408061970878</v>
      </c>
    </row>
    <row r="166" hidden="1">
      <c r="A166" s="2">
        <v>136</v>
      </c>
      <c r="B166" s="2" t="s">
        <v>280</v>
      </c>
      <c r="C166" s="2" t="s">
        <v>228</v>
      </c>
      <c r="D166" s="2" t="s">
        <v>40</v>
      </c>
      <c r="E166" s="2">
        <v>123</v>
      </c>
      <c r="F166" s="2" t="s">
        <v>281</v>
      </c>
      <c r="G166" s="2" t="s">
        <v>282</v>
      </c>
      <c r="H166" s="2">
        <v>32</v>
      </c>
      <c r="I166" s="3">
        <v>123</v>
      </c>
      <c r="J166" s="4">
        <v>12300000</v>
      </c>
      <c r="K166" s="5">
        <f t="shared" si="69"/>
        <v>124</v>
      </c>
      <c r="L166" s="9" t="n">
        <f>ROUND($J166*1.637*0.8,0)</f>
        <v>16108080</v>
      </c>
      <c r="M166" s="3">
        <f t="shared" si="70"/>
        <v>125</v>
      </c>
      <c r="N166" s="10" t="n">
        <f>ROUND($J166*1.637*1.75*0.8,0)</f>
        <v>28189140</v>
      </c>
      <c r="O166" s="5">
        <f t="shared" si="71"/>
        <v>127</v>
      </c>
      <c r="P166" s="9" t="n">
        <f>ROUND($J166*1.637*1.75*2.1*0.8,0)</f>
        <v>59197194</v>
      </c>
      <c r="Q166" s="3">
        <f t="shared" si="72"/>
        <v>129</v>
      </c>
      <c r="R166" s="10" t="n">
        <f>ROUND($J166*1.637*1.75*2.1*2.3*0.542035092435954,0)</f>
        <v>92250000</v>
      </c>
      <c r="S166" s="5">
        <f t="shared" si="73"/>
        <v>131</v>
      </c>
      <c r="T166" s="9" t="n">
        <f>ROUND($J166*1.637*1.75*2.1*2.3*2.6*0.544690061623969,0)</f>
        <v>241024821</v>
      </c>
      <c r="U166" s="3">
        <f t="shared" si="74"/>
        <v>134</v>
      </c>
      <c r="V166" s="10" t="n">
        <f>ROUND($J166*1.637*1.75*2.1*2.3*2.6*3.2*0.547345030811984,0)</f>
        <v>775038856</v>
      </c>
      <c r="W166" s="5">
        <f t="shared" si="75"/>
        <v>138</v>
      </c>
      <c r="X166" s="9" t="n">
        <f>ROUND($J166*1.637*1.75*2.1*2.3*2.6*3.2*4.2*0.55,0)</f>
        <v>3270952794</v>
      </c>
      <c r="Y166" s="3">
        <f t="shared" si="76"/>
        <v>140</v>
      </c>
      <c r="Z166" s="10" t="n">
        <f>ROUND($J166*1.637*1.75*2.1*2.3*2.6*3.2*4.2*2.4*0.55,0)</f>
        <v>7850286705</v>
      </c>
      <c r="AA166" s="5">
        <f t="shared" si="77"/>
        <v>142</v>
      </c>
      <c r="AB166" s="9" t="n">
        <f>ROUND($J166*1.637*1.75*2.1*2.3*2.6*3.2*4.2*2.4*2.5*0.55,0)</f>
        <v>19625716763</v>
      </c>
      <c r="AC166" s="3">
        <f t="shared" si="78"/>
        <v>144</v>
      </c>
      <c r="AD166" s="10" t="n">
        <f>ROUND($J166*1.637*1.75*2.1*2.3*2.6*3.2*4.2*2.4*2.5*2.8*0.55,0)</f>
        <v>54952006938</v>
      </c>
      <c r="AE166" s="5">
        <f t="shared" si="79"/>
        <v>147</v>
      </c>
      <c r="AF166" s="9" t="n">
        <f>ROUND($J166*1.637*1.75*2.1*2.3*2.6*3.2*4.2*2.4*2.5*2.8*3.2*0.55,0)</f>
        <v>175846422201</v>
      </c>
      <c r="AG166" s="3">
        <f t="shared" si="80"/>
        <v>150</v>
      </c>
      <c r="AH166" s="10" t="n">
        <f>ROUND($J166*1.637*1.75*2.1*2.3*2.6*3.2*4.2*2.4*2.5*2.8*3.2*3.8*0.55,0)</f>
        <v>668216404362</v>
      </c>
    </row>
    <row r="167" hidden="1">
      <c r="A167" s="2">
        <v>138</v>
      </c>
      <c r="B167" s="2" t="s">
        <v>283</v>
      </c>
      <c r="C167" s="2" t="s">
        <v>228</v>
      </c>
      <c r="D167" s="2" t="s">
        <v>33</v>
      </c>
      <c r="E167" s="2">
        <v>123</v>
      </c>
      <c r="F167" s="2" t="s">
        <v>42</v>
      </c>
      <c r="G167" s="2" t="s">
        <v>133</v>
      </c>
      <c r="H167" s="2">
        <v>32</v>
      </c>
      <c r="I167" s="3">
        <v>123</v>
      </c>
      <c r="J167" s="4">
        <v>11800000</v>
      </c>
      <c r="K167" s="5">
        <f t="shared" si="69"/>
        <v>124</v>
      </c>
      <c r="L167" s="9" t="n">
        <f>ROUND($J167*1.637*1,0)</f>
        <v>19316600</v>
      </c>
      <c r="M167" s="3">
        <f t="shared" si="70"/>
        <v>125</v>
      </c>
      <c r="N167" s="10" t="n">
        <f>ROUND($J167*1.637*1.75*1,0)</f>
        <v>33804050</v>
      </c>
      <c r="O167" s="5">
        <f t="shared" si="71"/>
        <v>127</v>
      </c>
      <c r="P167" s="9" t="n">
        <f>ROUND($J167*1.637*1.75*2.1*1,0)</f>
        <v>70988505</v>
      </c>
      <c r="Q167" s="3">
        <f t="shared" si="72"/>
        <v>129</v>
      </c>
      <c r="R167" s="10" t="n">
        <f>ROUND($J167*1.637*1.75*2.1*2.3*1.25,0)</f>
        <v>204091952</v>
      </c>
      <c r="S167" s="5">
        <f t="shared" si="73"/>
        <v>131</v>
      </c>
      <c r="T167" s="9" t="n">
        <f>ROUND($J167*1.637*1.75*2.1*2.3*2.6*1.25,0)</f>
        <v>530639075</v>
      </c>
      <c r="U167" s="3">
        <f t="shared" si="74"/>
        <v>134</v>
      </c>
      <c r="V167" s="10" t="n">
        <f>ROUND($J167*1.637*1.75*2.1*2.3*2.6*3.2*1.25,0)</f>
        <v>1698045040</v>
      </c>
      <c r="W167" s="5">
        <f t="shared" si="75"/>
        <v>138</v>
      </c>
      <c r="X167" s="9" t="n">
        <f>ROUND($J167*1.637*1.75*2.1*2.3*2.6*3.2*4.2*1.25,0)</f>
        <v>7131789166</v>
      </c>
      <c r="Y167" s="3">
        <f t="shared" si="76"/>
        <v>140</v>
      </c>
      <c r="Z167" s="10" t="n">
        <f>ROUND($J167*1.637*1.75*2.1*2.3*2.6*3.2*4.2*2.4*1.25,0)</f>
        <v>17116293999</v>
      </c>
      <c r="AA167" s="5">
        <f t="shared" si="77"/>
        <v>142</v>
      </c>
      <c r="AB167" s="9" t="n">
        <f>ROUND($J167*1.637*1.75*2.1*2.3*2.6*3.2*4.2*2.4*2.5*1.25,0)</f>
        <v>42790734998</v>
      </c>
      <c r="AC167" s="3">
        <f t="shared" si="78"/>
        <v>144</v>
      </c>
      <c r="AD167" s="10" t="n">
        <f>ROUND($J167*1.637*1.75*2.1*2.3*2.6*3.2*4.2*2.4*2.5*2.8*1.25,0)</f>
        <v>119814057994</v>
      </c>
      <c r="AE167" s="5">
        <f t="shared" si="79"/>
        <v>147</v>
      </c>
      <c r="AF167" s="9" t="n">
        <f>ROUND($J167*1.637*1.75*2.1*2.3*2.6*3.2*4.2*2.4*2.5*2.8*3.2*1.25,0)</f>
        <v>383404985581</v>
      </c>
      <c r="AG167" s="3">
        <f t="shared" si="80"/>
        <v>150</v>
      </c>
      <c r="AH167" s="10" t="n">
        <f>ROUND($J167*1.637*1.75*2.1*2.3*2.6*3.2*4.2*2.4*2.5*2.8*3.2*3.8*1.25,0)</f>
        <v>1456938945209</v>
      </c>
    </row>
    <row r="168" hidden="1">
      <c r="A168" s="2">
        <v>174</v>
      </c>
      <c r="B168" s="2" t="s">
        <v>284</v>
      </c>
      <c r="C168" s="2" t="s">
        <v>228</v>
      </c>
      <c r="D168" s="2" t="s">
        <v>102</v>
      </c>
      <c r="E168" s="2">
        <v>122</v>
      </c>
      <c r="F168" s="2" t="s">
        <v>34</v>
      </c>
      <c r="G168" s="2" t="s">
        <v>35</v>
      </c>
      <c r="H168" s="2">
        <v>30</v>
      </c>
      <c r="I168" s="3">
        <v>122</v>
      </c>
      <c r="J168" s="4">
        <v>4330000</v>
      </c>
      <c r="K168" s="5">
        <f t="shared" si="69"/>
        <v>123</v>
      </c>
      <c r="L168" s="9" t="n">
        <f>ROUND($J168*1.637*1,0)</f>
        <v>7088210</v>
      </c>
      <c r="M168" s="3">
        <f t="shared" si="70"/>
        <v>124</v>
      </c>
      <c r="N168" s="10" t="n">
        <f>ROUND($J168*1.637*1.75*1,0)</f>
        <v>12404368</v>
      </c>
      <c r="O168" s="5">
        <f t="shared" si="71"/>
        <v>126</v>
      </c>
      <c r="P168" s="9" t="n">
        <f>ROUND($J168*1.637*1.75*2.1*1,0)</f>
        <v>26049172</v>
      </c>
      <c r="Q168" s="3">
        <f t="shared" si="72"/>
        <v>128</v>
      </c>
      <c r="R168" s="10" t="n">
        <f>ROUND($J168*1.637*1.75*2.1*2.3*1,0)</f>
        <v>59913095</v>
      </c>
      <c r="S168" s="5">
        <f t="shared" si="73"/>
        <v>130</v>
      </c>
      <c r="T168" s="9" t="n">
        <f>ROUND($J168*1.637*1.75*2.1*2.3*2.6*1,0)</f>
        <v>155774047</v>
      </c>
      <c r="U168" s="3">
        <f t="shared" si="74"/>
        <v>133</v>
      </c>
      <c r="V168" s="10" t="n">
        <f>ROUND($J168*1.637*1.75*2.1*2.3*2.6*3.2*1,0)</f>
        <v>498476951</v>
      </c>
      <c r="W168" s="5">
        <f t="shared" si="75"/>
        <v>137</v>
      </c>
      <c r="X168" s="9" t="n">
        <f>ROUND($J168*1.637*1.75*2.1*2.3*2.6*3.2*4.2*1,0)</f>
        <v>2093603193</v>
      </c>
      <c r="Y168" s="3">
        <f t="shared" si="76"/>
        <v>139</v>
      </c>
      <c r="Z168" s="10" t="n">
        <f>ROUND($J168*1.637*1.75*2.1*2.3*2.6*3.2*4.2*2.4*1,0)</f>
        <v>5024647662</v>
      </c>
      <c r="AA168" s="5">
        <f t="shared" si="77"/>
        <v>141</v>
      </c>
      <c r="AB168" s="9" t="n">
        <f>ROUND($J168*1.637*1.75*2.1*2.3*2.6*3.2*4.2*2.4*2.5*1,0)</f>
        <v>12561619155</v>
      </c>
      <c r="AC168" s="3">
        <f t="shared" si="78"/>
        <v>143</v>
      </c>
      <c r="AD168" s="10" t="n">
        <f>ROUND($J168*1.637*1.75*2.1*2.3*2.6*3.2*4.2*2.4*2.5*2.8*1,0)</f>
        <v>35172533635</v>
      </c>
      <c r="AE168" s="5">
        <f t="shared" si="79"/>
        <v>146</v>
      </c>
      <c r="AF168" s="9" t="n">
        <f>ROUND($J168*1.637*1.75*2.1*2.3*2.6*3.2*4.2*2.4*2.5*2.8*3.2*1,0)</f>
        <v>112552107632</v>
      </c>
      <c r="AG168" s="3">
        <f t="shared" si="80"/>
        <v>149</v>
      </c>
      <c r="AH168" s="10" t="n">
        <f>ROUND($J168*1.637*1.75*2.1*2.3*2.6*3.2*4.2*2.4*2.5*2.8*3.2*3.8*1,0)</f>
        <v>427698009000</v>
      </c>
    </row>
    <row r="169" hidden="1">
      <c r="A169" s="2">
        <v>170</v>
      </c>
      <c r="B169" s="2" t="s">
        <v>285</v>
      </c>
      <c r="C169" s="2" t="s">
        <v>228</v>
      </c>
      <c r="D169" s="2" t="s">
        <v>45</v>
      </c>
      <c r="E169" s="2">
        <v>122</v>
      </c>
      <c r="F169" s="2" t="s">
        <v>54</v>
      </c>
      <c r="G169" s="2" t="s">
        <v>51</v>
      </c>
      <c r="H169" s="2">
        <v>31</v>
      </c>
      <c r="I169" s="3">
        <v>122</v>
      </c>
      <c r="J169" s="4">
        <v>4270000</v>
      </c>
      <c r="K169" s="5">
        <f t="shared" si="69"/>
        <v>123</v>
      </c>
      <c r="L169" s="9" t="n">
        <f>ROUND($J169*1.637*0.8,0)</f>
        <v>5591992</v>
      </c>
      <c r="M169" s="3">
        <f t="shared" si="70"/>
        <v>124</v>
      </c>
      <c r="N169" s="10" t="n">
        <f>ROUND($J169*1.637*1.75*0.8,0)</f>
        <v>9785986</v>
      </c>
      <c r="O169" s="5">
        <f t="shared" si="71"/>
        <v>126</v>
      </c>
      <c r="P169" s="9" t="n">
        <f>ROUND($J169*1.637*1.75*2.1*0.8,0)</f>
        <v>20550571</v>
      </c>
      <c r="Q169" s="3">
        <f t="shared" si="72"/>
        <v>128</v>
      </c>
      <c r="R169" s="10" t="n">
        <f>ROUND($J169*1.637*1.75*2.1*2.3*0.542035092435954,0)</f>
        <v>32025000</v>
      </c>
      <c r="S169" s="5">
        <f t="shared" si="73"/>
        <v>130</v>
      </c>
      <c r="T169" s="9" t="n">
        <f>ROUND($J169*1.637*1.75*2.1*2.3*2.6*0.544690061623969,0)</f>
        <v>83672844</v>
      </c>
      <c r="U169" s="3">
        <f t="shared" si="74"/>
        <v>133</v>
      </c>
      <c r="V169" s="10" t="n">
        <f>ROUND($J169*1.637*1.75*2.1*2.3*2.6*3.2*0.547345030811984,0)</f>
        <v>269058205</v>
      </c>
      <c r="W169" s="5">
        <f t="shared" si="75"/>
        <v>137</v>
      </c>
      <c r="X169" s="9" t="n">
        <f>ROUND($J169*1.637*1.75*2.1*2.3*2.6*3.2*4.2*0.55,0)</f>
        <v>1135525889</v>
      </c>
      <c r="Y169" s="3">
        <f t="shared" si="76"/>
        <v>139</v>
      </c>
      <c r="Z169" s="10" t="n">
        <f>ROUND($J169*1.637*1.75*2.1*2.3*2.6*3.2*4.2*2.4*0.55,0)</f>
        <v>2725262133</v>
      </c>
      <c r="AA169" s="5">
        <f t="shared" si="77"/>
        <v>141</v>
      </c>
      <c r="AB169" s="9" t="n">
        <f>ROUND($J169*1.637*1.75*2.1*2.3*2.6*3.2*4.2*2.4*2.5*0.55,0)</f>
        <v>6813155332</v>
      </c>
      <c r="AC169" s="3">
        <f t="shared" si="78"/>
        <v>143</v>
      </c>
      <c r="AD169" s="10" t="n">
        <f>ROUND($J169*1.637*1.75*2.1*2.3*2.6*3.2*4.2*2.4*2.5*2.8*0.55,0)</f>
        <v>19076834929</v>
      </c>
      <c r="AE169" s="5">
        <f t="shared" si="79"/>
        <v>146</v>
      </c>
      <c r="AF169" s="9" t="n">
        <f>ROUND($J169*1.637*1.75*2.1*2.3*2.6*3.2*4.2*2.4*2.5*2.8*3.2*0.55,0)</f>
        <v>61045871772</v>
      </c>
      <c r="AG169" s="3">
        <f t="shared" si="80"/>
        <v>149</v>
      </c>
      <c r="AH169" s="10" t="n">
        <f>ROUND($J169*1.637*1.75*2.1*2.3*2.6*3.2*4.2*2.4*2.5*2.8*3.2*3.8*0.55,0)</f>
        <v>231974312734</v>
      </c>
    </row>
    <row r="170" hidden="1">
      <c r="A170" s="2">
        <v>164</v>
      </c>
      <c r="B170" s="2" t="s">
        <v>286</v>
      </c>
      <c r="C170" s="2" t="s">
        <v>228</v>
      </c>
      <c r="D170" s="2" t="s">
        <v>102</v>
      </c>
      <c r="E170" s="2">
        <v>122</v>
      </c>
      <c r="F170" s="2" t="s">
        <v>54</v>
      </c>
      <c r="G170" s="2" t="s">
        <v>38</v>
      </c>
      <c r="H170" s="2">
        <v>31</v>
      </c>
      <c r="I170" s="3">
        <v>122</v>
      </c>
      <c r="J170" s="4">
        <v>4580000</v>
      </c>
      <c r="K170" s="5">
        <f t="shared" si="69"/>
        <v>123</v>
      </c>
      <c r="L170" s="9" t="n">
        <f>ROUND($J170*1.637*1,0)</f>
        <v>7497460</v>
      </c>
      <c r="M170" s="3">
        <f t="shared" si="70"/>
        <v>124</v>
      </c>
      <c r="N170" s="10" t="n">
        <f>ROUND($J170*1.637*1.75*1,0)</f>
        <v>13120555</v>
      </c>
      <c r="O170" s="5">
        <f t="shared" si="71"/>
        <v>126</v>
      </c>
      <c r="P170" s="9" t="n">
        <f>ROUND($J170*1.637*1.75*2.1*1,0)</f>
        <v>27553166</v>
      </c>
      <c r="Q170" s="3">
        <f t="shared" si="72"/>
        <v>128</v>
      </c>
      <c r="R170" s="10" t="n">
        <f>ROUND($J170*1.637*1.75*2.1*2.3*1,0)</f>
        <v>63372281</v>
      </c>
      <c r="S170" s="5">
        <f t="shared" si="73"/>
        <v>130</v>
      </c>
      <c r="T170" s="9" t="n">
        <f>ROUND($J170*1.637*1.75*2.1*2.3*2.6*1,0)</f>
        <v>164767930</v>
      </c>
      <c r="U170" s="3">
        <f t="shared" si="74"/>
        <v>133</v>
      </c>
      <c r="V170" s="10" t="n">
        <f>ROUND($J170*1.637*1.75*2.1*2.3*2.6*3.2*1,0)</f>
        <v>527257375</v>
      </c>
      <c r="W170" s="5">
        <f t="shared" si="75"/>
        <v>137</v>
      </c>
      <c r="X170" s="9" t="n">
        <f>ROUND($J170*1.637*1.75*2.1*2.3*2.6*3.2*4.2*1,0)</f>
        <v>2214480975</v>
      </c>
      <c r="Y170" s="3">
        <f t="shared" si="76"/>
        <v>139</v>
      </c>
      <c r="Z170" s="10" t="n">
        <f>ROUND($J170*1.637*1.75*2.1*2.3*2.6*3.2*4.2*2.4*1,0)</f>
        <v>5314754340</v>
      </c>
      <c r="AA170" s="5">
        <f t="shared" si="77"/>
        <v>141</v>
      </c>
      <c r="AB170" s="9" t="n">
        <f>ROUND($J170*1.637*1.75*2.1*2.3*2.6*3.2*4.2*2.4*2.5*1,0)</f>
        <v>13286885850</v>
      </c>
      <c r="AC170" s="3">
        <f t="shared" si="78"/>
        <v>143</v>
      </c>
      <c r="AD170" s="10" t="n">
        <f>ROUND($J170*1.637*1.75*2.1*2.3*2.6*3.2*4.2*2.4*2.5*2.8*1,0)</f>
        <v>37203280381</v>
      </c>
      <c r="AE170" s="5">
        <f t="shared" si="79"/>
        <v>146</v>
      </c>
      <c r="AF170" s="9" t="n">
        <f>ROUND($J170*1.637*1.75*2.1*2.3*2.6*3.2*4.2*2.4*2.5*2.8*3.2*1,0)</f>
        <v>119050497218</v>
      </c>
      <c r="AG170" s="3">
        <f t="shared" si="80"/>
        <v>149</v>
      </c>
      <c r="AH170" s="10" t="n">
        <f>ROUND($J170*1.637*1.75*2.1*2.3*2.6*3.2*4.2*2.4*2.5*2.8*3.2*3.8*1,0)</f>
        <v>452391889428</v>
      </c>
    </row>
    <row r="171" hidden="1">
      <c r="A171" s="2">
        <v>165</v>
      </c>
      <c r="B171" s="2" t="s">
        <v>287</v>
      </c>
      <c r="C171" s="2" t="s">
        <v>228</v>
      </c>
      <c r="D171" s="2" t="s">
        <v>33</v>
      </c>
      <c r="E171" s="2">
        <v>122</v>
      </c>
      <c r="F171" s="2" t="s">
        <v>30</v>
      </c>
      <c r="G171" s="2" t="s">
        <v>67</v>
      </c>
      <c r="H171" s="2">
        <v>31</v>
      </c>
      <c r="I171" s="3">
        <v>122</v>
      </c>
      <c r="J171" s="4">
        <v>4660000</v>
      </c>
      <c r="K171" s="5">
        <f t="shared" si="69"/>
        <v>123</v>
      </c>
      <c r="L171" s="9" t="n">
        <f>ROUND($J171*1.637*1,0)</f>
        <v>7628420</v>
      </c>
      <c r="M171" s="3">
        <f t="shared" si="70"/>
        <v>124</v>
      </c>
      <c r="N171" s="10" t="n">
        <f>ROUND($J171*1.637*1.75*1,0)</f>
        <v>13349735</v>
      </c>
      <c r="O171" s="5">
        <f t="shared" si="71"/>
        <v>126</v>
      </c>
      <c r="P171" s="9" t="n">
        <f>ROUND($J171*1.637*1.75*2.1*1,0)</f>
        <v>28034444</v>
      </c>
      <c r="Q171" s="3">
        <f t="shared" si="72"/>
        <v>128</v>
      </c>
      <c r="R171" s="10" t="n">
        <f>ROUND($J171*1.637*1.75*2.1*2.3*1,0)</f>
        <v>64479220</v>
      </c>
      <c r="S171" s="5">
        <f t="shared" si="73"/>
        <v>130</v>
      </c>
      <c r="T171" s="9" t="n">
        <f>ROUND($J171*1.637*1.75*2.1*2.3*2.6*1,0)</f>
        <v>167645972</v>
      </c>
      <c r="U171" s="3">
        <f t="shared" si="74"/>
        <v>133</v>
      </c>
      <c r="V171" s="10" t="n">
        <f>ROUND($J171*1.637*1.75*2.1*2.3*2.6*3.2*1,0)</f>
        <v>536467111</v>
      </c>
      <c r="W171" s="5">
        <f t="shared" si="75"/>
        <v>137</v>
      </c>
      <c r="X171" s="9" t="n">
        <f>ROUND($J171*1.637*1.75*2.1*2.3*2.6*3.2*4.2*1,0)</f>
        <v>2253161865</v>
      </c>
      <c r="Y171" s="3">
        <f t="shared" si="76"/>
        <v>139</v>
      </c>
      <c r="Z171" s="10" t="n">
        <f>ROUND($J171*1.637*1.75*2.1*2.3*2.6*3.2*4.2*2.4*1,0)</f>
        <v>5407588477</v>
      </c>
      <c r="AA171" s="5">
        <f t="shared" si="77"/>
        <v>141</v>
      </c>
      <c r="AB171" s="9" t="n">
        <f>ROUND($J171*1.637*1.75*2.1*2.3*2.6*3.2*4.2*2.4*2.5*1,0)</f>
        <v>13518971193</v>
      </c>
      <c r="AC171" s="3">
        <f t="shared" si="78"/>
        <v>143</v>
      </c>
      <c r="AD171" s="10" t="n">
        <f>ROUND($J171*1.637*1.75*2.1*2.3*2.6*3.2*4.2*2.4*2.5*2.8*1,0)</f>
        <v>37853119339</v>
      </c>
      <c r="AE171" s="5">
        <f t="shared" si="79"/>
        <v>146</v>
      </c>
      <c r="AF171" s="9" t="n">
        <f>ROUND($J171*1.637*1.75*2.1*2.3*2.6*3.2*4.2*2.4*2.5*2.8*3.2*1,0)</f>
        <v>121129981885</v>
      </c>
      <c r="AG171" s="3">
        <f t="shared" si="80"/>
        <v>149</v>
      </c>
      <c r="AH171" s="10" t="n">
        <f>ROUND($J171*1.637*1.75*2.1*2.3*2.6*3.2*4.2*2.4*2.5*2.8*3.2*3.8*1,0)</f>
        <v>460293931164</v>
      </c>
    </row>
    <row r="172" hidden="1">
      <c r="A172" s="2">
        <v>171</v>
      </c>
      <c r="B172" s="2" t="s">
        <v>288</v>
      </c>
      <c r="C172" s="2" t="s">
        <v>228</v>
      </c>
      <c r="D172" s="2" t="s">
        <v>102</v>
      </c>
      <c r="E172" s="2">
        <v>122</v>
      </c>
      <c r="F172" s="2" t="s">
        <v>30</v>
      </c>
      <c r="G172" s="2" t="s">
        <v>57</v>
      </c>
      <c r="H172" s="2">
        <v>31</v>
      </c>
      <c r="I172" s="3">
        <v>122</v>
      </c>
      <c r="J172" s="4">
        <v>4760000</v>
      </c>
      <c r="K172" s="5">
        <f t="shared" si="69"/>
        <v>123</v>
      </c>
      <c r="L172" s="9" t="n">
        <f>ROUND($J172*1.637*1,0)</f>
        <v>7792120</v>
      </c>
      <c r="M172" s="3">
        <f t="shared" si="70"/>
        <v>124</v>
      </c>
      <c r="N172" s="10" t="n">
        <f>ROUND($J172*1.637*1.75*1,0)</f>
        <v>13636210</v>
      </c>
      <c r="O172" s="5">
        <f t="shared" si="71"/>
        <v>126</v>
      </c>
      <c r="P172" s="9" t="n">
        <f>ROUND($J172*1.637*1.75*2.1*1,0)</f>
        <v>28636041</v>
      </c>
      <c r="Q172" s="3">
        <f t="shared" si="72"/>
        <v>128</v>
      </c>
      <c r="R172" s="10" t="n">
        <f>ROUND($J172*1.637*1.75*2.1*2.3*1.25,0)</f>
        <v>82328618</v>
      </c>
      <c r="S172" s="5">
        <f t="shared" si="73"/>
        <v>130</v>
      </c>
      <c r="T172" s="9" t="n">
        <f>ROUND($J172*1.637*1.75*2.1*2.3*2.6*1.25,0)</f>
        <v>214054406</v>
      </c>
      <c r="U172" s="3">
        <f t="shared" si="74"/>
        <v>133</v>
      </c>
      <c r="V172" s="10" t="n">
        <f>ROUND($J172*1.637*1.75*2.1*2.3*2.6*3.2*1.25,0)</f>
        <v>684974101</v>
      </c>
      <c r="W172" s="5">
        <f t="shared" si="75"/>
        <v>137</v>
      </c>
      <c r="X172" s="9" t="n">
        <f>ROUND($J172*1.637*1.75*2.1*2.3*2.6*3.2*4.2*1.25,0)</f>
        <v>2876891223</v>
      </c>
      <c r="Y172" s="3">
        <f t="shared" si="76"/>
        <v>139</v>
      </c>
      <c r="Z172" s="10" t="n">
        <f>ROUND($J172*1.637*1.75*2.1*2.3*2.6*3.2*4.2*2.4*1.25,0)</f>
        <v>6904538935</v>
      </c>
      <c r="AA172" s="5">
        <f t="shared" si="77"/>
        <v>141</v>
      </c>
      <c r="AB172" s="9" t="n">
        <f>ROUND($J172*1.637*1.75*2.1*2.3*2.6*3.2*4.2*2.4*2.5*1.25,0)</f>
        <v>17261347338</v>
      </c>
      <c r="AC172" s="3">
        <f t="shared" si="78"/>
        <v>143</v>
      </c>
      <c r="AD172" s="10" t="n">
        <f>ROUND($J172*1.637*1.75*2.1*2.3*2.6*3.2*4.2*2.4*2.5*2.8*1.25,0)</f>
        <v>48331772547</v>
      </c>
      <c r="AE172" s="5">
        <f t="shared" si="79"/>
        <v>146</v>
      </c>
      <c r="AF172" s="9" t="n">
        <f>ROUND($J172*1.637*1.75*2.1*2.3*2.6*3.2*4.2*2.4*2.5*2.8*3.2*1.25,0)</f>
        <v>154661672150</v>
      </c>
      <c r="AG172" s="3">
        <f t="shared" si="80"/>
        <v>149</v>
      </c>
      <c r="AH172" s="10" t="n">
        <f>ROUND($J172*1.637*1.75*2.1*2.3*2.6*3.2*4.2*2.4*2.5*2.8*3.2*3.8*1.25,0)</f>
        <v>587714354169</v>
      </c>
    </row>
    <row r="173" hidden="1">
      <c r="A173" s="2">
        <v>154</v>
      </c>
      <c r="B173" s="2" t="s">
        <v>289</v>
      </c>
      <c r="C173" s="2" t="s">
        <v>228</v>
      </c>
      <c r="D173" s="2" t="s">
        <v>40</v>
      </c>
      <c r="E173" s="2">
        <v>122</v>
      </c>
      <c r="F173" s="2" t="s">
        <v>34</v>
      </c>
      <c r="G173" s="2" t="s">
        <v>290</v>
      </c>
      <c r="H173" s="2">
        <v>32</v>
      </c>
      <c r="I173" s="3">
        <v>122</v>
      </c>
      <c r="J173" s="4">
        <v>4880000</v>
      </c>
      <c r="K173" s="5">
        <f t="shared" si="69"/>
        <v>123</v>
      </c>
      <c r="L173" s="9" t="n">
        <f>ROUND($J173*1.637*0.8,0)</f>
        <v>6390848</v>
      </c>
      <c r="M173" s="3">
        <f t="shared" si="70"/>
        <v>124</v>
      </c>
      <c r="N173" s="10" t="n">
        <f>ROUND($J173*1.637*1.75*0.8,0)</f>
        <v>11183984</v>
      </c>
      <c r="O173" s="5">
        <f t="shared" si="71"/>
        <v>126</v>
      </c>
      <c r="P173" s="9" t="n">
        <f>ROUND($J173*1.637*1.75*2.1*0.8,0)</f>
        <v>23486366</v>
      </c>
      <c r="Q173" s="3">
        <f t="shared" si="72"/>
        <v>128</v>
      </c>
      <c r="R173" s="10" t="n">
        <f>ROUND($J173*1.637*1.75*2.1*2.3*0.542035092435954,0)</f>
        <v>36600000</v>
      </c>
      <c r="S173" s="5">
        <f t="shared" si="73"/>
        <v>130</v>
      </c>
      <c r="T173" s="9" t="n">
        <f>ROUND($J173*1.637*1.75*2.1*2.3*2.6*0.544690061623969,0)</f>
        <v>95626108</v>
      </c>
      <c r="U173" s="3">
        <f t="shared" si="74"/>
        <v>133</v>
      </c>
      <c r="V173" s="10" t="n">
        <f>ROUND($J173*1.637*1.75*2.1*2.3*2.6*3.2*0.547345030811984,0)</f>
        <v>307495091</v>
      </c>
      <c r="W173" s="5">
        <f t="shared" si="75"/>
        <v>137</v>
      </c>
      <c r="X173" s="9" t="n">
        <f>ROUND($J173*1.637*1.75*2.1*2.3*2.6*3.2*4.2*0.55,0)</f>
        <v>1297743873</v>
      </c>
      <c r="Y173" s="3">
        <f t="shared" si="76"/>
        <v>139</v>
      </c>
      <c r="Z173" s="10" t="n">
        <f>ROUND($J173*1.637*1.75*2.1*2.3*2.6*3.2*4.2*2.4*0.55,0)</f>
        <v>3114585294</v>
      </c>
      <c r="AA173" s="5">
        <f t="shared" si="77"/>
        <v>141</v>
      </c>
      <c r="AB173" s="9" t="n">
        <f>ROUND($J173*1.637*1.75*2.1*2.3*2.6*3.2*4.2*2.4*2.5*0.55,0)</f>
        <v>7786463236</v>
      </c>
      <c r="AC173" s="3">
        <f t="shared" si="78"/>
        <v>143</v>
      </c>
      <c r="AD173" s="10" t="n">
        <f>ROUND($J173*1.637*1.75*2.1*2.3*2.6*3.2*4.2*2.4*2.5*2.8*0.55,0)</f>
        <v>21802097061</v>
      </c>
      <c r="AE173" s="5">
        <f t="shared" si="79"/>
        <v>146</v>
      </c>
      <c r="AF173" s="9" t="n">
        <f>ROUND($J173*1.637*1.75*2.1*2.3*2.6*3.2*4.2*2.4*2.5*2.8*3.2*0.55,0)</f>
        <v>69766710597</v>
      </c>
      <c r="AG173" s="3">
        <f t="shared" si="80"/>
        <v>149</v>
      </c>
      <c r="AH173" s="10" t="n">
        <f>ROUND($J173*1.637*1.75*2.1*2.3*2.6*3.2*4.2*2.4*2.5*2.8*3.2*3.8*0.55,0)</f>
        <v>265113500267</v>
      </c>
    </row>
    <row r="174" hidden="1">
      <c r="A174" s="2">
        <v>179</v>
      </c>
      <c r="B174" s="2" t="s">
        <v>291</v>
      </c>
      <c r="C174" s="2" t="s">
        <v>228</v>
      </c>
      <c r="D174" s="2" t="s">
        <v>33</v>
      </c>
      <c r="E174" s="2">
        <v>122</v>
      </c>
      <c r="F174" s="2" t="s">
        <v>54</v>
      </c>
      <c r="G174" s="2" t="s">
        <v>35</v>
      </c>
      <c r="H174" s="2">
        <v>30</v>
      </c>
      <c r="I174" s="3">
        <v>122</v>
      </c>
      <c r="J174" s="4">
        <v>4310000</v>
      </c>
      <c r="K174" s="5">
        <f t="shared" si="69"/>
        <v>123</v>
      </c>
      <c r="L174" s="9" t="n">
        <f>ROUND($J174*1.637*1,0)</f>
        <v>7055470</v>
      </c>
      <c r="M174" s="3">
        <f t="shared" si="70"/>
        <v>124</v>
      </c>
      <c r="N174" s="10" t="n">
        <f>ROUND($J174*1.637*1.75*1,0)</f>
        <v>12347073</v>
      </c>
      <c r="O174" s="5">
        <f t="shared" si="71"/>
        <v>126</v>
      </c>
      <c r="P174" s="9" t="n">
        <f>ROUND($J174*1.637*1.75*2.1*1,0)</f>
        <v>25928852</v>
      </c>
      <c r="Q174" s="3">
        <f t="shared" si="72"/>
        <v>128</v>
      </c>
      <c r="R174" s="10" t="n">
        <f>ROUND($J174*1.637*1.75*2.1*2.3*1.25,0)</f>
        <v>74545450</v>
      </c>
      <c r="S174" s="5">
        <f t="shared" si="73"/>
        <v>130</v>
      </c>
      <c r="T174" s="9" t="n">
        <f>ROUND($J174*1.637*1.75*2.1*2.3*2.6*1.25,0)</f>
        <v>193818171</v>
      </c>
      <c r="U174" s="3">
        <f t="shared" si="74"/>
        <v>133</v>
      </c>
      <c r="V174" s="10" t="n">
        <f>ROUND($J174*1.637*1.75*2.1*2.3*2.6*3.2*1.25,0)</f>
        <v>620218146</v>
      </c>
      <c r="W174" s="5">
        <f t="shared" si="75"/>
        <v>137</v>
      </c>
      <c r="X174" s="9" t="n">
        <f>ROUND($J174*1.637*1.75*2.1*2.3*2.6*3.2*4.2*1.25,0)</f>
        <v>2604916212</v>
      </c>
      <c r="Y174" s="3">
        <f t="shared" si="76"/>
        <v>139</v>
      </c>
      <c r="Z174" s="10" t="n">
        <f>ROUND($J174*1.637*1.75*2.1*2.3*2.6*3.2*4.2*2.4*1.25,0)</f>
        <v>6251798910</v>
      </c>
      <c r="AA174" s="5">
        <f t="shared" si="77"/>
        <v>141</v>
      </c>
      <c r="AB174" s="9" t="n">
        <f>ROUND($J174*1.637*1.75*2.1*2.3*2.6*3.2*4.2*2.4*2.5*1.25,0)</f>
        <v>15629497275</v>
      </c>
      <c r="AC174" s="3">
        <f t="shared" si="78"/>
        <v>143</v>
      </c>
      <c r="AD174" s="10" t="n">
        <f>ROUND($J174*1.637*1.75*2.1*2.3*2.6*3.2*4.2*2.4*2.5*2.8*1.25,0)</f>
        <v>43762592369</v>
      </c>
      <c r="AE174" s="5">
        <f t="shared" si="79"/>
        <v>146</v>
      </c>
      <c r="AF174" s="9" t="n">
        <f>ROUND($J174*1.637*1.75*2.1*2.3*2.6*3.2*4.2*2.4*2.5*2.8*3.2*1.25,0)</f>
        <v>140040295581</v>
      </c>
      <c r="AG174" s="3">
        <f t="shared" si="80"/>
        <v>149</v>
      </c>
      <c r="AH174" s="10" t="n">
        <f>ROUND($J174*1.637*1.75*2.1*2.3*2.6*3.2*4.2*2.4*2.5*2.8*3.2*3.8*1.25,0)</f>
        <v>532153123208</v>
      </c>
    </row>
    <row r="175" hidden="1">
      <c r="A175" s="2">
        <v>161</v>
      </c>
      <c r="B175" s="2" t="s">
        <v>292</v>
      </c>
      <c r="C175" s="2" t="s">
        <v>228</v>
      </c>
      <c r="D175" s="2" t="s">
        <v>45</v>
      </c>
      <c r="E175" s="2">
        <v>122</v>
      </c>
      <c r="F175" s="2" t="s">
        <v>26</v>
      </c>
      <c r="G175" s="2" t="s">
        <v>98</v>
      </c>
      <c r="H175" s="2">
        <v>31</v>
      </c>
      <c r="I175" s="3">
        <v>122</v>
      </c>
      <c r="J175" s="4">
        <v>4600000</v>
      </c>
      <c r="K175" s="5">
        <f t="shared" si="69"/>
        <v>123</v>
      </c>
      <c r="L175" s="9" t="n">
        <f>ROUND($J175*1.637*1,0)</f>
        <v>7530200</v>
      </c>
      <c r="M175" s="3">
        <f t="shared" si="70"/>
        <v>124</v>
      </c>
      <c r="N175" s="10" t="n">
        <f>ROUND($J175*1.637*1.75*1,0)</f>
        <v>13177850</v>
      </c>
      <c r="O175" s="5">
        <f t="shared" si="71"/>
        <v>126</v>
      </c>
      <c r="P175" s="9" t="n">
        <f>ROUND($J175*1.637*1.75*2.1*1,0)</f>
        <v>27673485</v>
      </c>
      <c r="Q175" s="3">
        <f t="shared" si="72"/>
        <v>128</v>
      </c>
      <c r="R175" s="10" t="n">
        <f>ROUND($J175*1.637*1.75*2.1*2.3*1,0)</f>
        <v>63649016</v>
      </c>
      <c r="S175" s="5">
        <f t="shared" si="73"/>
        <v>130</v>
      </c>
      <c r="T175" s="9" t="n">
        <f>ROUND($J175*1.637*1.75*2.1*2.3*2.6*1,0)</f>
        <v>165487440</v>
      </c>
      <c r="U175" s="3">
        <f t="shared" si="74"/>
        <v>133</v>
      </c>
      <c r="V175" s="10" t="n">
        <f>ROUND($J175*1.637*1.75*2.1*2.3*2.6*3.2*1,0)</f>
        <v>529559809</v>
      </c>
      <c r="W175" s="5">
        <f t="shared" si="75"/>
        <v>137</v>
      </c>
      <c r="X175" s="9" t="n">
        <f>ROUND($J175*1.637*1.75*2.1*2.3*2.6*3.2*4.2*1,0)</f>
        <v>2224151198</v>
      </c>
      <c r="Y175" s="3">
        <f t="shared" si="76"/>
        <v>139</v>
      </c>
      <c r="Z175" s="10" t="n">
        <f>ROUND($J175*1.637*1.75*2.1*2.3*2.6*3.2*4.2*2.4*1,0)</f>
        <v>5337962874</v>
      </c>
      <c r="AA175" s="5">
        <f t="shared" si="77"/>
        <v>141</v>
      </c>
      <c r="AB175" s="9" t="n">
        <f>ROUND($J175*1.637*1.75*2.1*2.3*2.6*3.2*4.2*2.4*2.5*1,0)</f>
        <v>13344907186</v>
      </c>
      <c r="AC175" s="3">
        <f t="shared" si="78"/>
        <v>143</v>
      </c>
      <c r="AD175" s="10" t="n">
        <f>ROUND($J175*1.637*1.75*2.1*2.3*2.6*3.2*4.2*2.4*2.5*2.8*1,0)</f>
        <v>37365740120</v>
      </c>
      <c r="AE175" s="5">
        <f t="shared" si="79"/>
        <v>146</v>
      </c>
      <c r="AF175" s="9" t="n">
        <f>ROUND($J175*1.637*1.75*2.1*2.3*2.6*3.2*4.2*2.4*2.5*2.8*3.2*1,0)</f>
        <v>119570368385</v>
      </c>
      <c r="AG175" s="3">
        <f t="shared" si="80"/>
        <v>149</v>
      </c>
      <c r="AH175" s="10" t="n">
        <f>ROUND($J175*1.637*1.75*2.1*2.3*2.6*3.2*4.2*2.4*2.5*2.8*3.2*3.8*1,0)</f>
        <v>454367399862</v>
      </c>
    </row>
    <row r="176" hidden="1">
      <c r="A176" s="2">
        <v>162</v>
      </c>
      <c r="B176" s="2" t="s">
        <v>293</v>
      </c>
      <c r="C176" s="2" t="s">
        <v>228</v>
      </c>
      <c r="D176" s="2" t="s">
        <v>33</v>
      </c>
      <c r="E176" s="2">
        <v>122</v>
      </c>
      <c r="F176" s="2" t="s">
        <v>71</v>
      </c>
      <c r="G176" s="2" t="s">
        <v>72</v>
      </c>
      <c r="H176" s="2">
        <v>31</v>
      </c>
      <c r="I176" s="3">
        <v>122</v>
      </c>
      <c r="J176" s="4">
        <v>4920000</v>
      </c>
      <c r="K176" s="5">
        <f t="shared" si="69"/>
        <v>123</v>
      </c>
      <c r="L176" s="9" t="n">
        <f>ROUND($J176*1.637*1,0)</f>
        <v>8054040</v>
      </c>
      <c r="M176" s="3">
        <f t="shared" si="70"/>
        <v>124</v>
      </c>
      <c r="N176" s="10" t="n">
        <f>ROUND($J176*1.637*1.75*1,0)</f>
        <v>14094570</v>
      </c>
      <c r="O176" s="5">
        <f t="shared" si="71"/>
        <v>126</v>
      </c>
      <c r="P176" s="9" t="n">
        <f>ROUND($J176*1.637*1.75*2.1*1,0)</f>
        <v>29598597</v>
      </c>
      <c r="Q176" s="3">
        <f t="shared" si="72"/>
        <v>128</v>
      </c>
      <c r="R176" s="10" t="n">
        <f>ROUND($J176*1.637*1.75*2.1*2.3*1,0)</f>
        <v>68076773</v>
      </c>
      <c r="S176" s="5">
        <f t="shared" si="73"/>
        <v>130</v>
      </c>
      <c r="T176" s="9" t="n">
        <f>ROUND($J176*1.637*1.75*2.1*2.3*2.6*1,0)</f>
        <v>176999610</v>
      </c>
      <c r="U176" s="3">
        <f t="shared" si="74"/>
        <v>133</v>
      </c>
      <c r="V176" s="10" t="n">
        <f>ROUND($J176*1.637*1.75*2.1*2.3*2.6*3.2*1,0)</f>
        <v>566398752</v>
      </c>
      <c r="W176" s="5">
        <f t="shared" si="75"/>
        <v>137</v>
      </c>
      <c r="X176" s="9" t="n">
        <f>ROUND($J176*1.637*1.75*2.1*2.3*2.6*3.2*4.2*1,0)</f>
        <v>2378874759</v>
      </c>
      <c r="Y176" s="3">
        <f t="shared" si="76"/>
        <v>139</v>
      </c>
      <c r="Z176" s="10" t="n">
        <f>ROUND($J176*1.637*1.75*2.1*2.3*2.6*3.2*4.2*2.4*1,0)</f>
        <v>5709299422</v>
      </c>
      <c r="AA176" s="5">
        <f t="shared" si="77"/>
        <v>141</v>
      </c>
      <c r="AB176" s="9" t="n">
        <f>ROUND($J176*1.637*1.75*2.1*2.3*2.6*3.2*4.2*2.4*2.5*1,0)</f>
        <v>14273248555</v>
      </c>
      <c r="AC176" s="3">
        <f t="shared" si="78"/>
        <v>143</v>
      </c>
      <c r="AD176" s="10" t="n">
        <f>ROUND($J176*1.637*1.75*2.1*2.3*2.6*3.2*4.2*2.4*2.5*2.8*1,0)</f>
        <v>39965095955</v>
      </c>
      <c r="AE176" s="5">
        <f t="shared" si="79"/>
        <v>146</v>
      </c>
      <c r="AF176" s="9" t="n">
        <f>ROUND($J176*1.637*1.75*2.1*2.3*2.6*3.2*4.2*2.4*2.5*2.8*3.2*1,0)</f>
        <v>127888307055</v>
      </c>
      <c r="AG176" s="3">
        <f t="shared" si="80"/>
        <v>149</v>
      </c>
      <c r="AH176" s="10" t="n">
        <f>ROUND($J176*1.637*1.75*2.1*2.3*2.6*3.2*4.2*2.4*2.5*2.8*3.2*3.8*1,0)</f>
        <v>485975566809</v>
      </c>
    </row>
    <row r="177" hidden="1">
      <c r="A177" s="2">
        <v>181</v>
      </c>
      <c r="B177" s="2" t="s">
        <v>294</v>
      </c>
      <c r="C177" s="2" t="s">
        <v>228</v>
      </c>
      <c r="D177" s="2" t="s">
        <v>64</v>
      </c>
      <c r="E177" s="2">
        <v>122</v>
      </c>
      <c r="F177" s="2" t="s">
        <v>54</v>
      </c>
      <c r="G177" s="2" t="s">
        <v>295</v>
      </c>
      <c r="H177" s="2">
        <v>30</v>
      </c>
      <c r="I177" s="3">
        <v>122</v>
      </c>
      <c r="J177" s="4">
        <v>4820000</v>
      </c>
      <c r="K177" s="5">
        <f t="shared" si="69"/>
        <v>123</v>
      </c>
      <c r="L177" s="9" t="n">
        <f>ROUND($J177*1.637*0.8,0)</f>
        <v>6312272</v>
      </c>
      <c r="M177" s="3">
        <f t="shared" si="70"/>
        <v>124</v>
      </c>
      <c r="N177" s="10" t="n">
        <f>ROUND($J177*1.637*1.75*0.8,0)</f>
        <v>11046476</v>
      </c>
      <c r="O177" s="5">
        <f t="shared" si="71"/>
        <v>126</v>
      </c>
      <c r="P177" s="9" t="n">
        <f>ROUND($J177*1.637*1.75*2.1*0.8,0)</f>
        <v>23197600</v>
      </c>
      <c r="Q177" s="3">
        <f t="shared" si="72"/>
        <v>128</v>
      </c>
      <c r="R177" s="10" t="n">
        <f>ROUND($J177*1.637*1.75*2.1*2.3*0.542035092435954,0)</f>
        <v>36150000</v>
      </c>
      <c r="S177" s="5">
        <f t="shared" si="73"/>
        <v>130</v>
      </c>
      <c r="T177" s="9" t="n">
        <f>ROUND($J177*1.637*1.75*2.1*2.3*2.6*0.544690061623969,0)</f>
        <v>94450377</v>
      </c>
      <c r="U177" s="3">
        <f t="shared" si="74"/>
        <v>133</v>
      </c>
      <c r="V177" s="10" t="n">
        <f>ROUND($J177*1.637*1.75*2.1*2.3*2.6*3.2*0.547345030811984,0)</f>
        <v>303714414</v>
      </c>
      <c r="W177" s="5">
        <f t="shared" si="75"/>
        <v>137</v>
      </c>
      <c r="X177" s="9" t="n">
        <f>ROUND($J177*1.637*1.75*2.1*2.3*2.6*3.2*4.2*0.55,0)</f>
        <v>1281788005</v>
      </c>
      <c r="Y177" s="3">
        <f t="shared" si="76"/>
        <v>139</v>
      </c>
      <c r="Z177" s="10" t="n">
        <f>ROUND($J177*1.637*1.75*2.1*2.3*2.6*3.2*4.2*2.4*0.55,0)</f>
        <v>3076291213</v>
      </c>
      <c r="AA177" s="5">
        <f t="shared" si="77"/>
        <v>141</v>
      </c>
      <c r="AB177" s="9" t="n">
        <f>ROUND($J177*1.637*1.75*2.1*2.3*2.6*3.2*4.2*2.4*2.5*0.55,0)</f>
        <v>7690728033</v>
      </c>
      <c r="AC177" s="3">
        <f t="shared" si="78"/>
        <v>143</v>
      </c>
      <c r="AD177" s="10" t="n">
        <f>ROUND($J177*1.637*1.75*2.1*2.3*2.6*3.2*4.2*2.4*2.5*2.8*0.55,0)</f>
        <v>21534038491</v>
      </c>
      <c r="AE177" s="5">
        <f t="shared" si="79"/>
        <v>146</v>
      </c>
      <c r="AF177" s="9" t="n">
        <f>ROUND($J177*1.637*1.75*2.1*2.3*2.6*3.2*4.2*2.4*2.5*2.8*3.2*0.55,0)</f>
        <v>68908923171</v>
      </c>
      <c r="AG177" s="3">
        <f t="shared" si="80"/>
        <v>149</v>
      </c>
      <c r="AH177" s="10" t="n">
        <f>ROUND($J177*1.637*1.75*2.1*2.3*2.6*3.2*4.2*2.4*2.5*2.8*3.2*3.8*0.55,0)</f>
        <v>261853908051</v>
      </c>
    </row>
    <row r="178" hidden="1">
      <c r="A178" s="2">
        <v>184</v>
      </c>
      <c r="B178" s="2" t="s">
        <v>296</v>
      </c>
      <c r="C178" s="2" t="s">
        <v>228</v>
      </c>
      <c r="D178" s="2" t="s">
        <v>47</v>
      </c>
      <c r="E178" s="2">
        <v>122</v>
      </c>
      <c r="F178" s="2" t="s">
        <v>62</v>
      </c>
      <c r="G178" s="2" t="s">
        <v>185</v>
      </c>
      <c r="H178" s="2">
        <v>29</v>
      </c>
      <c r="I178" s="3">
        <v>122</v>
      </c>
      <c r="J178" s="4">
        <v>4810000</v>
      </c>
      <c r="K178" s="5">
        <f t="shared" si="69"/>
        <v>123</v>
      </c>
      <c r="L178" s="9" t="n">
        <f>ROUND($J178*1.637*1,0)</f>
        <v>7873970</v>
      </c>
      <c r="M178" s="3">
        <f t="shared" si="70"/>
        <v>124</v>
      </c>
      <c r="N178" s="10" t="n">
        <f>ROUND($J178*1.637*1.75*1,0)</f>
        <v>13779448</v>
      </c>
      <c r="O178" s="5">
        <f t="shared" si="71"/>
        <v>126</v>
      </c>
      <c r="P178" s="9" t="n">
        <f>ROUND($J178*1.637*1.75*2.1*1,0)</f>
        <v>28936840</v>
      </c>
      <c r="Q178" s="3">
        <f t="shared" si="72"/>
        <v>128</v>
      </c>
      <c r="R178" s="10" t="n">
        <f>ROUND($J178*1.637*1.75*2.1*2.3*1,0)</f>
        <v>66554731</v>
      </c>
      <c r="S178" s="5">
        <f t="shared" si="73"/>
        <v>130</v>
      </c>
      <c r="T178" s="9" t="n">
        <f>ROUND($J178*1.637*1.75*2.1*2.3*2.6*1,0)</f>
        <v>173042302</v>
      </c>
      <c r="U178" s="3">
        <f t="shared" si="74"/>
        <v>133</v>
      </c>
      <c r="V178" s="10" t="n">
        <f>ROUND($J178*1.637*1.75*2.1*2.3*2.6*3.2*1,0)</f>
        <v>553735365</v>
      </c>
      <c r="W178" s="5">
        <f t="shared" si="75"/>
        <v>137</v>
      </c>
      <c r="X178" s="9" t="n">
        <f>ROUND($J178*1.637*1.75*2.1*2.3*2.6*3.2*4.2*1,0)</f>
        <v>2325688535</v>
      </c>
      <c r="Y178" s="3">
        <f t="shared" si="76"/>
        <v>139</v>
      </c>
      <c r="Z178" s="10" t="n">
        <f>ROUND($J178*1.637*1.75*2.1*2.3*2.6*3.2*4.2*2.4*1,0)</f>
        <v>5581652484</v>
      </c>
      <c r="AA178" s="5">
        <f t="shared" si="77"/>
        <v>141</v>
      </c>
      <c r="AB178" s="9" t="n">
        <f>ROUND($J178*1.637*1.75*2.1*2.3*2.6*3.2*4.2*2.4*2.5*1,0)</f>
        <v>13954131209</v>
      </c>
      <c r="AC178" s="3">
        <f t="shared" si="78"/>
        <v>143</v>
      </c>
      <c r="AD178" s="10" t="n">
        <f>ROUND($J178*1.637*1.75*2.1*2.3*2.6*3.2*4.2*2.4*2.5*2.8*1,0)</f>
        <v>39071567387</v>
      </c>
      <c r="AE178" s="5">
        <f t="shared" si="79"/>
        <v>146</v>
      </c>
      <c r="AF178" s="9" t="n">
        <f>ROUND($J178*1.637*1.75*2.1*2.3*2.6*3.2*4.2*2.4*2.5*2.8*3.2*1,0)</f>
        <v>125029015637</v>
      </c>
      <c r="AG178" s="3">
        <f t="shared" si="80"/>
        <v>149</v>
      </c>
      <c r="AH178" s="10" t="n">
        <f>ROUND($J178*1.637*1.75*2.1*2.3*2.6*3.2*4.2*2.4*2.5*2.8*3.2*3.8*1,0)</f>
        <v>475110259421</v>
      </c>
    </row>
    <row r="179" hidden="1">
      <c r="A179" s="2">
        <v>322</v>
      </c>
      <c r="B179" s="2" t="s">
        <v>297</v>
      </c>
      <c r="C179" s="2" t="s">
        <v>228</v>
      </c>
      <c r="D179" s="2" t="s">
        <v>47</v>
      </c>
      <c r="E179" s="2">
        <v>122</v>
      </c>
      <c r="F179" s="2" t="s">
        <v>298</v>
      </c>
      <c r="G179" s="2" t="s">
        <v>277</v>
      </c>
      <c r="H179" s="2">
        <v>28</v>
      </c>
      <c r="I179" s="3">
        <v>122</v>
      </c>
      <c r="J179" s="6">
        <v>4110000</v>
      </c>
      <c r="K179" s="5">
        <f t="shared" si="69"/>
        <v>123</v>
      </c>
      <c r="L179" s="9" t="n">
        <f>ROUND($J179*1.637*0.8,0)</f>
        <v>5382456</v>
      </c>
      <c r="M179" s="3">
        <f t="shared" si="70"/>
        <v>124</v>
      </c>
      <c r="N179" s="10" t="n">
        <f>ROUND($J179*1.637*1.75*0.8,0)</f>
        <v>9419298</v>
      </c>
      <c r="O179" s="5">
        <f t="shared" si="71"/>
        <v>126</v>
      </c>
      <c r="P179" s="9" t="n">
        <f>ROUND($J179*1.637*1.75*2.1*0.8,0)</f>
        <v>19780526</v>
      </c>
      <c r="Q179" s="3">
        <f t="shared" si="72"/>
        <v>128</v>
      </c>
      <c r="R179" s="10" t="n">
        <f>ROUND($J179*1.637*1.75*2.1*2.3*0.542035092435954,0)</f>
        <v>30825000</v>
      </c>
      <c r="S179" s="5">
        <f t="shared" si="73"/>
        <v>130</v>
      </c>
      <c r="T179" s="9" t="n">
        <f>ROUND($J179*1.637*1.75*2.1*2.3*2.6*0.544690061623969,0)</f>
        <v>80537562</v>
      </c>
      <c r="U179" s="3">
        <f t="shared" si="74"/>
        <v>133</v>
      </c>
      <c r="V179" s="10" t="n">
        <f>ROUND($J179*1.637*1.75*2.1*2.3*2.6*3.2*0.547345030811984,0)</f>
        <v>258976398</v>
      </c>
      <c r="W179" s="5">
        <f t="shared" si="75"/>
        <v>137</v>
      </c>
      <c r="X179" s="9" t="n">
        <f>ROUND($J179*1.637*1.75*2.1*2.3*2.6*3.2*4.2*0.55,0)</f>
        <v>1092976909</v>
      </c>
      <c r="Y179" s="3">
        <f t="shared" si="76"/>
        <v>139</v>
      </c>
      <c r="Z179" s="10" t="n">
        <f>ROUND($J179*1.637*1.75*2.1*2.3*2.6*3.2*4.2*2.4*0.55,0)</f>
        <v>2623144582</v>
      </c>
      <c r="AA179" s="5">
        <f t="shared" si="77"/>
        <v>141</v>
      </c>
      <c r="AB179" s="9" t="n">
        <f>ROUND($J179*1.637*1.75*2.1*2.3*2.6*3.2*4.2*2.4*2.5*0.55,0)</f>
        <v>6557861455</v>
      </c>
      <c r="AC179" s="3">
        <f t="shared" si="78"/>
        <v>143</v>
      </c>
      <c r="AD179" s="10" t="n">
        <f>ROUND($J179*1.637*1.75*2.1*2.3*2.6*3.2*4.2*2.4*2.5*2.8*0.55,0)</f>
        <v>18362012074</v>
      </c>
      <c r="AE179" s="5">
        <f t="shared" si="79"/>
        <v>146</v>
      </c>
      <c r="AF179" s="9" t="n">
        <f>ROUND($J179*1.637*1.75*2.1*2.3*2.6*3.2*4.2*2.4*2.5*2.8*3.2*0.55,0)</f>
        <v>58758438638</v>
      </c>
      <c r="AG179" s="3">
        <f t="shared" si="80"/>
        <v>149</v>
      </c>
      <c r="AH179" s="10" t="n">
        <f>ROUND($J179*1.637*1.75*2.1*2.3*2.6*3.2*4.2*2.4*2.5*2.8*3.2*3.8*0.55,0)</f>
        <v>223282066823</v>
      </c>
    </row>
    <row r="180" hidden="1">
      <c r="A180" s="2">
        <v>156</v>
      </c>
      <c r="B180" s="2" t="s">
        <v>299</v>
      </c>
      <c r="C180" s="2" t="s">
        <v>228</v>
      </c>
      <c r="D180" s="2" t="s">
        <v>102</v>
      </c>
      <c r="E180" s="2">
        <v>122</v>
      </c>
      <c r="F180" s="2" t="s">
        <v>298</v>
      </c>
      <c r="G180" s="2" t="s">
        <v>300</v>
      </c>
      <c r="H180" s="2">
        <v>32</v>
      </c>
      <c r="I180" s="3">
        <v>122</v>
      </c>
      <c r="J180" s="4">
        <v>4730000</v>
      </c>
      <c r="K180" s="5">
        <f t="shared" si="69"/>
        <v>123</v>
      </c>
      <c r="L180" s="9" t="n">
        <f>ROUND($J180*1.637*0.8,0)</f>
        <v>6194408</v>
      </c>
      <c r="M180" s="3">
        <f t="shared" si="70"/>
        <v>124</v>
      </c>
      <c r="N180" s="10" t="n">
        <f>ROUND($J180*1.637*1.75*0.8,0)</f>
        <v>10840214</v>
      </c>
      <c r="O180" s="5">
        <f t="shared" si="71"/>
        <v>126</v>
      </c>
      <c r="P180" s="9" t="n">
        <f>ROUND($J180*1.637*1.75*2.1*0.8,0)</f>
        <v>22764449</v>
      </c>
      <c r="Q180" s="3">
        <f t="shared" si="72"/>
        <v>128</v>
      </c>
      <c r="R180" s="10" t="n">
        <f>ROUND($J180*1.637*1.75*2.1*2.3*0.542035092435954,0)</f>
        <v>35475000</v>
      </c>
      <c r="S180" s="5">
        <f t="shared" si="73"/>
        <v>130</v>
      </c>
      <c r="T180" s="9" t="n">
        <f>ROUND($J180*1.637*1.75*2.1*2.3*2.6*0.544690061623969,0)</f>
        <v>92686781</v>
      </c>
      <c r="U180" s="3">
        <f t="shared" si="74"/>
        <v>133</v>
      </c>
      <c r="V180" s="10" t="n">
        <f>ROUND($J180*1.637*1.75*2.1*2.3*2.6*3.2*0.547345030811984,0)</f>
        <v>298043398</v>
      </c>
      <c r="W180" s="5">
        <f t="shared" si="75"/>
        <v>137</v>
      </c>
      <c r="X180" s="9" t="n">
        <f>ROUND($J180*1.637*1.75*2.1*2.3*2.6*3.2*4.2*0.55,0)</f>
        <v>1257854204</v>
      </c>
      <c r="Y180" s="3">
        <f t="shared" si="76"/>
        <v>139</v>
      </c>
      <c r="Z180" s="10" t="n">
        <f>ROUND($J180*1.637*1.75*2.1*2.3*2.6*3.2*4.2*2.4*0.55,0)</f>
        <v>3018850091</v>
      </c>
      <c r="AA180" s="5">
        <f t="shared" si="77"/>
        <v>141</v>
      </c>
      <c r="AB180" s="9" t="n">
        <f>ROUND($J180*1.637*1.75*2.1*2.3*2.6*3.2*4.2*2.4*2.5*0.55,0)</f>
        <v>7547125227</v>
      </c>
      <c r="AC180" s="3">
        <f t="shared" si="78"/>
        <v>143</v>
      </c>
      <c r="AD180" s="10" t="n">
        <f>ROUND($J180*1.637*1.75*2.1*2.3*2.6*3.2*4.2*2.4*2.5*2.8*0.55,0)</f>
        <v>21131950635</v>
      </c>
      <c r="AE180" s="5">
        <f t="shared" si="79"/>
        <v>146</v>
      </c>
      <c r="AF180" s="9" t="n">
        <f>ROUND($J180*1.637*1.75*2.1*2.3*2.6*3.2*4.2*2.4*2.5*2.8*3.2*0.55,0)</f>
        <v>67622242033</v>
      </c>
      <c r="AG180" s="3">
        <f t="shared" si="80"/>
        <v>149</v>
      </c>
      <c r="AH180" s="10" t="n">
        <f>ROUND($J180*1.637*1.75*2.1*2.3*2.6*3.2*4.2*2.4*2.5*2.8*3.2*3.8*0.55,0)</f>
        <v>256964519726</v>
      </c>
    </row>
    <row r="181" hidden="1">
      <c r="A181" s="2">
        <v>180</v>
      </c>
      <c r="B181" s="2" t="s">
        <v>301</v>
      </c>
      <c r="C181" s="2" t="s">
        <v>228</v>
      </c>
      <c r="D181" s="2" t="s">
        <v>165</v>
      </c>
      <c r="E181" s="2">
        <v>122</v>
      </c>
      <c r="F181" s="2" t="s">
        <v>71</v>
      </c>
      <c r="G181" s="2" t="s">
        <v>124</v>
      </c>
      <c r="H181" s="2">
        <v>30</v>
      </c>
      <c r="I181" s="3">
        <v>122</v>
      </c>
      <c r="J181" s="4">
        <v>3740000</v>
      </c>
      <c r="K181" s="5">
        <f t="shared" si="69"/>
        <v>123</v>
      </c>
      <c r="L181" s="9" t="n">
        <f>ROUND($J181*1.637*1,0)</f>
        <v>6122380</v>
      </c>
      <c r="M181" s="3">
        <f t="shared" si="70"/>
        <v>124</v>
      </c>
      <c r="N181" s="10" t="n">
        <f>ROUND($J181*1.637*1.75*1,0)</f>
        <v>10714165</v>
      </c>
      <c r="O181" s="5">
        <f t="shared" si="71"/>
        <v>126</v>
      </c>
      <c r="P181" s="9" t="n">
        <f>ROUND($J181*1.637*1.75*2.1*1,0)</f>
        <v>22499747</v>
      </c>
      <c r="Q181" s="3">
        <f t="shared" si="72"/>
        <v>128</v>
      </c>
      <c r="R181" s="10" t="n">
        <f>ROUND($J181*1.637*1.75*2.1*2.3*1,0)</f>
        <v>51749417</v>
      </c>
      <c r="S181" s="5">
        <f t="shared" si="73"/>
        <v>130</v>
      </c>
      <c r="T181" s="9" t="n">
        <f>ROUND($J181*1.637*1.75*2.1*2.3*2.6*1,0)</f>
        <v>134548484</v>
      </c>
      <c r="U181" s="3">
        <f t="shared" si="74"/>
        <v>133</v>
      </c>
      <c r="V181" s="10" t="n">
        <f>ROUND($J181*1.637*1.75*2.1*2.3*2.6*3.2*1,0)</f>
        <v>430555149</v>
      </c>
      <c r="W181" s="5">
        <f t="shared" si="75"/>
        <v>137</v>
      </c>
      <c r="X181" s="9" t="n">
        <f>ROUND($J181*1.637*1.75*2.1*2.3*2.6*3.2*4.2*1,0)</f>
        <v>1808331626</v>
      </c>
      <c r="Y181" s="3">
        <f t="shared" si="76"/>
        <v>139</v>
      </c>
      <c r="Z181" s="10" t="n">
        <f>ROUND($J181*1.637*1.75*2.1*2.3*2.6*3.2*4.2*2.4*1,0)</f>
        <v>4339995902</v>
      </c>
      <c r="AA181" s="5">
        <f t="shared" si="77"/>
        <v>141</v>
      </c>
      <c r="AB181" s="9" t="n">
        <f>ROUND($J181*1.637*1.75*2.1*2.3*2.6*3.2*4.2*2.4*2.5*1,0)</f>
        <v>10849989755</v>
      </c>
      <c r="AC181" s="3">
        <f t="shared" si="78"/>
        <v>143</v>
      </c>
      <c r="AD181" s="10" t="n">
        <f>ROUND($J181*1.637*1.75*2.1*2.3*2.6*3.2*4.2*2.4*2.5*2.8*1,0)</f>
        <v>30379971315</v>
      </c>
      <c r="AE181" s="5">
        <f t="shared" si="79"/>
        <v>146</v>
      </c>
      <c r="AF181" s="9" t="n">
        <f>ROUND($J181*1.637*1.75*2.1*2.3*2.6*3.2*4.2*2.4*2.5*2.8*3.2*1,0)</f>
        <v>97215908208</v>
      </c>
      <c r="AG181" s="3">
        <f t="shared" si="80"/>
        <v>149</v>
      </c>
      <c r="AH181" s="10" t="n">
        <f>ROUND($J181*1.637*1.75*2.1*2.3*2.6*3.2*4.2*2.4*2.5*2.8*3.2*3.8*1,0)</f>
        <v>369420451192</v>
      </c>
    </row>
    <row r="182" hidden="1">
      <c r="A182" s="2">
        <v>158</v>
      </c>
      <c r="B182" s="2" t="s">
        <v>302</v>
      </c>
      <c r="C182" s="2" t="s">
        <v>228</v>
      </c>
      <c r="D182" s="2" t="s">
        <v>25</v>
      </c>
      <c r="E182" s="2">
        <v>122</v>
      </c>
      <c r="F182" s="2" t="s">
        <v>303</v>
      </c>
      <c r="G182" s="2" t="s">
        <v>261</v>
      </c>
      <c r="H182" s="2">
        <v>31</v>
      </c>
      <c r="I182" s="3">
        <v>122</v>
      </c>
      <c r="J182" s="4">
        <v>4400000</v>
      </c>
      <c r="K182" s="5">
        <f t="shared" si="69"/>
        <v>123</v>
      </c>
      <c r="L182" s="9" t="n">
        <f>ROUND($J182*1.637*0.8,0)</f>
        <v>5762240</v>
      </c>
      <c r="M182" s="3">
        <f t="shared" si="70"/>
        <v>124</v>
      </c>
      <c r="N182" s="10" t="n">
        <f>ROUND($J182*1.637*1.75*0.8,0)</f>
        <v>10083920</v>
      </c>
      <c r="O182" s="5">
        <f t="shared" si="71"/>
        <v>126</v>
      </c>
      <c r="P182" s="9" t="n">
        <f>ROUND($J182*1.637*1.75*2.1*0.8,0)</f>
        <v>21176232</v>
      </c>
      <c r="Q182" s="3">
        <f t="shared" si="72"/>
        <v>128</v>
      </c>
      <c r="R182" s="10" t="n">
        <f>ROUND($J182*1.637*1.75*2.1*2.3*0.542035092435954,0)</f>
        <v>33000000</v>
      </c>
      <c r="S182" s="5">
        <f t="shared" si="73"/>
        <v>130</v>
      </c>
      <c r="T182" s="9" t="n">
        <f>ROUND($J182*1.637*1.75*2.1*2.3*2.6*0.544690061623969,0)</f>
        <v>86220261</v>
      </c>
      <c r="U182" s="3">
        <f t="shared" si="74"/>
        <v>133</v>
      </c>
      <c r="V182" s="10" t="n">
        <f>ROUND($J182*1.637*1.75*2.1*2.3*2.6*3.2*0.547345030811984,0)</f>
        <v>277249672</v>
      </c>
      <c r="W182" s="5">
        <f t="shared" si="75"/>
        <v>137</v>
      </c>
      <c r="X182" s="9" t="n">
        <f>ROUND($J182*1.637*1.75*2.1*2.3*2.6*3.2*4.2*0.55,0)</f>
        <v>1170096934</v>
      </c>
      <c r="Y182" s="3">
        <f t="shared" si="76"/>
        <v>139</v>
      </c>
      <c r="Z182" s="10" t="n">
        <f>ROUND($J182*1.637*1.75*2.1*2.3*2.6*3.2*4.2*2.4*0.55,0)</f>
        <v>2808232643</v>
      </c>
      <c r="AA182" s="5">
        <f t="shared" si="77"/>
        <v>141</v>
      </c>
      <c r="AB182" s="9" t="n">
        <f>ROUND($J182*1.637*1.75*2.1*2.3*2.6*3.2*4.2*2.4*2.5*0.55,0)</f>
        <v>7020581606</v>
      </c>
      <c r="AC182" s="3">
        <f t="shared" si="78"/>
        <v>143</v>
      </c>
      <c r="AD182" s="10" t="n">
        <f>ROUND($J182*1.637*1.75*2.1*2.3*2.6*3.2*4.2*2.4*2.5*2.8*0.55,0)</f>
        <v>19657628498</v>
      </c>
      <c r="AE182" s="5">
        <f t="shared" si="79"/>
        <v>146</v>
      </c>
      <c r="AF182" s="9" t="n">
        <f>ROUND($J182*1.637*1.75*2.1*2.3*2.6*3.2*4.2*2.4*2.5*2.8*3.2*0.55,0)</f>
        <v>62904411194</v>
      </c>
      <c r="AG182" s="3">
        <f t="shared" si="80"/>
        <v>149</v>
      </c>
      <c r="AH182" s="10" t="n">
        <f>ROUND($J182*1.637*1.75*2.1*2.3*2.6*3.2*4.2*2.4*2.5*2.8*3.2*3.8*0.55,0)</f>
        <v>239036762536</v>
      </c>
    </row>
    <row r="183" hidden="1">
      <c r="A183" s="2">
        <v>153</v>
      </c>
      <c r="B183" s="2" t="s">
        <v>304</v>
      </c>
      <c r="C183" s="2" t="s">
        <v>228</v>
      </c>
      <c r="D183" s="2" t="s">
        <v>29</v>
      </c>
      <c r="E183" s="2">
        <v>122</v>
      </c>
      <c r="F183" s="2" t="s">
        <v>26</v>
      </c>
      <c r="G183" s="2" t="s">
        <v>206</v>
      </c>
      <c r="H183" s="2">
        <v>32</v>
      </c>
      <c r="I183" s="3">
        <v>122</v>
      </c>
      <c r="J183" s="4">
        <v>4180000</v>
      </c>
      <c r="K183" s="5">
        <f t="shared" si="69"/>
        <v>123</v>
      </c>
      <c r="L183" s="9" t="n">
        <f>ROUND($J183*1.637*1,0)</f>
        <v>6842660</v>
      </c>
      <c r="M183" s="3">
        <f t="shared" si="70"/>
        <v>124</v>
      </c>
      <c r="N183" s="10" t="n">
        <f>ROUND($J183*1.637*1.75*1,0)</f>
        <v>11974655</v>
      </c>
      <c r="O183" s="5">
        <f t="shared" si="71"/>
        <v>126</v>
      </c>
      <c r="P183" s="9" t="n">
        <f>ROUND($J183*1.637*1.75*2.1*1,0)</f>
        <v>25146776</v>
      </c>
      <c r="Q183" s="3">
        <f t="shared" si="72"/>
        <v>128</v>
      </c>
      <c r="R183" s="10" t="n">
        <f>ROUND($J183*1.637*1.75*2.1*2.3*1,0)</f>
        <v>57837584</v>
      </c>
      <c r="S183" s="5">
        <f t="shared" si="73"/>
        <v>130</v>
      </c>
      <c r="T183" s="9" t="n">
        <f>ROUND($J183*1.637*1.75*2.1*2.3*2.6*1,0)</f>
        <v>150377717</v>
      </c>
      <c r="U183" s="3">
        <f t="shared" si="74"/>
        <v>133</v>
      </c>
      <c r="V183" s="10" t="n">
        <f>ROUND($J183*1.637*1.75*2.1*2.3*2.6*3.2*1,0)</f>
        <v>481208696</v>
      </c>
      <c r="W183" s="5">
        <f t="shared" si="75"/>
        <v>137</v>
      </c>
      <c r="X183" s="9" t="n">
        <f>ROUND($J183*1.637*1.75*2.1*2.3*2.6*3.2*4.2*1,0)</f>
        <v>2021076523</v>
      </c>
      <c r="Y183" s="3">
        <f t="shared" si="76"/>
        <v>139</v>
      </c>
      <c r="Z183" s="10" t="n">
        <f>ROUND($J183*1.637*1.75*2.1*2.3*2.6*3.2*4.2*2.4*1,0)</f>
        <v>4850583655</v>
      </c>
      <c r="AA183" s="5">
        <f t="shared" si="77"/>
        <v>141</v>
      </c>
      <c r="AB183" s="9" t="n">
        <f>ROUND($J183*1.637*1.75*2.1*2.3*2.6*3.2*4.2*2.4*2.5*1,0)</f>
        <v>12126459138</v>
      </c>
      <c r="AC183" s="3">
        <f t="shared" si="78"/>
        <v>143</v>
      </c>
      <c r="AD183" s="10" t="n">
        <f>ROUND($J183*1.637*1.75*2.1*2.3*2.6*3.2*4.2*2.4*2.5*2.8*1,0)</f>
        <v>33954085588</v>
      </c>
      <c r="AE183" s="5">
        <f t="shared" si="79"/>
        <v>146</v>
      </c>
      <c r="AF183" s="9" t="n">
        <f>ROUND($J183*1.637*1.75*2.1*2.3*2.6*3.2*4.2*2.4*2.5*2.8*3.2*1,0)</f>
        <v>108653073880</v>
      </c>
      <c r="AG183" s="3">
        <f t="shared" si="80"/>
        <v>149</v>
      </c>
      <c r="AH183" s="10" t="n">
        <f>ROUND($J183*1.637*1.75*2.1*2.3*2.6*3.2*4.2*2.4*2.5*2.8*3.2*3.8*1,0)</f>
        <v>412881680744</v>
      </c>
    </row>
    <row r="184" hidden="1">
      <c r="A184" s="2">
        <v>169</v>
      </c>
      <c r="B184" s="2" t="s">
        <v>305</v>
      </c>
      <c r="C184" s="2" t="s">
        <v>228</v>
      </c>
      <c r="D184" s="2" t="s">
        <v>33</v>
      </c>
      <c r="E184" s="2">
        <v>122</v>
      </c>
      <c r="F184" s="2" t="s">
        <v>34</v>
      </c>
      <c r="G184" s="2" t="s">
        <v>35</v>
      </c>
      <c r="H184" s="2">
        <v>31</v>
      </c>
      <c r="I184" s="3">
        <v>122</v>
      </c>
      <c r="J184" s="4">
        <v>4750000</v>
      </c>
      <c r="K184" s="5">
        <f t="shared" si="69"/>
        <v>123</v>
      </c>
      <c r="L184" s="9" t="n">
        <f>ROUND($J184*1.637*1,0)</f>
        <v>7775750</v>
      </c>
      <c r="M184" s="3">
        <f t="shared" si="70"/>
        <v>124</v>
      </c>
      <c r="N184" s="10" t="n">
        <f>ROUND($J184*1.637*1.75*1,0)</f>
        <v>13607563</v>
      </c>
      <c r="O184" s="5">
        <f t="shared" si="71"/>
        <v>126</v>
      </c>
      <c r="P184" s="9" t="n">
        <f>ROUND($J184*1.637*1.75*2.1*1,0)</f>
        <v>28575881</v>
      </c>
      <c r="Q184" s="3">
        <f t="shared" si="72"/>
        <v>128</v>
      </c>
      <c r="R184" s="10" t="n">
        <f>ROUND($J184*1.637*1.75*2.1*2.3*1,0)</f>
        <v>65724527</v>
      </c>
      <c r="S184" s="5">
        <f t="shared" si="73"/>
        <v>130</v>
      </c>
      <c r="T184" s="9" t="n">
        <f>ROUND($J184*1.637*1.75*2.1*2.3*2.6*1,0)</f>
        <v>170883770</v>
      </c>
      <c r="U184" s="3">
        <f t="shared" si="74"/>
        <v>133</v>
      </c>
      <c r="V184" s="10" t="n">
        <f>ROUND($J184*1.637*1.75*2.1*2.3*2.6*3.2*1,0)</f>
        <v>546828064</v>
      </c>
      <c r="W184" s="5">
        <f t="shared" si="75"/>
        <v>137</v>
      </c>
      <c r="X184" s="9" t="n">
        <f>ROUND($J184*1.637*1.75*2.1*2.3*2.6*3.2*4.2*1,0)</f>
        <v>2296677867</v>
      </c>
      <c r="Y184" s="3">
        <f t="shared" si="76"/>
        <v>139</v>
      </c>
      <c r="Z184" s="10" t="n">
        <f>ROUND($J184*1.637*1.75*2.1*2.3*2.6*3.2*4.2*2.4*1,0)</f>
        <v>5512026881</v>
      </c>
      <c r="AA184" s="5">
        <f t="shared" si="77"/>
        <v>141</v>
      </c>
      <c r="AB184" s="9" t="n">
        <f>ROUND($J184*1.637*1.75*2.1*2.3*2.6*3.2*4.2*2.4*2.5*1,0)</f>
        <v>13780067203</v>
      </c>
      <c r="AC184" s="3">
        <f t="shared" si="78"/>
        <v>143</v>
      </c>
      <c r="AD184" s="10" t="n">
        <f>ROUND($J184*1.637*1.75*2.1*2.3*2.6*3.2*4.2*2.4*2.5*2.8*1,0)</f>
        <v>38584188168</v>
      </c>
      <c r="AE184" s="5">
        <f t="shared" si="79"/>
        <v>146</v>
      </c>
      <c r="AF184" s="9" t="n">
        <f>ROUND($J184*1.637*1.75*2.1*2.3*2.6*3.2*4.2*2.4*2.5*2.8*3.2*1,0)</f>
        <v>123469402136</v>
      </c>
      <c r="AG184" s="3">
        <f t="shared" si="80"/>
        <v>149</v>
      </c>
      <c r="AH184" s="10" t="n">
        <f>ROUND($J184*1.637*1.75*2.1*2.3*2.6*3.2*4.2*2.4*2.5*2.8*3.2*3.8*1,0)</f>
        <v>469183728118</v>
      </c>
    </row>
    <row r="185" hidden="1">
      <c r="A185" s="2">
        <v>159</v>
      </c>
      <c r="B185" s="2" t="s">
        <v>306</v>
      </c>
      <c r="C185" s="2" t="s">
        <v>228</v>
      </c>
      <c r="D185" s="2" t="s">
        <v>90</v>
      </c>
      <c r="E185" s="2">
        <v>122</v>
      </c>
      <c r="F185" s="2" t="s">
        <v>42</v>
      </c>
      <c r="G185" s="2" t="s">
        <v>95</v>
      </c>
      <c r="H185" s="2">
        <v>31</v>
      </c>
      <c r="I185" s="3">
        <v>122</v>
      </c>
      <c r="J185" s="4">
        <v>3680000</v>
      </c>
      <c r="K185" s="5">
        <f t="shared" si="69"/>
        <v>123</v>
      </c>
      <c r="L185" s="9" t="n">
        <f>ROUND($J185*1.637*1,0)</f>
        <v>6024160</v>
      </c>
      <c r="M185" s="3">
        <f t="shared" si="70"/>
        <v>124</v>
      </c>
      <c r="N185" s="10" t="n">
        <f>ROUND($J185*1.637*1.75*1,0)</f>
        <v>10542280</v>
      </c>
      <c r="O185" s="5">
        <f t="shared" si="71"/>
        <v>126</v>
      </c>
      <c r="P185" s="9" t="n">
        <f>ROUND($J185*1.637*1.75*2.1*1,0)</f>
        <v>22138788</v>
      </c>
      <c r="Q185" s="3">
        <f t="shared" si="72"/>
        <v>128</v>
      </c>
      <c r="R185" s="10" t="n">
        <f>ROUND($J185*1.637*1.75*2.1*2.3*1,0)</f>
        <v>50919212</v>
      </c>
      <c r="S185" s="5">
        <f t="shared" si="73"/>
        <v>130</v>
      </c>
      <c r="T185" s="9" t="n">
        <f>ROUND($J185*1.637*1.75*2.1*2.3*2.6*1,0)</f>
        <v>132389952</v>
      </c>
      <c r="U185" s="3">
        <f t="shared" si="74"/>
        <v>133</v>
      </c>
      <c r="V185" s="10" t="n">
        <f>ROUND($J185*1.637*1.75*2.1*2.3*2.6*3.2*1,0)</f>
        <v>423647847</v>
      </c>
      <c r="W185" s="5">
        <f t="shared" si="75"/>
        <v>137</v>
      </c>
      <c r="X185" s="9" t="n">
        <f>ROUND($J185*1.637*1.75*2.1*2.3*2.6*3.2*4.2*1,0)</f>
        <v>1779320958</v>
      </c>
      <c r="Y185" s="3">
        <f t="shared" si="76"/>
        <v>139</v>
      </c>
      <c r="Z185" s="10" t="n">
        <f>ROUND($J185*1.637*1.75*2.1*2.3*2.6*3.2*4.2*2.4*1,0)</f>
        <v>4270370299</v>
      </c>
      <c r="AA185" s="5">
        <f t="shared" si="77"/>
        <v>141</v>
      </c>
      <c r="AB185" s="9" t="n">
        <f>ROUND($J185*1.637*1.75*2.1*2.3*2.6*3.2*4.2*2.4*2.5*1,0)</f>
        <v>10675925749</v>
      </c>
      <c r="AC185" s="3">
        <f t="shared" si="78"/>
        <v>143</v>
      </c>
      <c r="AD185" s="10" t="n">
        <f>ROUND($J185*1.637*1.75*2.1*2.3*2.6*3.2*4.2*2.4*2.5*2.8*1,0)</f>
        <v>29892592096</v>
      </c>
      <c r="AE185" s="5">
        <f t="shared" si="79"/>
        <v>146</v>
      </c>
      <c r="AF185" s="9" t="n">
        <f>ROUND($J185*1.637*1.75*2.1*2.3*2.6*3.2*4.2*2.4*2.5*2.8*3.2*1,0)</f>
        <v>95656294708</v>
      </c>
      <c r="AG185" s="3">
        <f t="shared" si="80"/>
        <v>149</v>
      </c>
      <c r="AH185" s="10" t="n">
        <f>ROUND($J185*1.637*1.75*2.1*2.3*2.6*3.2*4.2*2.4*2.5*2.8*3.2*3.8*1,0)</f>
        <v>363493919889</v>
      </c>
    </row>
    <row r="186" hidden="1">
      <c r="A186" s="2">
        <v>182</v>
      </c>
      <c r="B186" s="2" t="s">
        <v>307</v>
      </c>
      <c r="C186" s="2" t="s">
        <v>228</v>
      </c>
      <c r="D186" s="2" t="s">
        <v>47</v>
      </c>
      <c r="E186" s="2">
        <v>122</v>
      </c>
      <c r="F186" s="2" t="s">
        <v>71</v>
      </c>
      <c r="G186" s="2" t="s">
        <v>72</v>
      </c>
      <c r="H186" s="2">
        <v>29</v>
      </c>
      <c r="I186" s="3">
        <v>122</v>
      </c>
      <c r="J186" s="4">
        <v>4530000</v>
      </c>
      <c r="K186" s="5">
        <f t="shared" si="69"/>
        <v>123</v>
      </c>
      <c r="L186" s="9" t="n">
        <f>ROUND($J186*1.637*0.8,0)</f>
        <v>5932488</v>
      </c>
      <c r="M186" s="3">
        <f t="shared" si="70"/>
        <v>124</v>
      </c>
      <c r="N186" s="10" t="n">
        <f>ROUND($J186*1.637*1.75*0.8,0)</f>
        <v>10381854</v>
      </c>
      <c r="O186" s="5">
        <f t="shared" si="71"/>
        <v>126</v>
      </c>
      <c r="P186" s="9" t="n">
        <f>ROUND($J186*1.637*1.75*2.1*0.8,0)</f>
        <v>21801893</v>
      </c>
      <c r="Q186" s="3">
        <f t="shared" si="72"/>
        <v>128</v>
      </c>
      <c r="R186" s="10" t="n">
        <f>ROUND($J186*1.637*1.75*2.1*2.3*0.542035092435954,0)</f>
        <v>33975000</v>
      </c>
      <c r="S186" s="5">
        <f t="shared" si="73"/>
        <v>130</v>
      </c>
      <c r="T186" s="9" t="n">
        <f>ROUND($J186*1.637*1.75*2.1*2.3*2.6*0.544690061623969,0)</f>
        <v>88767678</v>
      </c>
      <c r="U186" s="3">
        <f t="shared" si="74"/>
        <v>133</v>
      </c>
      <c r="V186" s="10" t="n">
        <f>ROUND($J186*1.637*1.75*2.1*2.3*2.6*3.2*0.547345030811984,0)</f>
        <v>285441140</v>
      </c>
      <c r="W186" s="5">
        <f t="shared" si="75"/>
        <v>137</v>
      </c>
      <c r="X186" s="9" t="n">
        <f>ROUND($J186*1.637*1.75*2.1*2.3*2.6*3.2*4.2*0.55,0)</f>
        <v>1204667980</v>
      </c>
      <c r="Y186" s="3">
        <f t="shared" si="76"/>
        <v>139</v>
      </c>
      <c r="Z186" s="10" t="n">
        <f>ROUND($J186*1.637*1.75*2.1*2.3*2.6*3.2*4.2*2.4*0.55,0)</f>
        <v>2891203152</v>
      </c>
      <c r="AA186" s="5">
        <f t="shared" si="77"/>
        <v>141</v>
      </c>
      <c r="AB186" s="9" t="n">
        <f>ROUND($J186*1.637*1.75*2.1*2.3*2.6*3.2*4.2*2.4*2.5*0.55,0)</f>
        <v>7228007881</v>
      </c>
      <c r="AC186" s="3">
        <f t="shared" si="78"/>
        <v>143</v>
      </c>
      <c r="AD186" s="10" t="n">
        <f>ROUND($J186*1.637*1.75*2.1*2.3*2.6*3.2*4.2*2.4*2.5*2.8*0.55,0)</f>
        <v>20238422067</v>
      </c>
      <c r="AE186" s="5">
        <f t="shared" si="79"/>
        <v>146</v>
      </c>
      <c r="AF186" s="9" t="n">
        <f>ROUND($J186*1.637*1.75*2.1*2.3*2.6*3.2*4.2*2.4*2.5*2.8*3.2*0.55,0)</f>
        <v>64762950615</v>
      </c>
      <c r="AG186" s="3">
        <f t="shared" si="80"/>
        <v>149</v>
      </c>
      <c r="AH186" s="10" t="n">
        <f>ROUND($J186*1.637*1.75*2.1*2.3*2.6*3.2*4.2*2.4*2.5*2.8*3.2*3.8*0.55,0)</f>
        <v>246099212338</v>
      </c>
    </row>
    <row r="187" hidden="1">
      <c r="A187" s="2">
        <v>163</v>
      </c>
      <c r="B187" s="2" t="s">
        <v>308</v>
      </c>
      <c r="C187" s="2" t="s">
        <v>228</v>
      </c>
      <c r="D187" s="2" t="s">
        <v>29</v>
      </c>
      <c r="E187" s="2">
        <v>122</v>
      </c>
      <c r="F187" s="2" t="s">
        <v>59</v>
      </c>
      <c r="G187" s="2" t="s">
        <v>252</v>
      </c>
      <c r="H187" s="2">
        <v>31</v>
      </c>
      <c r="I187" s="3">
        <v>122</v>
      </c>
      <c r="J187" s="4">
        <v>4850000</v>
      </c>
      <c r="K187" s="5">
        <f t="shared" si="69"/>
        <v>123</v>
      </c>
      <c r="L187" s="9" t="n">
        <f>ROUND($J187*1.637*1,0)</f>
        <v>7939450</v>
      </c>
      <c r="M187" s="3">
        <f t="shared" si="70"/>
        <v>124</v>
      </c>
      <c r="N187" s="10" t="n">
        <f>ROUND($J187*1.637*1.75*1,0)</f>
        <v>13894038</v>
      </c>
      <c r="O187" s="5">
        <f t="shared" si="71"/>
        <v>126</v>
      </c>
      <c r="P187" s="9" t="n">
        <f>ROUND($J187*1.637*1.75*2.1*1,0)</f>
        <v>29177479</v>
      </c>
      <c r="Q187" s="3">
        <f t="shared" si="72"/>
        <v>128</v>
      </c>
      <c r="R187" s="10" t="n">
        <f>ROUND($J187*1.637*1.75*2.1*2.3*1,0)</f>
        <v>67108201</v>
      </c>
      <c r="S187" s="5">
        <f t="shared" si="73"/>
        <v>130</v>
      </c>
      <c r="T187" s="9" t="n">
        <f>ROUND($J187*1.637*1.75*2.1*2.3*2.6*1,0)</f>
        <v>174481323</v>
      </c>
      <c r="U187" s="3">
        <f t="shared" si="74"/>
        <v>133</v>
      </c>
      <c r="V187" s="10" t="n">
        <f>ROUND($J187*1.637*1.75*2.1*2.3*2.6*3.2*1,0)</f>
        <v>558340233</v>
      </c>
      <c r="W187" s="5">
        <f t="shared" si="75"/>
        <v>137</v>
      </c>
      <c r="X187" s="9" t="n">
        <f>ROUND($J187*1.637*1.75*2.1*2.3*2.6*3.2*4.2*1,0)</f>
        <v>2345028980</v>
      </c>
      <c r="Y187" s="3">
        <f t="shared" si="76"/>
        <v>139</v>
      </c>
      <c r="Z187" s="10" t="n">
        <f>ROUND($J187*1.637*1.75*2.1*2.3*2.6*3.2*4.2*2.4*1,0)</f>
        <v>5628069552</v>
      </c>
      <c r="AA187" s="5">
        <f t="shared" si="77"/>
        <v>141</v>
      </c>
      <c r="AB187" s="9" t="n">
        <f>ROUND($J187*1.637*1.75*2.1*2.3*2.6*3.2*4.2*2.4*2.5*1,0)</f>
        <v>14070173881</v>
      </c>
      <c r="AC187" s="3">
        <f t="shared" si="78"/>
        <v>143</v>
      </c>
      <c r="AD187" s="10" t="n">
        <f>ROUND($J187*1.637*1.75*2.1*2.3*2.6*3.2*4.2*2.4*2.5*2.8*1,0)</f>
        <v>39396486866</v>
      </c>
      <c r="AE187" s="5">
        <f t="shared" si="79"/>
        <v>146</v>
      </c>
      <c r="AF187" s="9" t="n">
        <f>ROUND($J187*1.637*1.75*2.1*2.3*2.6*3.2*4.2*2.4*2.5*2.8*3.2*1,0)</f>
        <v>126068757971</v>
      </c>
      <c r="AG187" s="3">
        <f t="shared" si="80"/>
        <v>149</v>
      </c>
      <c r="AH187" s="10" t="n">
        <f>ROUND($J187*1.637*1.75*2.1*2.3*2.6*3.2*4.2*2.4*2.5*2.8*3.2*3.8*1,0)</f>
        <v>479061280289</v>
      </c>
    </row>
    <row r="188" hidden="1">
      <c r="A188" s="2">
        <v>152</v>
      </c>
      <c r="B188" s="2" t="s">
        <v>309</v>
      </c>
      <c r="C188" s="2" t="s">
        <v>228</v>
      </c>
      <c r="D188" s="2" t="s">
        <v>79</v>
      </c>
      <c r="E188" s="2">
        <v>122</v>
      </c>
      <c r="F188" s="2" t="s">
        <v>310</v>
      </c>
      <c r="G188" s="2" t="s">
        <v>43</v>
      </c>
      <c r="H188" s="2">
        <v>32</v>
      </c>
      <c r="I188" s="3">
        <v>122</v>
      </c>
      <c r="J188" s="4">
        <v>3680000</v>
      </c>
      <c r="K188" s="5">
        <f t="shared" si="69"/>
        <v>123</v>
      </c>
      <c r="L188" s="9" t="n">
        <f>ROUND($J188*1.637*0.8,0)</f>
        <v>4819328</v>
      </c>
      <c r="M188" s="3">
        <f t="shared" si="70"/>
        <v>124</v>
      </c>
      <c r="N188" s="10" t="n">
        <f>ROUND($J188*1.637*1.75*0.8,0)</f>
        <v>8433824</v>
      </c>
      <c r="O188" s="5">
        <f t="shared" si="71"/>
        <v>126</v>
      </c>
      <c r="P188" s="9" t="n">
        <f>ROUND($J188*1.637*1.75*2.1*0.8,0)</f>
        <v>17711030</v>
      </c>
      <c r="Q188" s="3">
        <f t="shared" si="72"/>
        <v>128</v>
      </c>
      <c r="R188" s="10" t="n">
        <f>ROUND($J188*1.637*1.75*2.1*2.3*0.542035092435954,0)</f>
        <v>27600000</v>
      </c>
      <c r="S188" s="5">
        <f t="shared" si="73"/>
        <v>130</v>
      </c>
      <c r="T188" s="9" t="n">
        <f>ROUND($J188*1.637*1.75*2.1*2.3*2.6*0.544690061623969,0)</f>
        <v>72111491</v>
      </c>
      <c r="U188" s="3">
        <f t="shared" si="74"/>
        <v>133</v>
      </c>
      <c r="V188" s="10" t="n">
        <f>ROUND($J188*1.637*1.75*2.1*2.3*2.6*3.2*0.547345030811984,0)</f>
        <v>231881544</v>
      </c>
      <c r="W188" s="5">
        <f t="shared" si="75"/>
        <v>137</v>
      </c>
      <c r="X188" s="9" t="n">
        <f>ROUND($J188*1.637*1.75*2.1*2.3*2.6*3.2*4.2*0.55,0)</f>
        <v>978626527</v>
      </c>
      <c r="Y188" s="3">
        <f t="shared" si="76"/>
        <v>139</v>
      </c>
      <c r="Z188" s="10" t="n">
        <f>ROUND($J188*1.637*1.75*2.1*2.3*2.6*3.2*4.2*2.4*0.55,0)</f>
        <v>2348703665</v>
      </c>
      <c r="AA188" s="5">
        <f t="shared" si="77"/>
        <v>141</v>
      </c>
      <c r="AB188" s="9" t="n">
        <f>ROUND($J188*1.637*1.75*2.1*2.3*2.6*3.2*4.2*2.4*2.5*0.55,0)</f>
        <v>5871759162</v>
      </c>
      <c r="AC188" s="3">
        <f t="shared" si="78"/>
        <v>143</v>
      </c>
      <c r="AD188" s="10" t="n">
        <f>ROUND($J188*1.637*1.75*2.1*2.3*2.6*3.2*4.2*2.4*2.5*2.8*0.55,0)</f>
        <v>16440925653</v>
      </c>
      <c r="AE188" s="5">
        <f t="shared" si="79"/>
        <v>146</v>
      </c>
      <c r="AF188" s="9" t="n">
        <f>ROUND($J188*1.637*1.75*2.1*2.3*2.6*3.2*4.2*2.4*2.5*2.8*3.2*0.55,0)</f>
        <v>52610962089</v>
      </c>
      <c r="AG188" s="3">
        <f t="shared" si="80"/>
        <v>149</v>
      </c>
      <c r="AH188" s="10" t="n">
        <f>ROUND($J188*1.637*1.75*2.1*2.3*2.6*3.2*4.2*2.4*2.5*2.8*3.2*3.8*0.55,0)</f>
        <v>199921655939</v>
      </c>
    </row>
    <row r="189" hidden="1">
      <c r="A189" s="2">
        <v>168</v>
      </c>
      <c r="B189" s="2" t="s">
        <v>311</v>
      </c>
      <c r="C189" s="2" t="s">
        <v>228</v>
      </c>
      <c r="D189" s="2" t="s">
        <v>102</v>
      </c>
      <c r="E189" s="2">
        <v>122</v>
      </c>
      <c r="F189" s="2" t="s">
        <v>62</v>
      </c>
      <c r="G189" s="2" t="s">
        <v>67</v>
      </c>
      <c r="H189" s="2">
        <v>31</v>
      </c>
      <c r="I189" s="3">
        <v>122</v>
      </c>
      <c r="J189" s="4">
        <v>3780000</v>
      </c>
      <c r="K189" s="5">
        <f t="shared" si="69"/>
        <v>123</v>
      </c>
      <c r="L189" s="9" t="n">
        <f>ROUND($J189*1.637*1,0)</f>
        <v>6187860</v>
      </c>
      <c r="M189" s="3">
        <f t="shared" si="70"/>
        <v>124</v>
      </c>
      <c r="N189" s="10" t="n">
        <f>ROUND($J189*1.637*1.75*1,0)</f>
        <v>10828755</v>
      </c>
      <c r="O189" s="5">
        <f t="shared" si="71"/>
        <v>126</v>
      </c>
      <c r="P189" s="9" t="n">
        <f>ROUND($J189*1.637*1.75*2.1*1,0)</f>
        <v>22740386</v>
      </c>
      <c r="Q189" s="3">
        <f t="shared" si="72"/>
        <v>128</v>
      </c>
      <c r="R189" s="10" t="n">
        <f>ROUND($J189*1.637*1.75*2.1*2.3*1,0)</f>
        <v>52302887</v>
      </c>
      <c r="S189" s="5">
        <f t="shared" si="73"/>
        <v>130</v>
      </c>
      <c r="T189" s="9" t="n">
        <f>ROUND($J189*1.637*1.75*2.1*2.3*2.6*1,0)</f>
        <v>135987505</v>
      </c>
      <c r="U189" s="3">
        <f t="shared" si="74"/>
        <v>133</v>
      </c>
      <c r="V189" s="10" t="n">
        <f>ROUND($J189*1.637*1.75*2.1*2.3*2.6*3.2*1,0)</f>
        <v>435160017</v>
      </c>
      <c r="W189" s="5">
        <f t="shared" si="75"/>
        <v>137</v>
      </c>
      <c r="X189" s="9" t="n">
        <f>ROUND($J189*1.637*1.75*2.1*2.3*2.6*3.2*4.2*1,0)</f>
        <v>1827672071</v>
      </c>
      <c r="Y189" s="3">
        <f t="shared" si="76"/>
        <v>139</v>
      </c>
      <c r="Z189" s="10" t="n">
        <f>ROUND($J189*1.637*1.75*2.1*2.3*2.6*3.2*4.2*2.4*1,0)</f>
        <v>4386412971</v>
      </c>
      <c r="AA189" s="5">
        <f t="shared" si="77"/>
        <v>141</v>
      </c>
      <c r="AB189" s="9" t="n">
        <f>ROUND($J189*1.637*1.75*2.1*2.3*2.6*3.2*4.2*2.4*2.5*1,0)</f>
        <v>10966032427</v>
      </c>
      <c r="AC189" s="3">
        <f t="shared" si="78"/>
        <v>143</v>
      </c>
      <c r="AD189" s="10" t="n">
        <f>ROUND($J189*1.637*1.75*2.1*2.3*2.6*3.2*4.2*2.4*2.5*2.8*1,0)</f>
        <v>30704890794</v>
      </c>
      <c r="AE189" s="5">
        <f t="shared" si="79"/>
        <v>146</v>
      </c>
      <c r="AF189" s="9" t="n">
        <f>ROUND($J189*1.637*1.75*2.1*2.3*2.6*3.2*4.2*2.4*2.5*2.8*3.2*1,0)</f>
        <v>98255650542</v>
      </c>
      <c r="AG189" s="3">
        <f t="shared" si="80"/>
        <v>149</v>
      </c>
      <c r="AH189" s="10" t="n">
        <f>ROUND($J189*1.637*1.75*2.1*2.3*2.6*3.2*4.2*2.4*2.5*2.8*3.2*3.8*1,0)</f>
        <v>373371472060</v>
      </c>
    </row>
    <row r="190" hidden="1">
      <c r="A190" s="2">
        <v>175</v>
      </c>
      <c r="B190" s="2" t="s">
        <v>312</v>
      </c>
      <c r="C190" s="2" t="s">
        <v>228</v>
      </c>
      <c r="D190" s="2" t="s">
        <v>45</v>
      </c>
      <c r="E190" s="2">
        <v>122</v>
      </c>
      <c r="F190" s="2" t="s">
        <v>313</v>
      </c>
      <c r="G190" s="2" t="s">
        <v>295</v>
      </c>
      <c r="H190" s="2">
        <v>30</v>
      </c>
      <c r="I190" s="3">
        <v>122</v>
      </c>
      <c r="J190" s="4">
        <v>4490000</v>
      </c>
      <c r="K190" s="5">
        <f t="shared" si="69"/>
        <v>123</v>
      </c>
      <c r="L190" s="9" t="n">
        <f t="shared" ref="L190:L195" si="84">ROUND($J190*1.637*0.8,0)</f>
        <v>5880104</v>
      </c>
      <c r="M190" s="3">
        <f t="shared" si="70"/>
        <v>124</v>
      </c>
      <c r="N190" s="10" t="n">
        <f t="shared" ref="N190:N195" si="85">ROUND($J190*1.637*1.75*0.8,0)</f>
        <v>10290182</v>
      </c>
      <c r="O190" s="5">
        <f t="shared" si="71"/>
        <v>126</v>
      </c>
      <c r="P190" s="9" t="n">
        <f t="shared" ref="P190:P195" si="86">ROUND($J190*1.637*1.75*2.1*0.8,0)</f>
        <v>21609382</v>
      </c>
      <c r="Q190" s="3">
        <f t="shared" si="72"/>
        <v>128</v>
      </c>
      <c r="R190" s="10" t="n">
        <f t="shared" ref="R190:R195" si="87">ROUND($J190*1.637*1.75*2.1*2.3*0.542035092435954,0)</f>
        <v>33675000</v>
      </c>
      <c r="S190" s="5">
        <f t="shared" si="73"/>
        <v>130</v>
      </c>
      <c r="T190" s="9" t="n">
        <f t="shared" ref="T190:T195" si="88">ROUND($J190*1.637*1.75*2.1*2.3*2.6*0.544690061623969,0)</f>
        <v>87983858</v>
      </c>
      <c r="U190" s="3">
        <f t="shared" si="74"/>
        <v>133</v>
      </c>
      <c r="V190" s="10" t="n">
        <f t="shared" ref="V190:V195" si="89">ROUND($J190*1.637*1.75*2.1*2.3*2.6*3.2*0.547345030811984,0)</f>
        <v>282920688</v>
      </c>
      <c r="W190" s="5">
        <f t="shared" si="75"/>
        <v>137</v>
      </c>
      <c r="X190" s="9" t="n">
        <f t="shared" ref="X190:X195" si="90">ROUND($J190*1.637*1.75*2.1*2.3*2.6*3.2*4.2*0.55,0)</f>
        <v>1194030735</v>
      </c>
      <c r="Y190" s="3">
        <f t="shared" si="76"/>
        <v>139</v>
      </c>
      <c r="Z190" s="10" t="n">
        <f t="shared" ref="Z190:Z195" si="91">ROUND($J190*1.637*1.75*2.1*2.3*2.6*3.2*4.2*2.4*0.55,0)</f>
        <v>2865673765</v>
      </c>
      <c r="AA190" s="5">
        <f t="shared" si="77"/>
        <v>141</v>
      </c>
      <c r="AB190" s="9" t="n">
        <f t="shared" ref="AB190:AB195" si="92">ROUND($J190*1.637*1.75*2.1*2.3*2.6*3.2*4.2*2.4*2.5*0.55,0)</f>
        <v>7164184412</v>
      </c>
      <c r="AC190" s="3">
        <f t="shared" si="78"/>
        <v>143</v>
      </c>
      <c r="AD190" s="10" t="n">
        <f t="shared" ref="AD190:AD195" si="93">ROUND($J190*1.637*1.75*2.1*2.3*2.6*3.2*4.2*2.4*2.5*2.8*0.55,0)</f>
        <v>20059716354</v>
      </c>
      <c r="AE190" s="5">
        <f t="shared" si="79"/>
        <v>146</v>
      </c>
      <c r="AF190" s="9" t="n">
        <f t="shared" ref="AF190:AF195" si="94">ROUND($J190*1.637*1.75*2.1*2.3*2.6*3.2*4.2*2.4*2.5*2.8*3.2*0.55,0)</f>
        <v>64191092332</v>
      </c>
      <c r="AG190" s="3">
        <f t="shared" si="80"/>
        <v>149</v>
      </c>
      <c r="AH190" s="10" t="n">
        <f t="shared" ref="AH190:AH195" si="95">ROUND($J190*1.637*1.75*2.1*2.3*2.6*3.2*4.2*2.4*2.5*2.8*3.2*3.8*0.55,0)</f>
        <v>243926150861</v>
      </c>
    </row>
    <row r="191" hidden="1">
      <c r="A191" s="2">
        <v>177</v>
      </c>
      <c r="B191" s="2" t="s">
        <v>314</v>
      </c>
      <c r="C191" s="2" t="s">
        <v>228</v>
      </c>
      <c r="D191" s="2" t="s">
        <v>33</v>
      </c>
      <c r="E191" s="2">
        <v>122</v>
      </c>
      <c r="F191" s="2" t="s">
        <v>54</v>
      </c>
      <c r="G191" s="2" t="s">
        <v>295</v>
      </c>
      <c r="H191" s="2">
        <v>30</v>
      </c>
      <c r="I191" s="3">
        <v>122</v>
      </c>
      <c r="J191" s="4">
        <v>4020000</v>
      </c>
      <c r="K191" s="5">
        <f t="shared" si="69"/>
        <v>123</v>
      </c>
      <c r="L191" s="9">
        <f t="shared" si="84"/>
        <v>5264592</v>
      </c>
      <c r="M191" s="3">
        <f t="shared" si="70"/>
        <v>124</v>
      </c>
      <c r="N191" s="10">
        <f t="shared" si="85"/>
        <v>9213036</v>
      </c>
      <c r="O191" s="5">
        <f t="shared" si="71"/>
        <v>126</v>
      </c>
      <c r="P191" s="9">
        <f t="shared" si="86"/>
        <v>19347376</v>
      </c>
      <c r="Q191" s="3">
        <f t="shared" si="72"/>
        <v>128</v>
      </c>
      <c r="R191" s="10">
        <f t="shared" si="87"/>
        <v>30150000</v>
      </c>
      <c r="S191" s="5">
        <f t="shared" si="73"/>
        <v>130</v>
      </c>
      <c r="T191" s="9">
        <f t="shared" si="88"/>
        <v>78773966</v>
      </c>
      <c r="U191" s="3">
        <f t="shared" si="74"/>
        <v>133</v>
      </c>
      <c r="V191" s="10">
        <f t="shared" si="89"/>
        <v>253305382</v>
      </c>
      <c r="W191" s="5">
        <f t="shared" si="75"/>
        <v>137</v>
      </c>
      <c r="X191" s="9">
        <f t="shared" si="90"/>
        <v>1069043108</v>
      </c>
      <c r="Y191" s="3">
        <f t="shared" si="76"/>
        <v>139</v>
      </c>
      <c r="Z191" s="10">
        <f t="shared" si="91"/>
        <v>2565703460</v>
      </c>
      <c r="AA191" s="5">
        <f t="shared" si="77"/>
        <v>141</v>
      </c>
      <c r="AB191" s="9">
        <f t="shared" si="92"/>
        <v>6414258650</v>
      </c>
      <c r="AC191" s="3">
        <f t="shared" si="78"/>
        <v>143</v>
      </c>
      <c r="AD191" s="10">
        <f t="shared" si="93"/>
        <v>17959924219</v>
      </c>
      <c r="AE191" s="5">
        <f t="shared" si="79"/>
        <v>146</v>
      </c>
      <c r="AF191" s="9">
        <f t="shared" si="94"/>
        <v>57471757500</v>
      </c>
      <c r="AG191" s="3">
        <f t="shared" si="80"/>
        <v>149</v>
      </c>
      <c r="AH191" s="10">
        <f t="shared" si="95"/>
        <v>218392678499</v>
      </c>
    </row>
    <row r="192" hidden="1">
      <c r="A192" s="2">
        <v>185</v>
      </c>
      <c r="B192" s="2" t="s">
        <v>315</v>
      </c>
      <c r="C192" s="2" t="s">
        <v>228</v>
      </c>
      <c r="D192" s="2" t="s">
        <v>241</v>
      </c>
      <c r="E192" s="2">
        <v>122</v>
      </c>
      <c r="F192" s="2" t="s">
        <v>54</v>
      </c>
      <c r="G192" s="2" t="s">
        <v>295</v>
      </c>
      <c r="H192" s="2">
        <v>29</v>
      </c>
      <c r="I192" s="3">
        <v>122</v>
      </c>
      <c r="J192" s="4">
        <v>4590000</v>
      </c>
      <c r="K192" s="5">
        <f t="shared" si="69"/>
        <v>123</v>
      </c>
      <c r="L192" s="9">
        <f t="shared" si="84"/>
        <v>6011064</v>
      </c>
      <c r="M192" s="3">
        <f t="shared" si="70"/>
        <v>124</v>
      </c>
      <c r="N192" s="10">
        <f t="shared" si="85"/>
        <v>10519362</v>
      </c>
      <c r="O192" s="5">
        <f t="shared" si="71"/>
        <v>126</v>
      </c>
      <c r="P192" s="9">
        <f t="shared" si="86"/>
        <v>22090660</v>
      </c>
      <c r="Q192" s="3">
        <f t="shared" si="72"/>
        <v>128</v>
      </c>
      <c r="R192" s="10">
        <f t="shared" si="87"/>
        <v>34425000</v>
      </c>
      <c r="S192" s="5">
        <f t="shared" si="73"/>
        <v>130</v>
      </c>
      <c r="T192" s="9">
        <f t="shared" si="88"/>
        <v>89943409</v>
      </c>
      <c r="U192" s="3">
        <f t="shared" si="74"/>
        <v>133</v>
      </c>
      <c r="V192" s="10">
        <f t="shared" si="89"/>
        <v>289221817</v>
      </c>
      <c r="W192" s="5">
        <f t="shared" si="75"/>
        <v>137</v>
      </c>
      <c r="X192" s="9">
        <f t="shared" si="90"/>
        <v>1220623847</v>
      </c>
      <c r="Y192" s="3">
        <f t="shared" si="76"/>
        <v>139</v>
      </c>
      <c r="Z192" s="10">
        <f t="shared" si="91"/>
        <v>2929497234</v>
      </c>
      <c r="AA192" s="5">
        <f t="shared" si="77"/>
        <v>141</v>
      </c>
      <c r="AB192" s="9">
        <f t="shared" si="92"/>
        <v>7323743085</v>
      </c>
      <c r="AC192" s="3">
        <f t="shared" si="78"/>
        <v>143</v>
      </c>
      <c r="AD192" s="10">
        <f t="shared" si="93"/>
        <v>20506480638</v>
      </c>
      <c r="AE192" s="5">
        <f t="shared" si="79"/>
        <v>146</v>
      </c>
      <c r="AF192" s="9">
        <f t="shared" si="94"/>
        <v>65620738041</v>
      </c>
      <c r="AG192" s="3">
        <f t="shared" si="80"/>
        <v>149</v>
      </c>
      <c r="AH192" s="10">
        <f t="shared" si="95"/>
        <v>249358804555</v>
      </c>
    </row>
    <row r="193" hidden="1">
      <c r="A193" s="2">
        <v>183</v>
      </c>
      <c r="B193" s="2" t="s">
        <v>316</v>
      </c>
      <c r="C193" s="2" t="s">
        <v>228</v>
      </c>
      <c r="D193" s="2" t="s">
        <v>75</v>
      </c>
      <c r="E193" s="2">
        <v>122</v>
      </c>
      <c r="F193" s="2" t="s">
        <v>30</v>
      </c>
      <c r="G193" s="2" t="s">
        <v>261</v>
      </c>
      <c r="H193" s="2">
        <v>29</v>
      </c>
      <c r="I193" s="3">
        <v>122</v>
      </c>
      <c r="J193" s="4">
        <v>4430000</v>
      </c>
      <c r="K193" s="5">
        <f t="shared" si="69"/>
        <v>123</v>
      </c>
      <c r="L193" s="9">
        <f t="shared" si="84"/>
        <v>5801528</v>
      </c>
      <c r="M193" s="3">
        <f t="shared" si="70"/>
        <v>124</v>
      </c>
      <c r="N193" s="10">
        <f t="shared" si="85"/>
        <v>10152674</v>
      </c>
      <c r="O193" s="5">
        <f t="shared" si="71"/>
        <v>126</v>
      </c>
      <c r="P193" s="9">
        <f t="shared" si="86"/>
        <v>21320615</v>
      </c>
      <c r="Q193" s="3">
        <f t="shared" si="72"/>
        <v>128</v>
      </c>
      <c r="R193" s="10">
        <f t="shared" si="87"/>
        <v>33225000</v>
      </c>
      <c r="S193" s="5">
        <f t="shared" si="73"/>
        <v>130</v>
      </c>
      <c r="T193" s="9">
        <f t="shared" si="88"/>
        <v>86808127</v>
      </c>
      <c r="U193" s="3">
        <f t="shared" si="74"/>
        <v>133</v>
      </c>
      <c r="V193" s="10">
        <f t="shared" si="89"/>
        <v>279140011</v>
      </c>
      <c r="W193" s="5">
        <f t="shared" si="75"/>
        <v>137</v>
      </c>
      <c r="X193" s="9">
        <f t="shared" si="90"/>
        <v>1178074868</v>
      </c>
      <c r="Y193" s="3">
        <f t="shared" si="76"/>
        <v>139</v>
      </c>
      <c r="Z193" s="10">
        <f t="shared" si="91"/>
        <v>2827379683</v>
      </c>
      <c r="AA193" s="5">
        <f t="shared" si="77"/>
        <v>141</v>
      </c>
      <c r="AB193" s="9">
        <f t="shared" si="92"/>
        <v>7068449208</v>
      </c>
      <c r="AC193" s="3">
        <f t="shared" si="78"/>
        <v>143</v>
      </c>
      <c r="AD193" s="10">
        <f t="shared" si="93"/>
        <v>19791657783</v>
      </c>
      <c r="AE193" s="5">
        <f t="shared" si="79"/>
        <v>146</v>
      </c>
      <c r="AF193" s="9">
        <f t="shared" si="94"/>
        <v>63333304906</v>
      </c>
      <c r="AG193" s="3">
        <f t="shared" si="80"/>
        <v>149</v>
      </c>
      <c r="AH193" s="10">
        <f t="shared" si="95"/>
        <v>240666558644</v>
      </c>
    </row>
    <row r="194" hidden="1">
      <c r="A194" s="2">
        <v>172</v>
      </c>
      <c r="B194" s="2" t="s">
        <v>317</v>
      </c>
      <c r="C194" s="2" t="s">
        <v>228</v>
      </c>
      <c r="D194" s="2" t="s">
        <v>75</v>
      </c>
      <c r="E194" s="2">
        <v>122</v>
      </c>
      <c r="F194" s="2" t="s">
        <v>56</v>
      </c>
      <c r="G194" s="2" t="s">
        <v>185</v>
      </c>
      <c r="H194" s="2">
        <v>30</v>
      </c>
      <c r="I194" s="3">
        <v>122</v>
      </c>
      <c r="J194" s="4">
        <v>4420000</v>
      </c>
      <c r="K194" s="5">
        <f t="shared" si="69"/>
        <v>123</v>
      </c>
      <c r="L194" s="9">
        <f t="shared" si="84"/>
        <v>5788432</v>
      </c>
      <c r="M194" s="3">
        <f t="shared" si="70"/>
        <v>124</v>
      </c>
      <c r="N194" s="10">
        <f t="shared" si="85"/>
        <v>10129756</v>
      </c>
      <c r="O194" s="5">
        <f t="shared" si="71"/>
        <v>126</v>
      </c>
      <c r="P194" s="9">
        <f t="shared" si="86"/>
        <v>21272488</v>
      </c>
      <c r="Q194" s="3">
        <f t="shared" si="72"/>
        <v>128</v>
      </c>
      <c r="R194" s="10">
        <f t="shared" si="87"/>
        <v>33150000</v>
      </c>
      <c r="S194" s="5">
        <f t="shared" si="73"/>
        <v>130</v>
      </c>
      <c r="T194" s="9">
        <f t="shared" si="88"/>
        <v>86612172</v>
      </c>
      <c r="U194" s="3">
        <f t="shared" si="74"/>
        <v>133</v>
      </c>
      <c r="V194" s="10">
        <f t="shared" si="89"/>
        <v>278509898</v>
      </c>
      <c r="W194" s="5">
        <f t="shared" si="75"/>
        <v>137</v>
      </c>
      <c r="X194" s="9">
        <f t="shared" si="90"/>
        <v>1175415557</v>
      </c>
      <c r="Y194" s="3">
        <f t="shared" si="76"/>
        <v>139</v>
      </c>
      <c r="Z194" s="10">
        <f t="shared" si="91"/>
        <v>2820997336</v>
      </c>
      <c r="AA194" s="5">
        <f t="shared" si="77"/>
        <v>141</v>
      </c>
      <c r="AB194" s="9">
        <f t="shared" si="92"/>
        <v>7052493341</v>
      </c>
      <c r="AC194" s="3">
        <f t="shared" si="78"/>
        <v>143</v>
      </c>
      <c r="AD194" s="10">
        <f t="shared" si="93"/>
        <v>19746981355</v>
      </c>
      <c r="AE194" s="5">
        <f t="shared" si="79"/>
        <v>146</v>
      </c>
      <c r="AF194" s="9">
        <f t="shared" si="94"/>
        <v>63190340335</v>
      </c>
      <c r="AG194" s="3">
        <f t="shared" si="80"/>
        <v>149</v>
      </c>
      <c r="AH194" s="10">
        <f t="shared" si="95"/>
        <v>240123293275</v>
      </c>
    </row>
    <row r="195" hidden="1">
      <c r="A195" s="2">
        <v>167</v>
      </c>
      <c r="B195" s="2" t="s">
        <v>318</v>
      </c>
      <c r="C195" s="2" t="s">
        <v>228</v>
      </c>
      <c r="D195" s="2" t="s">
        <v>29</v>
      </c>
      <c r="E195" s="2">
        <v>122</v>
      </c>
      <c r="F195" s="2" t="s">
        <v>71</v>
      </c>
      <c r="G195" s="2" t="s">
        <v>319</v>
      </c>
      <c r="H195" s="2">
        <v>31</v>
      </c>
      <c r="I195" s="3">
        <v>122</v>
      </c>
      <c r="J195" s="4">
        <v>4610000</v>
      </c>
      <c r="K195" s="5" t="n">
        <f t="shared" ref="K195:K258" si="96">$E195+1</f>
        <v>123</v>
      </c>
      <c r="L195" s="9">
        <f t="shared" si="84"/>
        <v>6037256</v>
      </c>
      <c r="M195" s="3" t="n">
        <f t="shared" ref="M195:M258" si="97">$E195+2</f>
        <v>124</v>
      </c>
      <c r="N195" s="10">
        <f t="shared" si="85"/>
        <v>10565198</v>
      </c>
      <c r="O195" s="5" t="n">
        <f t="shared" ref="O195:O258" si="98">$E195+4</f>
        <v>126</v>
      </c>
      <c r="P195" s="9">
        <f t="shared" si="86"/>
        <v>22186916</v>
      </c>
      <c r="Q195" s="3" t="n">
        <f t="shared" ref="Q195:Q258" si="99">$E195+6</f>
        <v>128</v>
      </c>
      <c r="R195" s="10">
        <f t="shared" si="87"/>
        <v>34575000</v>
      </c>
      <c r="S195" s="5" t="n">
        <f t="shared" ref="S195:S258" si="100">$E195+8</f>
        <v>130</v>
      </c>
      <c r="T195" s="9">
        <f t="shared" si="88"/>
        <v>90335319</v>
      </c>
      <c r="U195" s="3" t="n">
        <f t="shared" ref="U195:U258" si="101">$E195+11</f>
        <v>133</v>
      </c>
      <c r="V195" s="10">
        <f t="shared" si="89"/>
        <v>290482043</v>
      </c>
      <c r="W195" s="5" t="n">
        <f t="shared" ref="W195:W258" si="102">$E195+15</f>
        <v>137</v>
      </c>
      <c r="X195" s="9">
        <f t="shared" si="90"/>
        <v>1225942470</v>
      </c>
      <c r="Y195" s="3" t="n">
        <f t="shared" ref="Y195:Y258" si="103">$E195+17</f>
        <v>139</v>
      </c>
      <c r="Z195" s="10">
        <f t="shared" si="91"/>
        <v>2942261928</v>
      </c>
      <c r="AA195" s="5" t="n">
        <f t="shared" ref="AA195:AA258" si="104">$E195+19</f>
        <v>141</v>
      </c>
      <c r="AB195" s="9">
        <f t="shared" si="92"/>
        <v>7355654819</v>
      </c>
      <c r="AC195" s="3" t="n">
        <f t="shared" ref="AC195:AC258" si="105">$E195+21</f>
        <v>143</v>
      </c>
      <c r="AD195" s="10">
        <f t="shared" si="93"/>
        <v>20595833495</v>
      </c>
      <c r="AE195" s="5" t="n">
        <f t="shared" ref="AE195:AE258" si="106">$E195+24</f>
        <v>146</v>
      </c>
      <c r="AF195" s="9">
        <f t="shared" si="94"/>
        <v>65906667182</v>
      </c>
      <c r="AG195" s="3" t="n">
        <f t="shared" ref="AG195:AG258" si="107">$E195+27</f>
        <v>149</v>
      </c>
      <c r="AH195" s="10">
        <f t="shared" si="95"/>
        <v>250445335293</v>
      </c>
    </row>
    <row r="196" hidden="1">
      <c r="A196" s="2">
        <v>160</v>
      </c>
      <c r="B196" s="2" t="s">
        <v>320</v>
      </c>
      <c r="C196" s="2" t="s">
        <v>228</v>
      </c>
      <c r="D196" s="2" t="s">
        <v>64</v>
      </c>
      <c r="E196" s="2">
        <v>122</v>
      </c>
      <c r="F196" s="2" t="s">
        <v>54</v>
      </c>
      <c r="G196" s="2" t="s">
        <v>185</v>
      </c>
      <c r="H196" s="2">
        <v>31</v>
      </c>
      <c r="I196" s="3">
        <v>122</v>
      </c>
      <c r="J196" s="4">
        <v>3800000</v>
      </c>
      <c r="K196" s="5">
        <f t="shared" si="96"/>
        <v>123</v>
      </c>
      <c r="L196" s="9" t="n">
        <f>ROUND($J196*1.637*1,0)</f>
        <v>6220600</v>
      </c>
      <c r="M196" s="3">
        <f t="shared" si="97"/>
        <v>124</v>
      </c>
      <c r="N196" s="10" t="n">
        <f>ROUND($J196*1.637*1.75*1,0)</f>
        <v>10886050</v>
      </c>
      <c r="O196" s="5">
        <f t="shared" si="98"/>
        <v>126</v>
      </c>
      <c r="P196" s="9" t="n">
        <f>ROUND($J196*1.637*1.75*2.1*1,0)</f>
        <v>22860705</v>
      </c>
      <c r="Q196" s="3">
        <f t="shared" si="99"/>
        <v>128</v>
      </c>
      <c r="R196" s="10" t="n">
        <f>ROUND($J196*1.637*1.75*2.1*2.3*1.25,0)</f>
        <v>65724527</v>
      </c>
      <c r="S196" s="5">
        <f t="shared" si="100"/>
        <v>130</v>
      </c>
      <c r="T196" s="9" t="n">
        <f>ROUND($J196*1.637*1.75*2.1*2.3*2.6*1.25,0)</f>
        <v>170883770</v>
      </c>
      <c r="U196" s="3">
        <f t="shared" si="101"/>
        <v>133</v>
      </c>
      <c r="V196" s="10" t="n">
        <f>ROUND($J196*1.637*1.75*2.1*2.3*2.6*3.2*1.25,0)</f>
        <v>546828064</v>
      </c>
      <c r="W196" s="5">
        <f t="shared" si="102"/>
        <v>137</v>
      </c>
      <c r="X196" s="9" t="n">
        <f>ROUND($J196*1.637*1.75*2.1*2.3*2.6*3.2*4.2*1.25,0)</f>
        <v>2296677867</v>
      </c>
      <c r="Y196" s="3">
        <f t="shared" si="103"/>
        <v>139</v>
      </c>
      <c r="Z196" s="10" t="n">
        <f>ROUND($J196*1.637*1.75*2.1*2.3*2.6*3.2*4.2*2.4*1.25,0)</f>
        <v>5512026881</v>
      </c>
      <c r="AA196" s="5">
        <f t="shared" si="104"/>
        <v>141</v>
      </c>
      <c r="AB196" s="9" t="n">
        <f>ROUND($J196*1.637*1.75*2.1*2.3*2.6*3.2*4.2*2.4*2.5*1.25,0)</f>
        <v>13780067203</v>
      </c>
      <c r="AC196" s="3">
        <f t="shared" si="105"/>
        <v>143</v>
      </c>
      <c r="AD196" s="10" t="n">
        <f>ROUND($J196*1.637*1.75*2.1*2.3*2.6*3.2*4.2*2.4*2.5*2.8*1.25,0)</f>
        <v>38584188168</v>
      </c>
      <c r="AE196" s="5">
        <f t="shared" si="106"/>
        <v>146</v>
      </c>
      <c r="AF196" s="9" t="n">
        <f>ROUND($J196*1.637*1.75*2.1*2.3*2.6*3.2*4.2*2.4*2.5*2.8*3.2*1.25,0)</f>
        <v>123469402136</v>
      </c>
      <c r="AG196" s="3">
        <f t="shared" si="107"/>
        <v>149</v>
      </c>
      <c r="AH196" s="10" t="n">
        <f>ROUND($J196*1.637*1.75*2.1*2.3*2.6*3.2*4.2*2.4*2.5*2.8*3.2*3.8*1.25,0)</f>
        <v>469183728118</v>
      </c>
    </row>
    <row r="197" hidden="1">
      <c r="A197" s="2">
        <v>176</v>
      </c>
      <c r="B197" s="2" t="s">
        <v>321</v>
      </c>
      <c r="C197" s="2" t="s">
        <v>228</v>
      </c>
      <c r="D197" s="2" t="s">
        <v>90</v>
      </c>
      <c r="E197" s="2">
        <v>122</v>
      </c>
      <c r="F197" s="2" t="s">
        <v>56</v>
      </c>
      <c r="G197" s="2" t="s">
        <v>98</v>
      </c>
      <c r="H197" s="2">
        <v>30</v>
      </c>
      <c r="I197" s="3">
        <v>122</v>
      </c>
      <c r="J197" s="4">
        <v>4510000</v>
      </c>
      <c r="K197" s="5">
        <f t="shared" si="96"/>
        <v>123</v>
      </c>
      <c r="L197" s="9" t="n">
        <f>ROUND($J197*1.637*1,0)</f>
        <v>7382870</v>
      </c>
      <c r="M197" s="3">
        <f t="shared" si="97"/>
        <v>124</v>
      </c>
      <c r="N197" s="10" t="n">
        <f>ROUND($J197*1.637*1.75*1,0)</f>
        <v>12920023</v>
      </c>
      <c r="O197" s="5">
        <f t="shared" si="98"/>
        <v>126</v>
      </c>
      <c r="P197" s="9" t="n">
        <f>ROUND($J197*1.637*1.75*2.1*1,0)</f>
        <v>27132047</v>
      </c>
      <c r="Q197" s="3">
        <f t="shared" si="99"/>
        <v>128</v>
      </c>
      <c r="R197" s="10" t="n">
        <f>ROUND($J197*1.637*1.75*2.1*2.3*1.25,0)</f>
        <v>78004636</v>
      </c>
      <c r="S197" s="5">
        <f t="shared" si="100"/>
        <v>130</v>
      </c>
      <c r="T197" s="9" t="n">
        <f>ROUND($J197*1.637*1.75*2.1*2.3*2.6*1.25,0)</f>
        <v>202812053</v>
      </c>
      <c r="U197" s="3">
        <f t="shared" si="101"/>
        <v>133</v>
      </c>
      <c r="V197" s="10" t="n">
        <f>ROUND($J197*1.637*1.75*2.1*2.3*2.6*3.2*1.25,0)</f>
        <v>648998570</v>
      </c>
      <c r="W197" s="5">
        <f t="shared" si="102"/>
        <v>137</v>
      </c>
      <c r="X197" s="9" t="n">
        <f>ROUND($J197*1.637*1.75*2.1*2.3*2.6*3.2*4.2*1.25,0)</f>
        <v>2725793995</v>
      </c>
      <c r="Y197" s="3">
        <f t="shared" si="103"/>
        <v>139</v>
      </c>
      <c r="Z197" s="10" t="n">
        <f>ROUND($J197*1.637*1.75*2.1*2.3*2.6*3.2*4.2*2.4*1.25,0)</f>
        <v>6541905588</v>
      </c>
      <c r="AA197" s="5">
        <f t="shared" si="104"/>
        <v>141</v>
      </c>
      <c r="AB197" s="9" t="n">
        <f>ROUND($J197*1.637*1.75*2.1*2.3*2.6*3.2*4.2*2.4*2.5*1.25,0)</f>
        <v>16354763970</v>
      </c>
      <c r="AC197" s="3">
        <f t="shared" si="105"/>
        <v>143</v>
      </c>
      <c r="AD197" s="10" t="n">
        <f>ROUND($J197*1.637*1.75*2.1*2.3*2.6*3.2*4.2*2.4*2.5*2.8*1.25,0)</f>
        <v>45793339115</v>
      </c>
      <c r="AE197" s="5">
        <f t="shared" si="106"/>
        <v>146</v>
      </c>
      <c r="AF197" s="9" t="n">
        <f>ROUND($J197*1.637*1.75*2.1*2.3*2.6*3.2*4.2*2.4*2.5*2.8*3.2*1.25,0)</f>
        <v>146538685167</v>
      </c>
      <c r="AG197" s="3">
        <f t="shared" si="107"/>
        <v>149</v>
      </c>
      <c r="AH197" s="10" t="n">
        <f>ROUND($J197*1.637*1.75*2.1*2.3*2.6*3.2*4.2*2.4*2.5*2.8*3.2*3.8*1.25,0)</f>
        <v>556847003635</v>
      </c>
    </row>
    <row r="198" hidden="1">
      <c r="A198" s="2">
        <v>178</v>
      </c>
      <c r="B198" s="2" t="s">
        <v>322</v>
      </c>
      <c r="C198" s="2" t="s">
        <v>228</v>
      </c>
      <c r="D198" s="2" t="s">
        <v>79</v>
      </c>
      <c r="E198" s="2">
        <v>122</v>
      </c>
      <c r="F198" s="2" t="s">
        <v>30</v>
      </c>
      <c r="G198" s="2" t="s">
        <v>72</v>
      </c>
      <c r="H198" s="2">
        <v>30</v>
      </c>
      <c r="I198" s="3">
        <v>122</v>
      </c>
      <c r="J198" s="4">
        <v>4790000</v>
      </c>
      <c r="K198" s="5">
        <f t="shared" si="96"/>
        <v>123</v>
      </c>
      <c r="L198" s="9" t="n">
        <f>ROUND($J198*1.637*1,0)</f>
        <v>7841230</v>
      </c>
      <c r="M198" s="3">
        <f t="shared" si="97"/>
        <v>124</v>
      </c>
      <c r="N198" s="10" t="n">
        <f>ROUND($J198*1.637*1.75*1,0)</f>
        <v>13722153</v>
      </c>
      <c r="O198" s="5">
        <f t="shared" si="98"/>
        <v>126</v>
      </c>
      <c r="P198" s="9" t="n">
        <f>ROUND($J198*1.637*1.75*2.1*1,0)</f>
        <v>28816520</v>
      </c>
      <c r="Q198" s="3">
        <f t="shared" si="99"/>
        <v>128</v>
      </c>
      <c r="R198" s="10" t="n">
        <f>ROUND($J198*1.637*1.75*2.1*2.3*1.25,0)</f>
        <v>82847496</v>
      </c>
      <c r="S198" s="5">
        <f t="shared" si="100"/>
        <v>130</v>
      </c>
      <c r="T198" s="9" t="n">
        <f>ROUND($J198*1.637*1.75*2.1*2.3*2.6*1.25,0)</f>
        <v>215403489</v>
      </c>
      <c r="U198" s="3">
        <f t="shared" si="101"/>
        <v>133</v>
      </c>
      <c r="V198" s="10" t="n">
        <f>ROUND($J198*1.637*1.75*2.1*2.3*2.6*3.2*1.25,0)</f>
        <v>689291164</v>
      </c>
      <c r="W198" s="5">
        <f t="shared" si="102"/>
        <v>137</v>
      </c>
      <c r="X198" s="9" t="n">
        <f>ROUND($J198*1.637*1.75*2.1*2.3*2.6*3.2*4.2*1.25,0)</f>
        <v>2895022890</v>
      </c>
      <c r="Y198" s="3">
        <f t="shared" si="103"/>
        <v>139</v>
      </c>
      <c r="Z198" s="10" t="n">
        <f>ROUND($J198*1.637*1.75*2.1*2.3*2.6*3.2*4.2*2.4*1.25,0)</f>
        <v>6948054937</v>
      </c>
      <c r="AA198" s="5">
        <f t="shared" si="104"/>
        <v>141</v>
      </c>
      <c r="AB198" s="9" t="n">
        <f>ROUND($J198*1.637*1.75*2.1*2.3*2.6*3.2*4.2*2.4*2.5*1.25,0)</f>
        <v>17370137342</v>
      </c>
      <c r="AC198" s="3">
        <f t="shared" si="105"/>
        <v>143</v>
      </c>
      <c r="AD198" s="10" t="n">
        <f>ROUND($J198*1.637*1.75*2.1*2.3*2.6*3.2*4.2*2.4*2.5*2.8*1.25,0)</f>
        <v>48636384559</v>
      </c>
      <c r="AE198" s="5">
        <f t="shared" si="106"/>
        <v>146</v>
      </c>
      <c r="AF198" s="9" t="n">
        <f>ROUND($J198*1.637*1.75*2.1*2.3*2.6*3.2*4.2*2.4*2.5*2.8*3.2*1.25,0)</f>
        <v>155636430588</v>
      </c>
      <c r="AG198" s="3">
        <f t="shared" si="107"/>
        <v>149</v>
      </c>
      <c r="AH198" s="10" t="n">
        <f>ROUND($J198*1.637*1.75*2.1*2.3*2.6*3.2*4.2*2.4*2.5*2.8*3.2*3.8*1.25,0)</f>
        <v>591418436233</v>
      </c>
    </row>
    <row r="199" hidden="1">
      <c r="A199" s="2">
        <v>155</v>
      </c>
      <c r="B199" s="2" t="s">
        <v>323</v>
      </c>
      <c r="C199" s="2" t="s">
        <v>228</v>
      </c>
      <c r="D199" s="2" t="s">
        <v>29</v>
      </c>
      <c r="E199" s="2">
        <v>122</v>
      </c>
      <c r="F199" s="2" t="s">
        <v>34</v>
      </c>
      <c r="G199" s="2" t="s">
        <v>35</v>
      </c>
      <c r="H199" s="2">
        <v>32</v>
      </c>
      <c r="I199" s="3">
        <v>122</v>
      </c>
      <c r="J199" s="4">
        <v>4940000</v>
      </c>
      <c r="K199" s="5">
        <f t="shared" si="96"/>
        <v>123</v>
      </c>
      <c r="L199" s="9" t="n">
        <f>ROUND($J199*1.637*1,0)</f>
        <v>8086780</v>
      </c>
      <c r="M199" s="3">
        <f t="shared" si="97"/>
        <v>124</v>
      </c>
      <c r="N199" s="10" t="n">
        <f>ROUND($J199*1.637*1.75*1,0)</f>
        <v>14151865</v>
      </c>
      <c r="O199" s="5">
        <f t="shared" si="98"/>
        <v>126</v>
      </c>
      <c r="P199" s="9" t="n">
        <f>ROUND($J199*1.637*1.75*2.1*1,0)</f>
        <v>29718917</v>
      </c>
      <c r="Q199" s="3">
        <f t="shared" si="99"/>
        <v>128</v>
      </c>
      <c r="R199" s="10" t="n">
        <f>ROUND($J199*1.637*1.75*2.1*2.3*1.25,0)</f>
        <v>85441885</v>
      </c>
      <c r="S199" s="5">
        <f t="shared" si="100"/>
        <v>130</v>
      </c>
      <c r="T199" s="9" t="n">
        <f>ROUND($J199*1.637*1.75*2.1*2.3*2.6*1.25,0)</f>
        <v>222148901</v>
      </c>
      <c r="U199" s="3">
        <f t="shared" si="101"/>
        <v>133</v>
      </c>
      <c r="V199" s="10" t="n">
        <f>ROUND($J199*1.637*1.75*2.1*2.3*2.6*3.2*1.25,0)</f>
        <v>710876483</v>
      </c>
      <c r="W199" s="5">
        <f t="shared" si="102"/>
        <v>137</v>
      </c>
      <c r="X199" s="9" t="n">
        <f>ROUND($J199*1.637*1.75*2.1*2.3*2.6*3.2*4.2*1.25,0)</f>
        <v>2985681227</v>
      </c>
      <c r="Y199" s="3">
        <f t="shared" si="103"/>
        <v>139</v>
      </c>
      <c r="Z199" s="10" t="n">
        <f>ROUND($J199*1.637*1.75*2.1*2.3*2.6*3.2*4.2*2.4*1.25,0)</f>
        <v>7165634945</v>
      </c>
      <c r="AA199" s="5">
        <f t="shared" si="104"/>
        <v>141</v>
      </c>
      <c r="AB199" s="9" t="n">
        <f>ROUND($J199*1.637*1.75*2.1*2.3*2.6*3.2*4.2*2.4*2.5*1.25,0)</f>
        <v>17914087364</v>
      </c>
      <c r="AC199" s="3">
        <f t="shared" si="105"/>
        <v>143</v>
      </c>
      <c r="AD199" s="10" t="n">
        <f>ROUND($J199*1.637*1.75*2.1*2.3*2.6*3.2*4.2*2.4*2.5*2.8*1.25,0)</f>
        <v>50159444618</v>
      </c>
      <c r="AE199" s="5">
        <f t="shared" si="106"/>
        <v>146</v>
      </c>
      <c r="AF199" s="9" t="n">
        <f>ROUND($J199*1.637*1.75*2.1*2.3*2.6*3.2*4.2*2.4*2.5*2.8*3.2*1.25,0)</f>
        <v>160510222777</v>
      </c>
      <c r="AG199" s="3">
        <f t="shared" si="107"/>
        <v>149</v>
      </c>
      <c r="AH199" s="10" t="n">
        <f>ROUND($J199*1.637*1.75*2.1*2.3*2.6*3.2*4.2*2.4*2.5*2.8*3.2*3.8*1.25,0)</f>
        <v>609938846554</v>
      </c>
    </row>
    <row r="200" hidden="1">
      <c r="A200" s="2">
        <v>166</v>
      </c>
      <c r="B200" s="2" t="s">
        <v>324</v>
      </c>
      <c r="C200" s="2" t="s">
        <v>228</v>
      </c>
      <c r="D200" s="2" t="s">
        <v>45</v>
      </c>
      <c r="E200" s="2">
        <v>122</v>
      </c>
      <c r="F200" s="2" t="s">
        <v>136</v>
      </c>
      <c r="G200" s="2" t="s">
        <v>27</v>
      </c>
      <c r="H200" s="2">
        <v>31</v>
      </c>
      <c r="I200" s="3">
        <v>122</v>
      </c>
      <c r="J200" s="4">
        <v>4610000</v>
      </c>
      <c r="K200" s="5">
        <f t="shared" si="96"/>
        <v>123</v>
      </c>
      <c r="L200" s="9" t="n">
        <f>ROUND($J200*1.637*1,0)</f>
        <v>7546570</v>
      </c>
      <c r="M200" s="3">
        <f t="shared" si="97"/>
        <v>124</v>
      </c>
      <c r="N200" s="10" t="n">
        <f>ROUND($J200*1.637*1.75*1,0)</f>
        <v>13206498</v>
      </c>
      <c r="O200" s="5">
        <f t="shared" si="98"/>
        <v>126</v>
      </c>
      <c r="P200" s="9" t="n">
        <f>ROUND($J200*1.637*1.75*2.1*1,0)</f>
        <v>27733645</v>
      </c>
      <c r="Q200" s="3">
        <f t="shared" si="99"/>
        <v>128</v>
      </c>
      <c r="R200" s="10" t="n">
        <f>ROUND($J200*1.637*1.75*2.1*2.3*1,0)</f>
        <v>63787383</v>
      </c>
      <c r="S200" s="5">
        <f t="shared" si="100"/>
        <v>130</v>
      </c>
      <c r="T200" s="9" t="n">
        <f>ROUND($J200*1.637*1.75*2.1*2.3*2.6*1,0)</f>
        <v>165847196</v>
      </c>
      <c r="U200" s="3">
        <f t="shared" si="101"/>
        <v>133</v>
      </c>
      <c r="V200" s="10" t="n">
        <f>ROUND($J200*1.637*1.75*2.1*2.3*2.6*3.2*1,0)</f>
        <v>530711026</v>
      </c>
      <c r="W200" s="5">
        <f t="shared" si="102"/>
        <v>137</v>
      </c>
      <c r="X200" s="9" t="n">
        <f>ROUND($J200*1.637*1.75*2.1*2.3*2.6*3.2*4.2*1,0)</f>
        <v>2228986309</v>
      </c>
      <c r="Y200" s="3">
        <f t="shared" si="103"/>
        <v>139</v>
      </c>
      <c r="Z200" s="10" t="n">
        <f>ROUND($J200*1.637*1.75*2.1*2.3*2.6*3.2*4.2*2.4*1,0)</f>
        <v>5349567141</v>
      </c>
      <c r="AA200" s="5">
        <f t="shared" si="104"/>
        <v>141</v>
      </c>
      <c r="AB200" s="9" t="n">
        <f>ROUND($J200*1.637*1.75*2.1*2.3*2.6*3.2*4.2*2.4*2.5*1,0)</f>
        <v>13373917854</v>
      </c>
      <c r="AC200" s="3">
        <f t="shared" si="105"/>
        <v>143</v>
      </c>
      <c r="AD200" s="10" t="n">
        <f>ROUND($J200*1.637*1.75*2.1*2.3*2.6*3.2*4.2*2.4*2.5*2.8*1,0)</f>
        <v>37446969990</v>
      </c>
      <c r="AE200" s="5">
        <f t="shared" si="106"/>
        <v>146</v>
      </c>
      <c r="AF200" s="9" t="n">
        <f>ROUND($J200*1.637*1.75*2.1*2.3*2.6*3.2*4.2*2.4*2.5*2.8*3.2*1,0)</f>
        <v>119830303968</v>
      </c>
      <c r="AG200" s="3">
        <f t="shared" si="107"/>
        <v>149</v>
      </c>
      <c r="AH200" s="10" t="n">
        <f>ROUND($J200*1.637*1.75*2.1*2.3*2.6*3.2*4.2*2.4*2.5*2.8*3.2*3.8*1,0)</f>
        <v>455355155079</v>
      </c>
    </row>
    <row r="201" hidden="1">
      <c r="A201" s="2">
        <v>173</v>
      </c>
      <c r="B201" s="2" t="s">
        <v>325</v>
      </c>
      <c r="C201" s="2" t="s">
        <v>228</v>
      </c>
      <c r="D201" s="2" t="s">
        <v>90</v>
      </c>
      <c r="E201" s="2">
        <v>122</v>
      </c>
      <c r="F201" s="2" t="s">
        <v>258</v>
      </c>
      <c r="G201" s="2" t="s">
        <v>326</v>
      </c>
      <c r="H201" s="2">
        <v>30</v>
      </c>
      <c r="I201" s="3">
        <v>122</v>
      </c>
      <c r="J201" s="4">
        <v>4360000</v>
      </c>
      <c r="K201" s="5">
        <f t="shared" si="96"/>
        <v>123</v>
      </c>
      <c r="L201" s="9" t="n">
        <f>ROUND($J201*1.637*0.8,0)</f>
        <v>5709856</v>
      </c>
      <c r="M201" s="3">
        <f t="shared" si="97"/>
        <v>124</v>
      </c>
      <c r="N201" s="10" t="n">
        <f>ROUND($J201*1.637*1.75*0.8,0)</f>
        <v>9992248</v>
      </c>
      <c r="O201" s="5">
        <f t="shared" si="98"/>
        <v>126</v>
      </c>
      <c r="P201" s="9" t="n">
        <f>ROUND($J201*1.637*1.75*2.1*0.8,0)</f>
        <v>20983721</v>
      </c>
      <c r="Q201" s="3">
        <f t="shared" si="99"/>
        <v>128</v>
      </c>
      <c r="R201" s="10" t="n">
        <f>ROUND($J201*1.637*1.75*2.1*2.3*0.542035092435954,0)</f>
        <v>32700000</v>
      </c>
      <c r="S201" s="5">
        <f t="shared" si="100"/>
        <v>130</v>
      </c>
      <c r="T201" s="9" t="n">
        <f>ROUND($J201*1.637*1.75*2.1*2.3*2.6*0.544690061623969,0)</f>
        <v>85436441</v>
      </c>
      <c r="U201" s="3">
        <f t="shared" si="101"/>
        <v>133</v>
      </c>
      <c r="V201" s="10" t="n">
        <f>ROUND($J201*1.637*1.75*2.1*2.3*2.6*3.2*0.547345030811984,0)</f>
        <v>274729221</v>
      </c>
      <c r="W201" s="5">
        <f t="shared" si="102"/>
        <v>137</v>
      </c>
      <c r="X201" s="9" t="n">
        <f>ROUND($J201*1.637*1.75*2.1*2.3*2.6*3.2*4.2*0.55,0)</f>
        <v>1159459690</v>
      </c>
      <c r="Y201" s="3">
        <f t="shared" si="103"/>
        <v>139</v>
      </c>
      <c r="Z201" s="10" t="n">
        <f>ROUND($J201*1.637*1.75*2.1*2.3*2.6*3.2*4.2*2.4*0.55,0)</f>
        <v>2782703255</v>
      </c>
      <c r="AA201" s="5">
        <f t="shared" si="104"/>
        <v>141</v>
      </c>
      <c r="AB201" s="9" t="n">
        <f>ROUND($J201*1.637*1.75*2.1*2.3*2.6*3.2*4.2*2.4*2.5*0.55,0)</f>
        <v>6956758137</v>
      </c>
      <c r="AC201" s="3">
        <f t="shared" si="105"/>
        <v>143</v>
      </c>
      <c r="AD201" s="10" t="n">
        <f>ROUND($J201*1.637*1.75*2.1*2.3*2.6*3.2*4.2*2.4*2.5*2.8*0.55,0)</f>
        <v>19478922784</v>
      </c>
      <c r="AE201" s="5">
        <f t="shared" si="106"/>
        <v>146</v>
      </c>
      <c r="AF201" s="9" t="n">
        <f>ROUND($J201*1.637*1.75*2.1*2.3*2.6*3.2*4.2*2.4*2.5*2.8*3.2*0.55,0)</f>
        <v>62332552910</v>
      </c>
      <c r="AG201" s="3">
        <f t="shared" si="107"/>
        <v>149</v>
      </c>
      <c r="AH201" s="10" t="n">
        <f>ROUND($J201*1.637*1.75*2.1*2.3*2.6*3.2*4.2*2.4*2.5*2.8*3.2*3.8*0.55,0)</f>
        <v>236863701058</v>
      </c>
    </row>
    <row r="202" hidden="1">
      <c r="A202" s="2">
        <v>186</v>
      </c>
      <c r="B202" s="2" t="s">
        <v>327</v>
      </c>
      <c r="C202" s="2" t="s">
        <v>228</v>
      </c>
      <c r="D202" s="2" t="s">
        <v>47</v>
      </c>
      <c r="E202" s="2">
        <v>122</v>
      </c>
      <c r="F202" s="2" t="s">
        <v>310</v>
      </c>
      <c r="G202" s="2" t="s">
        <v>38</v>
      </c>
      <c r="H202" s="2">
        <v>29</v>
      </c>
      <c r="I202" s="3">
        <v>122</v>
      </c>
      <c r="J202" s="4">
        <v>4850000</v>
      </c>
      <c r="K202" s="5">
        <f t="shared" si="96"/>
        <v>123</v>
      </c>
      <c r="L202" s="9" t="n">
        <f>ROUND($J202*1.637*1,0)</f>
        <v>7939450</v>
      </c>
      <c r="M202" s="3">
        <f t="shared" si="97"/>
        <v>124</v>
      </c>
      <c r="N202" s="10" t="n">
        <f>ROUND($J202*1.637*1.75*1,0)</f>
        <v>13894038</v>
      </c>
      <c r="O202" s="5">
        <f t="shared" si="98"/>
        <v>126</v>
      </c>
      <c r="P202" s="9" t="n">
        <f>ROUND($J202*1.637*1.75*2.1*1,0)</f>
        <v>29177479</v>
      </c>
      <c r="Q202" s="3">
        <f t="shared" si="99"/>
        <v>128</v>
      </c>
      <c r="R202" s="10" t="n">
        <f>ROUND($J202*1.637*1.75*2.1*2.3*1,0)</f>
        <v>67108201</v>
      </c>
      <c r="S202" s="5">
        <f t="shared" si="100"/>
        <v>130</v>
      </c>
      <c r="T202" s="9" t="n">
        <f>ROUND($J202*1.637*1.75*2.1*2.3*2.6*1,0)</f>
        <v>174481323</v>
      </c>
      <c r="U202" s="3">
        <f t="shared" si="101"/>
        <v>133</v>
      </c>
      <c r="V202" s="10" t="n">
        <f>ROUND($J202*1.637*1.75*2.1*2.3*2.6*3.2*1,0)</f>
        <v>558340233</v>
      </c>
      <c r="W202" s="5">
        <f t="shared" si="102"/>
        <v>137</v>
      </c>
      <c r="X202" s="9" t="n">
        <f>ROUND($J202*1.637*1.75*2.1*2.3*2.6*3.2*4.2*1,0)</f>
        <v>2345028980</v>
      </c>
      <c r="Y202" s="3">
        <f t="shared" si="103"/>
        <v>139</v>
      </c>
      <c r="Z202" s="10" t="n">
        <f>ROUND($J202*1.637*1.75*2.1*2.3*2.6*3.2*4.2*2.4*1,0)</f>
        <v>5628069552</v>
      </c>
      <c r="AA202" s="5">
        <f t="shared" si="104"/>
        <v>141</v>
      </c>
      <c r="AB202" s="9" t="n">
        <f>ROUND($J202*1.637*1.75*2.1*2.3*2.6*3.2*4.2*2.4*2.5*1,0)</f>
        <v>14070173881</v>
      </c>
      <c r="AC202" s="3">
        <f t="shared" si="105"/>
        <v>143</v>
      </c>
      <c r="AD202" s="10" t="n">
        <f>ROUND($J202*1.637*1.75*2.1*2.3*2.6*3.2*4.2*2.4*2.5*2.8*1,0)</f>
        <v>39396486866</v>
      </c>
      <c r="AE202" s="5">
        <f t="shared" si="106"/>
        <v>146</v>
      </c>
      <c r="AF202" s="9" t="n">
        <f>ROUND($J202*1.637*1.75*2.1*2.3*2.6*3.2*4.2*2.4*2.5*2.8*3.2*1,0)</f>
        <v>126068757971</v>
      </c>
      <c r="AG202" s="3">
        <f t="shared" si="107"/>
        <v>149</v>
      </c>
      <c r="AH202" s="10" t="n">
        <f>ROUND($J202*1.637*1.75*2.1*2.3*2.6*3.2*4.2*2.4*2.5*2.8*3.2*3.8*1,0)</f>
        <v>479061280289</v>
      </c>
    </row>
    <row r="203" hidden="1">
      <c r="A203" s="2">
        <v>276</v>
      </c>
      <c r="B203" s="2" t="s">
        <v>328</v>
      </c>
      <c r="C203" s="2" t="s">
        <v>228</v>
      </c>
      <c r="D203" s="2" t="s">
        <v>79</v>
      </c>
      <c r="E203" s="2">
        <v>121</v>
      </c>
      <c r="F203" s="2" t="s">
        <v>303</v>
      </c>
      <c r="G203" s="2" t="s">
        <v>329</v>
      </c>
      <c r="H203" s="2">
        <v>30</v>
      </c>
      <c r="I203" s="3">
        <v>121</v>
      </c>
      <c r="J203" s="4">
        <v>3000000</v>
      </c>
      <c r="K203" s="5">
        <f t="shared" si="96"/>
        <v>122</v>
      </c>
      <c r="L203" s="9" t="n">
        <f>ROUND($J203*1.637*0.8,0)</f>
        <v>3928800</v>
      </c>
      <c r="M203" s="3">
        <f t="shared" si="97"/>
        <v>123</v>
      </c>
      <c r="N203" s="10" t="n">
        <f>ROUND($J203*1.637*1.75*0.8,0)</f>
        <v>6875400</v>
      </c>
      <c r="O203" s="5">
        <f t="shared" si="98"/>
        <v>125</v>
      </c>
      <c r="P203" s="9" t="n">
        <f>ROUND($J203*1.637*1.75*2.1*0.8,0)</f>
        <v>14438340</v>
      </c>
      <c r="Q203" s="3">
        <f t="shared" si="99"/>
        <v>127</v>
      </c>
      <c r="R203" s="10" t="n">
        <f>ROUND($J203*1.637*1.75*2.1*2.3*0.542035092435954,0)</f>
        <v>22500000</v>
      </c>
      <c r="S203" s="5">
        <f t="shared" si="100"/>
        <v>129</v>
      </c>
      <c r="T203" s="9" t="n">
        <f>ROUND($J203*1.637*1.75*2.1*2.3*2.6*0.544690061623969,0)</f>
        <v>58786542</v>
      </c>
      <c r="U203" s="3">
        <f t="shared" si="101"/>
        <v>132</v>
      </c>
      <c r="V203" s="10" t="n">
        <f>ROUND($J203*1.637*1.75*2.1*2.3*2.6*3.2*0.547345030811984,0)</f>
        <v>189033867</v>
      </c>
      <c r="W203" s="5">
        <f t="shared" si="102"/>
        <v>136</v>
      </c>
      <c r="X203" s="9" t="n">
        <f>ROUND($J203*1.637*1.75*2.1*2.3*2.6*3.2*4.2*0.55,0)</f>
        <v>797793364</v>
      </c>
      <c r="Y203" s="3">
        <f t="shared" si="103"/>
        <v>138</v>
      </c>
      <c r="Z203" s="10" t="n">
        <f>ROUND($J203*1.637*1.75*2.1*2.3*2.6*3.2*4.2*2.4*0.55,0)</f>
        <v>1914704074</v>
      </c>
      <c r="AA203" s="5">
        <f t="shared" si="104"/>
        <v>140</v>
      </c>
      <c r="AB203" s="9" t="n">
        <f>ROUND($J203*1.637*1.75*2.1*2.3*2.6*3.2*4.2*2.4*2.5*0.55,0)</f>
        <v>4786760186</v>
      </c>
      <c r="AC203" s="3">
        <f t="shared" si="105"/>
        <v>142</v>
      </c>
      <c r="AD203" s="10" t="n">
        <f>ROUND($J203*1.637*1.75*2.1*2.3*2.6*3.2*4.2*2.4*2.5*2.8*0.55,0)</f>
        <v>13402928521</v>
      </c>
      <c r="AE203" s="5">
        <f t="shared" si="106"/>
        <v>145</v>
      </c>
      <c r="AF203" s="9" t="n">
        <f>ROUND($J203*1.637*1.75*2.1*2.3*2.6*3.2*4.2*2.4*2.5*2.8*3.2*0.55,0)</f>
        <v>42889371268</v>
      </c>
      <c r="AG203" s="3">
        <f t="shared" si="107"/>
        <v>148</v>
      </c>
      <c r="AH203" s="10" t="n">
        <f>ROUND($J203*1.637*1.75*2.1*2.3*2.6*3.2*4.2*2.4*2.5*2.8*3.2*3.8*0.55,0)</f>
        <v>162979610820</v>
      </c>
    </row>
    <row r="204" hidden="1">
      <c r="A204" s="2">
        <v>306</v>
      </c>
      <c r="B204" s="2" t="s">
        <v>330</v>
      </c>
      <c r="C204" s="2" t="s">
        <v>228</v>
      </c>
      <c r="D204" s="2" t="s">
        <v>331</v>
      </c>
      <c r="E204" s="2">
        <v>121</v>
      </c>
      <c r="F204" s="2" t="s">
        <v>310</v>
      </c>
      <c r="G204" s="2" t="s">
        <v>51</v>
      </c>
      <c r="H204" s="2">
        <v>31</v>
      </c>
      <c r="I204" s="3">
        <v>121</v>
      </c>
      <c r="J204" s="6">
        <v>2890000</v>
      </c>
      <c r="K204" s="5">
        <f t="shared" si="96"/>
        <v>122</v>
      </c>
      <c r="L204" s="9" t="n">
        <f>ROUND($J204*1.637*0.8,0)</f>
        <v>3784744</v>
      </c>
      <c r="M204" s="3">
        <f t="shared" si="97"/>
        <v>123</v>
      </c>
      <c r="N204" s="10" t="n">
        <f>ROUND($J204*1.637*1.75*0.8,0)</f>
        <v>6623302</v>
      </c>
      <c r="O204" s="5">
        <f t="shared" si="98"/>
        <v>125</v>
      </c>
      <c r="P204" s="9" t="n">
        <f>ROUND($J204*1.637*1.75*2.1*0.8,0)</f>
        <v>13908934</v>
      </c>
      <c r="Q204" s="3">
        <f t="shared" si="99"/>
        <v>127</v>
      </c>
      <c r="R204" s="10" t="n">
        <f>ROUND($J204*1.637*1.75*2.1*2.3*0.542035092435954,0)</f>
        <v>21675000</v>
      </c>
      <c r="S204" s="5">
        <f t="shared" si="100"/>
        <v>129</v>
      </c>
      <c r="T204" s="9" t="n">
        <f>ROUND($J204*1.637*1.75*2.1*2.3*2.6*0.544690061623969,0)</f>
        <v>56631035</v>
      </c>
      <c r="U204" s="3">
        <f t="shared" si="101"/>
        <v>132</v>
      </c>
      <c r="V204" s="10" t="n">
        <f>ROUND($J204*1.637*1.75*2.1*2.3*2.6*3.2*0.547345030811984,0)</f>
        <v>182102626</v>
      </c>
      <c r="W204" s="5">
        <f t="shared" si="102"/>
        <v>136</v>
      </c>
      <c r="X204" s="9" t="n">
        <f>ROUND($J204*1.637*1.75*2.1*2.3*2.6*3.2*4.2*0.55,0)</f>
        <v>768540941</v>
      </c>
      <c r="Y204" s="3">
        <f t="shared" si="103"/>
        <v>138</v>
      </c>
      <c r="Z204" s="10" t="n">
        <f>ROUND($J204*1.637*1.75*2.1*2.3*2.6*3.2*4.2*2.4*0.55,0)</f>
        <v>1844498258</v>
      </c>
      <c r="AA204" s="5">
        <f t="shared" si="104"/>
        <v>140</v>
      </c>
      <c r="AB204" s="9" t="n">
        <f>ROUND($J204*1.637*1.75*2.1*2.3*2.6*3.2*4.2*2.4*2.5*0.55,0)</f>
        <v>4611245646</v>
      </c>
      <c r="AC204" s="3">
        <f t="shared" si="105"/>
        <v>142</v>
      </c>
      <c r="AD204" s="10" t="n">
        <f>ROUND($J204*1.637*1.75*2.1*2.3*2.6*3.2*4.2*2.4*2.5*2.8*0.55,0)</f>
        <v>12911487809</v>
      </c>
      <c r="AE204" s="5">
        <f t="shared" si="106"/>
        <v>145</v>
      </c>
      <c r="AF204" s="9" t="n">
        <f>ROUND($J204*1.637*1.75*2.1*2.3*2.6*3.2*4.2*2.4*2.5*2.8*3.2*0.55,0)</f>
        <v>41316760989</v>
      </c>
      <c r="AG204" s="3">
        <f t="shared" si="107"/>
        <v>148</v>
      </c>
      <c r="AH204" s="10" t="n">
        <f>ROUND($J204*1.637*1.75*2.1*2.3*2.6*3.2*4.2*2.4*2.5*2.8*3.2*3.8*0.55,0)</f>
        <v>157003691757</v>
      </c>
    </row>
    <row r="205" hidden="1">
      <c r="A205" s="2">
        <v>301</v>
      </c>
      <c r="B205" s="2" t="s">
        <v>332</v>
      </c>
      <c r="C205" s="2" t="s">
        <v>228</v>
      </c>
      <c r="D205" s="2" t="s">
        <v>102</v>
      </c>
      <c r="E205" s="2">
        <v>121</v>
      </c>
      <c r="F205" s="2" t="s">
        <v>34</v>
      </c>
      <c r="G205" s="2" t="s">
        <v>290</v>
      </c>
      <c r="H205" s="2">
        <v>29</v>
      </c>
      <c r="I205" s="3">
        <v>121</v>
      </c>
      <c r="J205" s="6">
        <v>2610000</v>
      </c>
      <c r="K205" s="5">
        <f t="shared" si="96"/>
        <v>122</v>
      </c>
      <c r="L205" s="9" t="n">
        <f>ROUND($J205*1.637*0.8,0)</f>
        <v>3418056</v>
      </c>
      <c r="M205" s="3">
        <f t="shared" si="97"/>
        <v>123</v>
      </c>
      <c r="N205" s="10" t="n">
        <f>ROUND($J205*1.637*1.75*0.8,0)</f>
        <v>5981598</v>
      </c>
      <c r="O205" s="5">
        <f t="shared" si="98"/>
        <v>125</v>
      </c>
      <c r="P205" s="9" t="n">
        <f>ROUND($J205*1.637*1.75*2.1*0.8,0)</f>
        <v>12561356</v>
      </c>
      <c r="Q205" s="3">
        <f t="shared" si="99"/>
        <v>127</v>
      </c>
      <c r="R205" s="10" t="n">
        <f>ROUND($J205*1.637*1.75*2.1*2.3*0.542035092435954,0)</f>
        <v>19575000</v>
      </c>
      <c r="S205" s="5">
        <f t="shared" si="100"/>
        <v>129</v>
      </c>
      <c r="T205" s="9" t="n">
        <f>ROUND($J205*1.637*1.75*2.1*2.3*2.6*0.544690061623969,0)</f>
        <v>51144291</v>
      </c>
      <c r="U205" s="3">
        <f t="shared" si="101"/>
        <v>132</v>
      </c>
      <c r="V205" s="10" t="n">
        <f>ROUND($J205*1.637*1.75*2.1*2.3*2.6*3.2*0.547345030811984,0)</f>
        <v>164459465</v>
      </c>
      <c r="W205" s="5">
        <f t="shared" si="102"/>
        <v>136</v>
      </c>
      <c r="X205" s="9" t="n">
        <f>ROUND($J205*1.637*1.75*2.1*2.3*2.6*3.2*4.2*0.55,0)</f>
        <v>694080227</v>
      </c>
      <c r="Y205" s="3">
        <f t="shared" si="103"/>
        <v>138</v>
      </c>
      <c r="Z205" s="10" t="n">
        <f>ROUND($J205*1.637*1.75*2.1*2.3*2.6*3.2*4.2*2.4*0.55,0)</f>
        <v>1665792545</v>
      </c>
      <c r="AA205" s="5">
        <f t="shared" si="104"/>
        <v>140</v>
      </c>
      <c r="AB205" s="9" t="n">
        <f>ROUND($J205*1.637*1.75*2.1*2.3*2.6*3.2*4.2*2.4*2.5*0.55,0)</f>
        <v>4164481362</v>
      </c>
      <c r="AC205" s="3">
        <f t="shared" si="105"/>
        <v>142</v>
      </c>
      <c r="AD205" s="10" t="n">
        <f>ROUND($J205*1.637*1.75*2.1*2.3*2.6*3.2*4.2*2.4*2.5*2.8*0.55,0)</f>
        <v>11660547814</v>
      </c>
      <c r="AE205" s="5">
        <f t="shared" si="106"/>
        <v>145</v>
      </c>
      <c r="AF205" s="9" t="n">
        <f>ROUND($J205*1.637*1.75*2.1*2.3*2.6*3.2*4.2*2.4*2.5*2.8*3.2*0.55,0)</f>
        <v>37313753004</v>
      </c>
      <c r="AG205" s="3">
        <f t="shared" si="107"/>
        <v>148</v>
      </c>
      <c r="AH205" s="10" t="n">
        <f>ROUND($J205*1.637*1.75*2.1*2.3*2.6*3.2*4.2*2.4*2.5*2.8*3.2*3.8*0.55,0)</f>
        <v>141792261413</v>
      </c>
    </row>
    <row r="206" hidden="1">
      <c r="A206" s="2">
        <v>206</v>
      </c>
      <c r="B206" s="2" t="s">
        <v>333</v>
      </c>
      <c r="C206" s="2" t="s">
        <v>228</v>
      </c>
      <c r="D206" s="2" t="s">
        <v>45</v>
      </c>
      <c r="E206" s="2">
        <v>121</v>
      </c>
      <c r="F206" s="2" t="s">
        <v>54</v>
      </c>
      <c r="G206" s="2" t="s">
        <v>295</v>
      </c>
      <c r="H206" s="2">
        <v>30</v>
      </c>
      <c r="I206" s="3">
        <v>121</v>
      </c>
      <c r="J206" s="4">
        <v>2360000</v>
      </c>
      <c r="K206" s="5">
        <f t="shared" si="96"/>
        <v>122</v>
      </c>
      <c r="L206" s="9" t="n">
        <f>ROUND($J206*1.637*0.8,0)</f>
        <v>3090656</v>
      </c>
      <c r="M206" s="3">
        <f t="shared" si="97"/>
        <v>123</v>
      </c>
      <c r="N206" s="10" t="n">
        <f>ROUND($J206*1.637*1.75*0.8,0)</f>
        <v>5408648</v>
      </c>
      <c r="O206" s="5">
        <f t="shared" si="98"/>
        <v>125</v>
      </c>
      <c r="P206" s="9" t="n">
        <f>ROUND($J206*1.637*1.75*2.1*0.8,0)</f>
        <v>11358161</v>
      </c>
      <c r="Q206" s="3">
        <f t="shared" si="99"/>
        <v>127</v>
      </c>
      <c r="R206" s="10" t="n">
        <f>ROUND($J206*1.637*1.75*2.1*2.3*0.542035092435954,0)</f>
        <v>17700000</v>
      </c>
      <c r="S206" s="5">
        <f t="shared" si="100"/>
        <v>129</v>
      </c>
      <c r="T206" s="9" t="n">
        <f>ROUND($J206*1.637*1.75*2.1*2.3*2.6*0.544690061623969,0)</f>
        <v>46245413</v>
      </c>
      <c r="U206" s="3">
        <f t="shared" si="101"/>
        <v>132</v>
      </c>
      <c r="V206" s="10" t="n">
        <f>ROUND($J206*1.637*1.75*2.1*2.3*2.6*3.2*0.547345030811984,0)</f>
        <v>148706642</v>
      </c>
      <c r="W206" s="5">
        <f t="shared" si="102"/>
        <v>136</v>
      </c>
      <c r="X206" s="9" t="n">
        <f>ROUND($J206*1.637*1.75*2.1*2.3*2.6*3.2*4.2*0.55,0)</f>
        <v>627597447</v>
      </c>
      <c r="Y206" s="3">
        <f t="shared" si="103"/>
        <v>138</v>
      </c>
      <c r="Z206" s="10" t="n">
        <f>ROUND($J206*1.637*1.75*2.1*2.3*2.6*3.2*4.2*2.4*0.55,0)</f>
        <v>1506233872</v>
      </c>
      <c r="AA206" s="5">
        <f t="shared" si="104"/>
        <v>140</v>
      </c>
      <c r="AB206" s="9" t="n">
        <f>ROUND($J206*1.637*1.75*2.1*2.3*2.6*3.2*4.2*2.4*2.5*0.55,0)</f>
        <v>3765584680</v>
      </c>
      <c r="AC206" s="3">
        <f t="shared" si="105"/>
        <v>142</v>
      </c>
      <c r="AD206" s="10" t="n">
        <f>ROUND($J206*1.637*1.75*2.1*2.3*2.6*3.2*4.2*2.4*2.5*2.8*0.55,0)</f>
        <v>10543637103</v>
      </c>
      <c r="AE206" s="5">
        <f t="shared" si="106"/>
        <v>145</v>
      </c>
      <c r="AF206" s="9" t="n">
        <f>ROUND($J206*1.637*1.75*2.1*2.3*2.6*3.2*4.2*2.4*2.5*2.8*3.2*0.55,0)</f>
        <v>33739638731</v>
      </c>
      <c r="AG206" s="3">
        <f t="shared" si="107"/>
        <v>148</v>
      </c>
      <c r="AH206" s="10" t="n">
        <f>ROUND($J206*1.637*1.75*2.1*2.3*2.6*3.2*4.2*2.4*2.5*2.8*3.2*3.8*0.55,0)</f>
        <v>128210627178</v>
      </c>
    </row>
    <row r="207" hidden="1">
      <c r="A207" s="2">
        <v>192</v>
      </c>
      <c r="B207" s="2" t="s">
        <v>334</v>
      </c>
      <c r="C207" s="2" t="s">
        <v>228</v>
      </c>
      <c r="D207" s="2" t="s">
        <v>45</v>
      </c>
      <c r="E207" s="2">
        <v>121</v>
      </c>
      <c r="F207" s="2" t="s">
        <v>71</v>
      </c>
      <c r="G207" s="2" t="s">
        <v>124</v>
      </c>
      <c r="H207" s="2">
        <v>31</v>
      </c>
      <c r="I207" s="3">
        <v>121</v>
      </c>
      <c r="J207" s="4">
        <v>2750000</v>
      </c>
      <c r="K207" s="5">
        <f t="shared" si="96"/>
        <v>122</v>
      </c>
      <c r="L207" s="9" t="n">
        <f>ROUND($J207*1.637*0.8,0)</f>
        <v>3601400</v>
      </c>
      <c r="M207" s="3">
        <f t="shared" si="97"/>
        <v>123</v>
      </c>
      <c r="N207" s="10" t="n">
        <f>ROUND($J207*1.637*1.75*0.8,0)</f>
        <v>6302450</v>
      </c>
      <c r="O207" s="5">
        <f t="shared" si="98"/>
        <v>125</v>
      </c>
      <c r="P207" s="9" t="n">
        <f>ROUND($J207*1.637*1.75*2.1*0.8,0)</f>
        <v>13235145</v>
      </c>
      <c r="Q207" s="3">
        <f t="shared" si="99"/>
        <v>127</v>
      </c>
      <c r="R207" s="10" t="n">
        <f>ROUND($J207*1.637*1.75*2.1*2.3*0.542035092435954,0)</f>
        <v>20625000</v>
      </c>
      <c r="S207" s="5">
        <f t="shared" si="100"/>
        <v>129</v>
      </c>
      <c r="T207" s="9" t="n">
        <f>ROUND($J207*1.637*1.75*2.1*2.3*2.6*0.544690061623969,0)</f>
        <v>53887663</v>
      </c>
      <c r="U207" s="3">
        <f t="shared" si="101"/>
        <v>132</v>
      </c>
      <c r="V207" s="10" t="n">
        <f>ROUND($J207*1.637*1.75*2.1*2.3*2.6*3.2*0.547345030811984,0)</f>
        <v>173281045</v>
      </c>
      <c r="W207" s="5">
        <f t="shared" si="102"/>
        <v>136</v>
      </c>
      <c r="X207" s="9" t="n">
        <f>ROUND($J207*1.637*1.75*2.1*2.3*2.6*3.2*4.2*0.55,0)</f>
        <v>731310584</v>
      </c>
      <c r="Y207" s="3">
        <f t="shared" si="103"/>
        <v>138</v>
      </c>
      <c r="Z207" s="10" t="n">
        <f>ROUND($J207*1.637*1.75*2.1*2.3*2.6*3.2*4.2*2.4*0.55,0)</f>
        <v>1755145402</v>
      </c>
      <c r="AA207" s="5">
        <f t="shared" si="104"/>
        <v>140</v>
      </c>
      <c r="AB207" s="9" t="n">
        <f>ROUND($J207*1.637*1.75*2.1*2.3*2.6*3.2*4.2*2.4*2.5*0.55,0)</f>
        <v>4387863504</v>
      </c>
      <c r="AC207" s="3">
        <f t="shared" si="105"/>
        <v>142</v>
      </c>
      <c r="AD207" s="10" t="n">
        <f>ROUND($J207*1.637*1.75*2.1*2.3*2.6*3.2*4.2*2.4*2.5*2.8*0.55,0)</f>
        <v>12286017811</v>
      </c>
      <c r="AE207" s="5">
        <f t="shared" si="106"/>
        <v>145</v>
      </c>
      <c r="AF207" s="9" t="n">
        <f>ROUND($J207*1.637*1.75*2.1*2.3*2.6*3.2*4.2*2.4*2.5*2.8*3.2*0.55,0)</f>
        <v>39315256996</v>
      </c>
      <c r="AG207" s="3">
        <f t="shared" si="107"/>
        <v>148</v>
      </c>
      <c r="AH207" s="10" t="n">
        <f>ROUND($J207*1.637*1.75*2.1*2.3*2.6*3.2*4.2*2.4*2.5*2.8*3.2*3.8*0.55,0)</f>
        <v>149397976585</v>
      </c>
    </row>
    <row r="208" hidden="1">
      <c r="A208" s="2">
        <v>277</v>
      </c>
      <c r="B208" s="2" t="s">
        <v>335</v>
      </c>
      <c r="C208" s="2" t="s">
        <v>228</v>
      </c>
      <c r="D208" s="2" t="s">
        <v>79</v>
      </c>
      <c r="E208" s="2">
        <v>121</v>
      </c>
      <c r="F208" s="2" t="s">
        <v>54</v>
      </c>
      <c r="G208" s="2" t="s">
        <v>218</v>
      </c>
      <c r="H208" s="2">
        <v>30</v>
      </c>
      <c r="I208" s="3">
        <v>121</v>
      </c>
      <c r="J208" s="4">
        <v>2980000</v>
      </c>
      <c r="K208" s="5">
        <f t="shared" si="96"/>
        <v>122</v>
      </c>
      <c r="L208" s="9" t="n">
        <f>ROUND($J208*1.637*1,0)</f>
        <v>4878260</v>
      </c>
      <c r="M208" s="3">
        <f t="shared" si="97"/>
        <v>123</v>
      </c>
      <c r="N208" s="10" t="n">
        <f>ROUND($J208*1.637*1.75*1,0)</f>
        <v>8536955</v>
      </c>
      <c r="O208" s="5">
        <f t="shared" si="98"/>
        <v>125</v>
      </c>
      <c r="P208" s="9" t="n">
        <f>ROUND($J208*1.637*1.75*2.1*1,0)</f>
        <v>17927606</v>
      </c>
      <c r="Q208" s="3">
        <f t="shared" si="99"/>
        <v>127</v>
      </c>
      <c r="R208" s="10" t="n">
        <f>ROUND($J208*1.637*1.75*2.1*2.3*1,0)</f>
        <v>41233493</v>
      </c>
      <c r="S208" s="5">
        <f t="shared" si="100"/>
        <v>129</v>
      </c>
      <c r="T208" s="9" t="n">
        <f>ROUND($J208*1.637*1.75*2.1*2.3*2.6*1,0)</f>
        <v>107207081</v>
      </c>
      <c r="U208" s="3">
        <f t="shared" si="101"/>
        <v>132</v>
      </c>
      <c r="V208" s="10" t="n">
        <f>ROUND($J208*1.637*1.75*2.1*2.3*2.6*3.2*1,0)</f>
        <v>343062659</v>
      </c>
      <c r="W208" s="5">
        <f t="shared" si="102"/>
        <v>136</v>
      </c>
      <c r="X208" s="9" t="n">
        <f>ROUND($J208*1.637*1.75*2.1*2.3*2.6*3.2*4.2*1,0)</f>
        <v>1440863167</v>
      </c>
      <c r="Y208" s="3">
        <f t="shared" si="103"/>
        <v>138</v>
      </c>
      <c r="Z208" s="10" t="n">
        <f>ROUND($J208*1.637*1.75*2.1*2.3*2.6*3.2*4.2*2.4*1,0)</f>
        <v>3458071601</v>
      </c>
      <c r="AA208" s="5">
        <f t="shared" si="104"/>
        <v>140</v>
      </c>
      <c r="AB208" s="9" t="n">
        <f>ROUND($J208*1.637*1.75*2.1*2.3*2.6*3.2*4.2*2.4*2.5*1,0)</f>
        <v>8645179003</v>
      </c>
      <c r="AC208" s="3">
        <f t="shared" si="105"/>
        <v>142</v>
      </c>
      <c r="AD208" s="10" t="n">
        <f>ROUND($J208*1.637*1.75*2.1*2.3*2.6*3.2*4.2*2.4*2.5*2.8*1,0)</f>
        <v>24206501208</v>
      </c>
      <c r="AE208" s="5">
        <f t="shared" si="106"/>
        <v>145</v>
      </c>
      <c r="AF208" s="9" t="n">
        <f>ROUND($J208*1.637*1.75*2.1*2.3*2.6*3.2*4.2*2.4*2.5*2.8*3.2*1,0)</f>
        <v>77460803867</v>
      </c>
      <c r="AG208" s="3">
        <f t="shared" si="107"/>
        <v>148</v>
      </c>
      <c r="AH208" s="10" t="n">
        <f>ROUND($J208*1.637*1.75*2.1*2.3*2.6*3.2*4.2*2.4*2.5*2.8*3.2*3.8*1,0)</f>
        <v>294351054693</v>
      </c>
    </row>
    <row r="209" hidden="1">
      <c r="A209" s="2">
        <v>205</v>
      </c>
      <c r="B209" s="2" t="s">
        <v>336</v>
      </c>
      <c r="C209" s="2" t="s">
        <v>228</v>
      </c>
      <c r="D209" s="2" t="s">
        <v>25</v>
      </c>
      <c r="E209" s="2">
        <v>121</v>
      </c>
      <c r="F209" s="2" t="s">
        <v>54</v>
      </c>
      <c r="G209" s="2" t="s">
        <v>337</v>
      </c>
      <c r="H209" s="2">
        <v>30</v>
      </c>
      <c r="I209" s="3">
        <v>121</v>
      </c>
      <c r="J209" s="4">
        <v>2390000</v>
      </c>
      <c r="K209" s="5">
        <f t="shared" si="96"/>
        <v>122</v>
      </c>
      <c r="L209" s="9" t="n">
        <f>ROUND($J209*1.637*0.8,0)</f>
        <v>3129944</v>
      </c>
      <c r="M209" s="3">
        <f t="shared" si="97"/>
        <v>123</v>
      </c>
      <c r="N209" s="10" t="n">
        <f>ROUND($J209*1.637*1.75*0.8,0)</f>
        <v>5477402</v>
      </c>
      <c r="O209" s="5">
        <f t="shared" si="98"/>
        <v>125</v>
      </c>
      <c r="P209" s="9" t="n">
        <f>ROUND($J209*1.637*1.75*2.1*0.8,0)</f>
        <v>11502544</v>
      </c>
      <c r="Q209" s="3">
        <f t="shared" si="99"/>
        <v>127</v>
      </c>
      <c r="R209" s="10" t="n">
        <f>ROUND($J209*1.637*1.75*2.1*2.3*0.542035092435954,0)</f>
        <v>17925000</v>
      </c>
      <c r="S209" s="5">
        <f t="shared" si="100"/>
        <v>129</v>
      </c>
      <c r="T209" s="9" t="n">
        <f>ROUND($J209*1.637*1.75*2.1*2.3*2.6*0.544690061623969,0)</f>
        <v>46833278</v>
      </c>
      <c r="U209" s="3">
        <f t="shared" si="101"/>
        <v>132</v>
      </c>
      <c r="V209" s="10" t="n">
        <f>ROUND($J209*1.637*1.75*2.1*2.3*2.6*3.2*0.547345030811984,0)</f>
        <v>150596981</v>
      </c>
      <c r="W209" s="5">
        <f t="shared" si="102"/>
        <v>136</v>
      </c>
      <c r="X209" s="9" t="n">
        <f>ROUND($J209*1.637*1.75*2.1*2.3*2.6*3.2*4.2*0.55,0)</f>
        <v>635575380</v>
      </c>
      <c r="Y209" s="3">
        <f t="shared" si="103"/>
        <v>138</v>
      </c>
      <c r="Z209" s="10" t="n">
        <f>ROUND($J209*1.637*1.75*2.1*2.3*2.6*3.2*4.2*2.4*0.55,0)</f>
        <v>1525380913</v>
      </c>
      <c r="AA209" s="5">
        <f t="shared" si="104"/>
        <v>140</v>
      </c>
      <c r="AB209" s="9" t="n">
        <f>ROUND($J209*1.637*1.75*2.1*2.3*2.6*3.2*4.2*2.4*2.5*0.55,0)</f>
        <v>3813452282</v>
      </c>
      <c r="AC209" s="3">
        <f t="shared" si="105"/>
        <v>142</v>
      </c>
      <c r="AD209" s="10" t="n">
        <f>ROUND($J209*1.637*1.75*2.1*2.3*2.6*3.2*4.2*2.4*2.5*2.8*0.55,0)</f>
        <v>10677666389</v>
      </c>
      <c r="AE209" s="5">
        <f t="shared" si="106"/>
        <v>145</v>
      </c>
      <c r="AF209" s="9" t="n">
        <f>ROUND($J209*1.637*1.75*2.1*2.3*2.6*3.2*4.2*2.4*2.5*2.8*3.2*0.55,0)</f>
        <v>34168532444</v>
      </c>
      <c r="AG209" s="3">
        <f t="shared" si="107"/>
        <v>148</v>
      </c>
      <c r="AH209" s="10" t="n">
        <f>ROUND($J209*1.637*1.75*2.1*2.3*2.6*3.2*4.2*2.4*2.5*2.8*3.2*3.8*0.55,0)</f>
        <v>129840423287</v>
      </c>
    </row>
    <row r="210" hidden="1">
      <c r="A210" s="2">
        <v>157</v>
      </c>
      <c r="B210" s="2" t="s">
        <v>338</v>
      </c>
      <c r="C210" s="2" t="s">
        <v>228</v>
      </c>
      <c r="D210" s="2" t="s">
        <v>75</v>
      </c>
      <c r="E210" s="2">
        <v>121</v>
      </c>
      <c r="F210" s="2" t="s">
        <v>71</v>
      </c>
      <c r="G210" s="2" t="s">
        <v>339</v>
      </c>
      <c r="H210" s="2">
        <v>31</v>
      </c>
      <c r="I210" s="3">
        <v>121</v>
      </c>
      <c r="J210" s="4">
        <v>4590000</v>
      </c>
      <c r="K210" s="5">
        <f t="shared" si="96"/>
        <v>122</v>
      </c>
      <c r="L210" s="9" t="n">
        <f>ROUND($J210*1.637*1,0)</f>
        <v>7513830</v>
      </c>
      <c r="M210" s="3">
        <f t="shared" si="97"/>
        <v>123</v>
      </c>
      <c r="N210" s="10" t="n">
        <f>ROUND($J210*1.637*1.75*1,0)</f>
        <v>13149203</v>
      </c>
      <c r="O210" s="5">
        <f t="shared" si="98"/>
        <v>125</v>
      </c>
      <c r="P210" s="9" t="n">
        <f>ROUND($J210*1.637*1.75*2.1*1,0)</f>
        <v>27613325</v>
      </c>
      <c r="Q210" s="3">
        <f t="shared" si="99"/>
        <v>127</v>
      </c>
      <c r="R210" s="10" t="n">
        <f>ROUND($J210*1.637*1.75*2.1*2.3*1,0)</f>
        <v>63510648</v>
      </c>
      <c r="S210" s="5">
        <f t="shared" si="100"/>
        <v>129</v>
      </c>
      <c r="T210" s="9" t="n">
        <f>ROUND($J210*1.637*1.75*2.1*2.3*2.6*1,0)</f>
        <v>165127685</v>
      </c>
      <c r="U210" s="3">
        <f t="shared" si="101"/>
        <v>132</v>
      </c>
      <c r="V210" s="10" t="n">
        <f>ROUND($J210*1.637*1.75*2.1*2.3*2.6*3.2*1,0)</f>
        <v>528408592</v>
      </c>
      <c r="W210" s="5">
        <f t="shared" si="102"/>
        <v>136</v>
      </c>
      <c r="X210" s="9" t="n">
        <f>ROUND($J210*1.637*1.75*2.1*2.3*2.6*3.2*4.2*1,0)</f>
        <v>2219316086</v>
      </c>
      <c r="Y210" s="3">
        <f t="shared" si="103"/>
        <v>138</v>
      </c>
      <c r="Z210" s="10" t="n">
        <f>ROUND($J210*1.637*1.75*2.1*2.3*2.6*3.2*4.2*2.4*1,0)</f>
        <v>5326358607</v>
      </c>
      <c r="AA210" s="5">
        <f t="shared" si="104"/>
        <v>140</v>
      </c>
      <c r="AB210" s="9" t="n">
        <f>ROUND($J210*1.637*1.75*2.1*2.3*2.6*3.2*4.2*2.4*2.5*1,0)</f>
        <v>13315896518</v>
      </c>
      <c r="AC210" s="3">
        <f t="shared" si="105"/>
        <v>142</v>
      </c>
      <c r="AD210" s="10" t="n">
        <f>ROUND($J210*1.637*1.75*2.1*2.3*2.6*3.2*4.2*2.4*2.5*2.8*1,0)</f>
        <v>37284510250</v>
      </c>
      <c r="AE210" s="5">
        <f t="shared" si="106"/>
        <v>145</v>
      </c>
      <c r="AF210" s="9" t="n">
        <f>ROUND($J210*1.637*1.75*2.1*2.3*2.6*3.2*4.2*2.4*2.5*2.8*3.2*1,0)</f>
        <v>119310432801</v>
      </c>
      <c r="AG210" s="3">
        <f t="shared" si="107"/>
        <v>148</v>
      </c>
      <c r="AH210" s="10" t="n">
        <f>ROUND($J210*1.637*1.75*2.1*2.3*2.6*3.2*4.2*2.4*2.5*2.8*3.2*3.8*1,0)</f>
        <v>453379644645</v>
      </c>
    </row>
    <row r="211" hidden="1">
      <c r="A211" s="2">
        <v>193</v>
      </c>
      <c r="B211" s="2" t="s">
        <v>340</v>
      </c>
      <c r="C211" s="2" t="s">
        <v>228</v>
      </c>
      <c r="D211" s="2" t="s">
        <v>79</v>
      </c>
      <c r="E211" s="2">
        <v>121</v>
      </c>
      <c r="F211" s="2" t="s">
        <v>341</v>
      </c>
      <c r="G211" s="2" t="s">
        <v>342</v>
      </c>
      <c r="H211" s="2">
        <v>31</v>
      </c>
      <c r="I211" s="3">
        <v>121</v>
      </c>
      <c r="J211" s="4">
        <v>2750000</v>
      </c>
      <c r="K211" s="5">
        <f t="shared" si="96"/>
        <v>122</v>
      </c>
      <c r="L211" s="9" t="n">
        <f>ROUND($J211*1.637*0.8,0)</f>
        <v>3601400</v>
      </c>
      <c r="M211" s="3">
        <f t="shared" si="97"/>
        <v>123</v>
      </c>
      <c r="N211" s="10" t="n">
        <f>ROUND($J211*1.637*1.75*0.8,0)</f>
        <v>6302450</v>
      </c>
      <c r="O211" s="5">
        <f t="shared" si="98"/>
        <v>125</v>
      </c>
      <c r="P211" s="9" t="n">
        <f>ROUND($J211*1.637*1.75*2.1*0.8,0)</f>
        <v>13235145</v>
      </c>
      <c r="Q211" s="3">
        <f t="shared" si="99"/>
        <v>127</v>
      </c>
      <c r="R211" s="10" t="n">
        <f>ROUND($J211*1.637*1.75*2.1*2.3*0.542035092435954,0)</f>
        <v>20625000</v>
      </c>
      <c r="S211" s="5">
        <f t="shared" si="100"/>
        <v>129</v>
      </c>
      <c r="T211" s="9" t="n">
        <f>ROUND($J211*1.637*1.75*2.1*2.3*2.6*0.544690061623969,0)</f>
        <v>53887663</v>
      </c>
      <c r="U211" s="3">
        <f t="shared" si="101"/>
        <v>132</v>
      </c>
      <c r="V211" s="10" t="n">
        <f>ROUND($J211*1.637*1.75*2.1*2.3*2.6*3.2*0.547345030811984,0)</f>
        <v>173281045</v>
      </c>
      <c r="W211" s="5">
        <f t="shared" si="102"/>
        <v>136</v>
      </c>
      <c r="X211" s="9" t="n">
        <f>ROUND($J211*1.637*1.75*2.1*2.3*2.6*3.2*4.2*0.55,0)</f>
        <v>731310584</v>
      </c>
      <c r="Y211" s="3">
        <f t="shared" si="103"/>
        <v>138</v>
      </c>
      <c r="Z211" s="10" t="n">
        <f>ROUND($J211*1.637*1.75*2.1*2.3*2.6*3.2*4.2*2.4*0.55,0)</f>
        <v>1755145402</v>
      </c>
      <c r="AA211" s="5">
        <f t="shared" si="104"/>
        <v>140</v>
      </c>
      <c r="AB211" s="9" t="n">
        <f>ROUND($J211*1.637*1.75*2.1*2.3*2.6*3.2*4.2*2.4*2.5*0.55,0)</f>
        <v>4387863504</v>
      </c>
      <c r="AC211" s="3">
        <f t="shared" si="105"/>
        <v>142</v>
      </c>
      <c r="AD211" s="10" t="n">
        <f>ROUND($J211*1.637*1.75*2.1*2.3*2.6*3.2*4.2*2.4*2.5*2.8*0.55,0)</f>
        <v>12286017811</v>
      </c>
      <c r="AE211" s="5">
        <f t="shared" si="106"/>
        <v>145</v>
      </c>
      <c r="AF211" s="9" t="n">
        <f>ROUND($J211*1.637*1.75*2.1*2.3*2.6*3.2*4.2*2.4*2.5*2.8*3.2*0.55,0)</f>
        <v>39315256996</v>
      </c>
      <c r="AG211" s="3">
        <f t="shared" si="107"/>
        <v>148</v>
      </c>
      <c r="AH211" s="10" t="n">
        <f>ROUND($J211*1.637*1.75*2.1*2.3*2.6*3.2*4.2*2.4*2.5*2.8*3.2*3.8*0.55,0)</f>
        <v>149397976585</v>
      </c>
    </row>
    <row r="212" hidden="1">
      <c r="A212" s="2">
        <v>199</v>
      </c>
      <c r="B212" s="2" t="s">
        <v>343</v>
      </c>
      <c r="C212" s="2" t="s">
        <v>228</v>
      </c>
      <c r="D212" s="2" t="s">
        <v>33</v>
      </c>
      <c r="E212" s="2">
        <v>121</v>
      </c>
      <c r="F212" s="2" t="s">
        <v>97</v>
      </c>
      <c r="G212" s="2" t="s">
        <v>104</v>
      </c>
      <c r="H212" s="2">
        <v>30</v>
      </c>
      <c r="I212" s="3">
        <v>121</v>
      </c>
      <c r="J212" s="4">
        <v>2360000</v>
      </c>
      <c r="K212" s="5">
        <f t="shared" si="96"/>
        <v>122</v>
      </c>
      <c r="L212" s="9" t="n">
        <f>ROUND($J212*1.637*0.8,0)</f>
        <v>3090656</v>
      </c>
      <c r="M212" s="3">
        <f t="shared" si="97"/>
        <v>123</v>
      </c>
      <c r="N212" s="10" t="n">
        <f>ROUND($J212*1.637*1.75*0.8,0)</f>
        <v>5408648</v>
      </c>
      <c r="O212" s="5">
        <f t="shared" si="98"/>
        <v>125</v>
      </c>
      <c r="P212" s="9" t="n">
        <f>ROUND($J212*1.637*1.75*2.1*0.8,0)</f>
        <v>11358161</v>
      </c>
      <c r="Q212" s="3">
        <f t="shared" si="99"/>
        <v>127</v>
      </c>
      <c r="R212" s="10" t="n">
        <f>ROUND($J212*1.637*1.75*2.1*2.3*0.542035092435954,0)</f>
        <v>17700000</v>
      </c>
      <c r="S212" s="5">
        <f t="shared" si="100"/>
        <v>129</v>
      </c>
      <c r="T212" s="9" t="n">
        <f>ROUND($J212*1.637*1.75*2.1*2.3*2.6*0.544690061623969,0)</f>
        <v>46245413</v>
      </c>
      <c r="U212" s="3">
        <f t="shared" si="101"/>
        <v>132</v>
      </c>
      <c r="V212" s="10" t="n">
        <f>ROUND($J212*1.637*1.75*2.1*2.3*2.6*3.2*0.547345030811984,0)</f>
        <v>148706642</v>
      </c>
      <c r="W212" s="5">
        <f t="shared" si="102"/>
        <v>136</v>
      </c>
      <c r="X212" s="9" t="n">
        <f>ROUND($J212*1.637*1.75*2.1*2.3*2.6*3.2*4.2*0.55,0)</f>
        <v>627597447</v>
      </c>
      <c r="Y212" s="3">
        <f t="shared" si="103"/>
        <v>138</v>
      </c>
      <c r="Z212" s="10" t="n">
        <f>ROUND($J212*1.637*1.75*2.1*2.3*2.6*3.2*4.2*2.4*0.55,0)</f>
        <v>1506233872</v>
      </c>
      <c r="AA212" s="5">
        <f t="shared" si="104"/>
        <v>140</v>
      </c>
      <c r="AB212" s="9" t="n">
        <f>ROUND($J212*1.637*1.75*2.1*2.3*2.6*3.2*4.2*2.4*2.5*0.55,0)</f>
        <v>3765584680</v>
      </c>
      <c r="AC212" s="3">
        <f t="shared" si="105"/>
        <v>142</v>
      </c>
      <c r="AD212" s="10" t="n">
        <f>ROUND($J212*1.637*1.75*2.1*2.3*2.6*3.2*4.2*2.4*2.5*2.8*0.55,0)</f>
        <v>10543637103</v>
      </c>
      <c r="AE212" s="5">
        <f t="shared" si="106"/>
        <v>145</v>
      </c>
      <c r="AF212" s="9" t="n">
        <f>ROUND($J212*1.637*1.75*2.1*2.3*2.6*3.2*4.2*2.4*2.5*2.8*3.2*0.55,0)</f>
        <v>33739638731</v>
      </c>
      <c r="AG212" s="3">
        <f t="shared" si="107"/>
        <v>148</v>
      </c>
      <c r="AH212" s="10" t="n">
        <f>ROUND($J212*1.637*1.75*2.1*2.3*2.6*3.2*4.2*2.4*2.5*2.8*3.2*3.8*0.55,0)</f>
        <v>128210627178</v>
      </c>
    </row>
    <row r="213" hidden="1">
      <c r="A213" s="2">
        <v>210</v>
      </c>
      <c r="B213" s="2" t="s">
        <v>344</v>
      </c>
      <c r="C213" s="2" t="s">
        <v>228</v>
      </c>
      <c r="D213" s="2" t="s">
        <v>47</v>
      </c>
      <c r="E213" s="2">
        <v>121</v>
      </c>
      <c r="F213" s="2" t="s">
        <v>345</v>
      </c>
      <c r="G213" s="2" t="s">
        <v>346</v>
      </c>
      <c r="H213" s="2">
        <v>27</v>
      </c>
      <c r="I213" s="3">
        <v>121</v>
      </c>
      <c r="J213" s="4">
        <v>2360000</v>
      </c>
      <c r="K213" s="5">
        <f t="shared" si="96"/>
        <v>122</v>
      </c>
      <c r="L213" s="9" t="n">
        <f>ROUND($J213*1.637*0.8,0)</f>
        <v>3090656</v>
      </c>
      <c r="M213" s="3">
        <f t="shared" si="97"/>
        <v>123</v>
      </c>
      <c r="N213" s="10" t="n">
        <f>ROUND($J213*1.637*1.75*0.8,0)</f>
        <v>5408648</v>
      </c>
      <c r="O213" s="5">
        <f t="shared" si="98"/>
        <v>125</v>
      </c>
      <c r="P213" s="9" t="n">
        <f>ROUND($J213*1.637*1.75*2.1*0.8,0)</f>
        <v>11358161</v>
      </c>
      <c r="Q213" s="3">
        <f t="shared" si="99"/>
        <v>127</v>
      </c>
      <c r="R213" s="10" t="n">
        <f>ROUND($J213*1.637*1.75*2.1*2.3*0.542035092435954,0)</f>
        <v>17700000</v>
      </c>
      <c r="S213" s="5">
        <f t="shared" si="100"/>
        <v>129</v>
      </c>
      <c r="T213" s="9" t="n">
        <f>ROUND($J213*1.637*1.75*2.1*2.3*2.6*0.544690061623969,0)</f>
        <v>46245413</v>
      </c>
      <c r="U213" s="3">
        <f t="shared" si="101"/>
        <v>132</v>
      </c>
      <c r="V213" s="10" t="n">
        <f>ROUND($J213*1.637*1.75*2.1*2.3*2.6*3.2*0.547345030811984,0)</f>
        <v>148706642</v>
      </c>
      <c r="W213" s="5">
        <f t="shared" si="102"/>
        <v>136</v>
      </c>
      <c r="X213" s="9" t="n">
        <f>ROUND($J213*1.637*1.75*2.1*2.3*2.6*3.2*4.2*0.55,0)</f>
        <v>627597447</v>
      </c>
      <c r="Y213" s="3">
        <f t="shared" si="103"/>
        <v>138</v>
      </c>
      <c r="Z213" s="10" t="n">
        <f>ROUND($J213*1.637*1.75*2.1*2.3*2.6*3.2*4.2*2.4*0.55,0)</f>
        <v>1506233872</v>
      </c>
      <c r="AA213" s="5">
        <f t="shared" si="104"/>
        <v>140</v>
      </c>
      <c r="AB213" s="9" t="n">
        <f>ROUND($J213*1.637*1.75*2.1*2.3*2.6*3.2*4.2*2.4*2.5*0.55,0)</f>
        <v>3765584680</v>
      </c>
      <c r="AC213" s="3">
        <f t="shared" si="105"/>
        <v>142</v>
      </c>
      <c r="AD213" s="10" t="n">
        <f>ROUND($J213*1.637*1.75*2.1*2.3*2.6*3.2*4.2*2.4*2.5*2.8*0.55,0)</f>
        <v>10543637103</v>
      </c>
      <c r="AE213" s="5">
        <f t="shared" si="106"/>
        <v>145</v>
      </c>
      <c r="AF213" s="9" t="n">
        <f>ROUND($J213*1.637*1.75*2.1*2.3*2.6*3.2*4.2*2.4*2.5*2.8*3.2*0.55,0)</f>
        <v>33739638731</v>
      </c>
      <c r="AG213" s="3">
        <f t="shared" si="107"/>
        <v>148</v>
      </c>
      <c r="AH213" s="10" t="n">
        <f>ROUND($J213*1.637*1.75*2.1*2.3*2.6*3.2*4.2*2.4*2.5*2.8*3.2*3.8*0.55,0)</f>
        <v>128210627178</v>
      </c>
    </row>
    <row r="214" hidden="1">
      <c r="A214" s="2">
        <v>188</v>
      </c>
      <c r="B214" s="2" t="s">
        <v>347</v>
      </c>
      <c r="C214" s="2" t="s">
        <v>228</v>
      </c>
      <c r="D214" s="2" t="s">
        <v>29</v>
      </c>
      <c r="E214" s="2">
        <v>121</v>
      </c>
      <c r="F214" s="2" t="s">
        <v>123</v>
      </c>
      <c r="G214" s="2" t="s">
        <v>342</v>
      </c>
      <c r="H214" s="2">
        <v>32</v>
      </c>
      <c r="I214" s="3">
        <v>121</v>
      </c>
      <c r="J214" s="4">
        <v>2750000</v>
      </c>
      <c r="K214" s="5">
        <f t="shared" si="96"/>
        <v>122</v>
      </c>
      <c r="L214" s="9" t="n">
        <f>ROUND($J214*1.637*1,0)</f>
        <v>4501750</v>
      </c>
      <c r="M214" s="3">
        <f t="shared" si="97"/>
        <v>123</v>
      </c>
      <c r="N214" s="10" t="n">
        <f>ROUND($J214*1.637*1.75*1,0)</f>
        <v>7878063</v>
      </c>
      <c r="O214" s="5">
        <f t="shared" si="98"/>
        <v>125</v>
      </c>
      <c r="P214" s="9" t="n">
        <f>ROUND($J214*1.637*1.75*2.1*1,0)</f>
        <v>16543931</v>
      </c>
      <c r="Q214" s="3">
        <f t="shared" si="99"/>
        <v>127</v>
      </c>
      <c r="R214" s="10" t="n">
        <f>ROUND($J214*1.637*1.75*2.1*2.3*1.25,0)</f>
        <v>47563802</v>
      </c>
      <c r="S214" s="5">
        <f t="shared" si="100"/>
        <v>129</v>
      </c>
      <c r="T214" s="9" t="n">
        <f>ROUND($J214*1.637*1.75*2.1*2.3*2.6*1.25,0)</f>
        <v>123665886</v>
      </c>
      <c r="U214" s="3">
        <f t="shared" si="101"/>
        <v>132</v>
      </c>
      <c r="V214" s="10" t="n">
        <f>ROUND($J214*1.637*1.75*2.1*2.3*2.6*3.2*1.25,0)</f>
        <v>395730836</v>
      </c>
      <c r="W214" s="5">
        <f t="shared" si="102"/>
        <v>136</v>
      </c>
      <c r="X214" s="9" t="n">
        <f>ROUND($J214*1.637*1.75*2.1*2.3*2.6*3.2*4.2*1.25,0)</f>
        <v>1662069509</v>
      </c>
      <c r="Y214" s="3">
        <f t="shared" si="103"/>
        <v>138</v>
      </c>
      <c r="Z214" s="10" t="n">
        <f>ROUND($J214*1.637*1.75*2.1*2.3*2.6*3.2*4.2*2.4*1.25,0)</f>
        <v>3988966822</v>
      </c>
      <c r="AA214" s="5">
        <f t="shared" si="104"/>
        <v>140</v>
      </c>
      <c r="AB214" s="9" t="n">
        <f>ROUND($J214*1.637*1.75*2.1*2.3*2.6*3.2*4.2*2.4*2.5*1.25,0)</f>
        <v>9972417055</v>
      </c>
      <c r="AC214" s="3">
        <f t="shared" si="105"/>
        <v>142</v>
      </c>
      <c r="AD214" s="10" t="n">
        <f>ROUND($J214*1.637*1.75*2.1*2.3*2.6*3.2*4.2*2.4*2.5*2.8*1.25,0)</f>
        <v>27922767753</v>
      </c>
      <c r="AE214" s="5">
        <f t="shared" si="106"/>
        <v>145</v>
      </c>
      <c r="AF214" s="9" t="n">
        <f>ROUND($J214*1.637*1.75*2.1*2.3*2.6*3.2*4.2*2.4*2.5*2.8*3.2*1.25,0)</f>
        <v>89352856809</v>
      </c>
      <c r="AG214" s="3">
        <f t="shared" si="107"/>
        <v>148</v>
      </c>
      <c r="AH214" s="10" t="n">
        <f>ROUND($J214*1.637*1.75*2.1*2.3*2.6*3.2*4.2*2.4*2.5*2.8*3.2*3.8*1.25,0)</f>
        <v>339540855875</v>
      </c>
    </row>
    <row r="215" hidden="1">
      <c r="A215" s="2">
        <v>204</v>
      </c>
      <c r="B215" s="2" t="s">
        <v>348</v>
      </c>
      <c r="C215" s="2" t="s">
        <v>228</v>
      </c>
      <c r="D215" s="2" t="s">
        <v>64</v>
      </c>
      <c r="E215" s="2">
        <v>121</v>
      </c>
      <c r="F215" s="2" t="s">
        <v>132</v>
      </c>
      <c r="G215" s="2" t="s">
        <v>349</v>
      </c>
      <c r="H215" s="2">
        <v>30</v>
      </c>
      <c r="I215" s="3">
        <v>121</v>
      </c>
      <c r="J215" s="4">
        <v>2780000</v>
      </c>
      <c r="K215" s="5">
        <f t="shared" si="96"/>
        <v>122</v>
      </c>
      <c r="L215" s="9" t="n">
        <f t="shared" ref="L215:L222" si="108">ROUND($J215*1.637*0.8,0)</f>
        <v>3640688</v>
      </c>
      <c r="M215" s="3">
        <f t="shared" si="97"/>
        <v>123</v>
      </c>
      <c r="N215" s="10" t="n">
        <f t="shared" ref="N215:N222" si="109">ROUND($J215*1.637*1.75*0.8,0)</f>
        <v>6371204</v>
      </c>
      <c r="O215" s="5">
        <f t="shared" si="98"/>
        <v>125</v>
      </c>
      <c r="P215" s="9" t="n">
        <f t="shared" ref="P215:P222" si="110">ROUND($J215*1.637*1.75*2.1*0.8,0)</f>
        <v>13379528</v>
      </c>
      <c r="Q215" s="3">
        <f t="shared" si="99"/>
        <v>127</v>
      </c>
      <c r="R215" s="10" t="n">
        <f t="shared" ref="R215:R222" si="111">ROUND($J215*1.637*1.75*2.1*2.3*0.542035092435954,0)</f>
        <v>20850000</v>
      </c>
      <c r="S215" s="5">
        <f t="shared" si="100"/>
        <v>129</v>
      </c>
      <c r="T215" s="9" t="n">
        <f t="shared" ref="T215:T222" si="112">ROUND($J215*1.637*1.75*2.1*2.3*2.6*0.544690061623969,0)</f>
        <v>54475529</v>
      </c>
      <c r="U215" s="3">
        <f t="shared" si="101"/>
        <v>132</v>
      </c>
      <c r="V215" s="10" t="n">
        <f t="shared" ref="V215:V222" si="113">ROUND($J215*1.637*1.75*2.1*2.3*2.6*3.2*0.547345030811984,0)</f>
        <v>175171384</v>
      </c>
      <c r="W215" s="5">
        <f t="shared" si="102"/>
        <v>136</v>
      </c>
      <c r="X215" s="9" t="n">
        <f t="shared" ref="X215:X222" si="114">ROUND($J215*1.637*1.75*2.1*2.3*2.6*3.2*4.2*0.55,0)</f>
        <v>739288518</v>
      </c>
      <c r="Y215" s="3">
        <f t="shared" si="103"/>
        <v>138</v>
      </c>
      <c r="Z215" s="10" t="n">
        <f t="shared" ref="Z215:Z222" si="115">ROUND($J215*1.637*1.75*2.1*2.3*2.6*3.2*4.2*2.4*0.55,0)</f>
        <v>1774292442</v>
      </c>
      <c r="AA215" s="5">
        <f t="shared" si="104"/>
        <v>140</v>
      </c>
      <c r="AB215" s="9" t="n">
        <f t="shared" ref="AB215:AB222" si="116">ROUND($J215*1.637*1.75*2.1*2.3*2.6*3.2*4.2*2.4*2.5*0.55,0)</f>
        <v>4435731106</v>
      </c>
      <c r="AC215" s="3">
        <f t="shared" si="105"/>
        <v>142</v>
      </c>
      <c r="AD215" s="10" t="n">
        <f t="shared" ref="AD215:AD222" si="117">ROUND($J215*1.637*1.75*2.1*2.3*2.6*3.2*4.2*2.4*2.5*2.8*0.55,0)</f>
        <v>12420047096</v>
      </c>
      <c r="AE215" s="5">
        <f t="shared" si="106"/>
        <v>145</v>
      </c>
      <c r="AF215" s="9" t="n">
        <f t="shared" ref="AF215:AF222" si="118">ROUND($J215*1.637*1.75*2.1*2.3*2.6*3.2*4.2*2.4*2.5*2.8*3.2*0.55,0)</f>
        <v>39744150709</v>
      </c>
      <c r="AG215" s="3">
        <f t="shared" si="107"/>
        <v>148</v>
      </c>
      <c r="AH215" s="10" t="n">
        <f t="shared" ref="AH215:AH222" si="119">ROUND($J215*1.637*1.75*2.1*2.3*2.6*3.2*4.2*2.4*2.5*2.8*3.2*3.8*0.55,0)</f>
        <v>151027772693</v>
      </c>
    </row>
    <row r="216" hidden="1">
      <c r="A216" s="2">
        <v>187</v>
      </c>
      <c r="B216" s="2" t="s">
        <v>350</v>
      </c>
      <c r="C216" s="2" t="s">
        <v>228</v>
      </c>
      <c r="D216" s="2" t="s">
        <v>40</v>
      </c>
      <c r="E216" s="2">
        <v>121</v>
      </c>
      <c r="F216" s="2" t="s">
        <v>56</v>
      </c>
      <c r="G216" s="2" t="s">
        <v>351</v>
      </c>
      <c r="H216" s="2">
        <v>32</v>
      </c>
      <c r="I216" s="3">
        <v>121</v>
      </c>
      <c r="J216" s="4">
        <v>2390000</v>
      </c>
      <c r="K216" s="5">
        <f t="shared" si="96"/>
        <v>122</v>
      </c>
      <c r="L216" s="9">
        <f t="shared" si="108"/>
        <v>3129944</v>
      </c>
      <c r="M216" s="3">
        <f t="shared" si="97"/>
        <v>123</v>
      </c>
      <c r="N216" s="10">
        <f t="shared" si="109"/>
        <v>5477402</v>
      </c>
      <c r="O216" s="5">
        <f t="shared" si="98"/>
        <v>125</v>
      </c>
      <c r="P216" s="9">
        <f t="shared" si="110"/>
        <v>11502544</v>
      </c>
      <c r="Q216" s="3">
        <f t="shared" si="99"/>
        <v>127</v>
      </c>
      <c r="R216" s="10">
        <f t="shared" si="111"/>
        <v>17925000</v>
      </c>
      <c r="S216" s="5">
        <f t="shared" si="100"/>
        <v>129</v>
      </c>
      <c r="T216" s="9">
        <f t="shared" si="112"/>
        <v>46833278</v>
      </c>
      <c r="U216" s="3">
        <f t="shared" si="101"/>
        <v>132</v>
      </c>
      <c r="V216" s="10">
        <f t="shared" si="113"/>
        <v>150596981</v>
      </c>
      <c r="W216" s="5">
        <f t="shared" si="102"/>
        <v>136</v>
      </c>
      <c r="X216" s="9">
        <f t="shared" si="114"/>
        <v>635575380</v>
      </c>
      <c r="Y216" s="3">
        <f t="shared" si="103"/>
        <v>138</v>
      </c>
      <c r="Z216" s="10">
        <f t="shared" si="115"/>
        <v>1525380913</v>
      </c>
      <c r="AA216" s="5">
        <f t="shared" si="104"/>
        <v>140</v>
      </c>
      <c r="AB216" s="9">
        <f t="shared" si="116"/>
        <v>3813452282</v>
      </c>
      <c r="AC216" s="3">
        <f t="shared" si="105"/>
        <v>142</v>
      </c>
      <c r="AD216" s="10">
        <f t="shared" si="117"/>
        <v>10677666389</v>
      </c>
      <c r="AE216" s="5">
        <f t="shared" si="106"/>
        <v>145</v>
      </c>
      <c r="AF216" s="9">
        <f t="shared" si="118"/>
        <v>34168532444</v>
      </c>
      <c r="AG216" s="3">
        <f t="shared" si="107"/>
        <v>148</v>
      </c>
      <c r="AH216" s="10">
        <f t="shared" si="119"/>
        <v>129840423287</v>
      </c>
    </row>
    <row r="217" hidden="1">
      <c r="A217" s="2">
        <v>195</v>
      </c>
      <c r="B217" s="2" t="s">
        <v>352</v>
      </c>
      <c r="C217" s="2" t="s">
        <v>228</v>
      </c>
      <c r="D217" s="2" t="s">
        <v>33</v>
      </c>
      <c r="E217" s="2">
        <v>121</v>
      </c>
      <c r="F217" s="2" t="s">
        <v>353</v>
      </c>
      <c r="G217" s="2" t="s">
        <v>354</v>
      </c>
      <c r="H217" s="2">
        <v>31</v>
      </c>
      <c r="I217" s="3">
        <v>121</v>
      </c>
      <c r="J217" s="4">
        <v>2750000</v>
      </c>
      <c r="K217" s="5">
        <f t="shared" si="96"/>
        <v>122</v>
      </c>
      <c r="L217" s="9">
        <f t="shared" si="108"/>
        <v>3601400</v>
      </c>
      <c r="M217" s="3">
        <f t="shared" si="97"/>
        <v>123</v>
      </c>
      <c r="N217" s="10">
        <f t="shared" si="109"/>
        <v>6302450</v>
      </c>
      <c r="O217" s="5">
        <f t="shared" si="98"/>
        <v>125</v>
      </c>
      <c r="P217" s="9">
        <f t="shared" si="110"/>
        <v>13235145</v>
      </c>
      <c r="Q217" s="3">
        <f t="shared" si="99"/>
        <v>127</v>
      </c>
      <c r="R217" s="10">
        <f t="shared" si="111"/>
        <v>20625000</v>
      </c>
      <c r="S217" s="5">
        <f t="shared" si="100"/>
        <v>129</v>
      </c>
      <c r="T217" s="9">
        <f t="shared" si="112"/>
        <v>53887663</v>
      </c>
      <c r="U217" s="3">
        <f t="shared" si="101"/>
        <v>132</v>
      </c>
      <c r="V217" s="10">
        <f t="shared" si="113"/>
        <v>173281045</v>
      </c>
      <c r="W217" s="5">
        <f t="shared" si="102"/>
        <v>136</v>
      </c>
      <c r="X217" s="9">
        <f t="shared" si="114"/>
        <v>731310584</v>
      </c>
      <c r="Y217" s="3">
        <f t="shared" si="103"/>
        <v>138</v>
      </c>
      <c r="Z217" s="10">
        <f t="shared" si="115"/>
        <v>1755145402</v>
      </c>
      <c r="AA217" s="5">
        <f t="shared" si="104"/>
        <v>140</v>
      </c>
      <c r="AB217" s="9">
        <f t="shared" si="116"/>
        <v>4387863504</v>
      </c>
      <c r="AC217" s="3">
        <f t="shared" si="105"/>
        <v>142</v>
      </c>
      <c r="AD217" s="10">
        <f t="shared" si="117"/>
        <v>12286017811</v>
      </c>
      <c r="AE217" s="5">
        <f t="shared" si="106"/>
        <v>145</v>
      </c>
      <c r="AF217" s="9">
        <f t="shared" si="118"/>
        <v>39315256996</v>
      </c>
      <c r="AG217" s="3">
        <f t="shared" si="107"/>
        <v>148</v>
      </c>
      <c r="AH217" s="10">
        <f t="shared" si="119"/>
        <v>149397976585</v>
      </c>
    </row>
    <row r="218" hidden="1">
      <c r="A218" s="2">
        <v>278</v>
      </c>
      <c r="B218" s="2" t="s">
        <v>355</v>
      </c>
      <c r="C218" s="2" t="s">
        <v>228</v>
      </c>
      <c r="D218" s="2" t="s">
        <v>40</v>
      </c>
      <c r="E218" s="2">
        <v>121</v>
      </c>
      <c r="F218" s="2" t="s">
        <v>26</v>
      </c>
      <c r="G218" s="2" t="s">
        <v>356</v>
      </c>
      <c r="H218" s="2">
        <v>30</v>
      </c>
      <c r="I218" s="3">
        <v>121</v>
      </c>
      <c r="J218" s="4">
        <v>2990000</v>
      </c>
      <c r="K218" s="5">
        <f t="shared" si="96"/>
        <v>122</v>
      </c>
      <c r="L218" s="9">
        <f t="shared" si="108"/>
        <v>3915704</v>
      </c>
      <c r="M218" s="3">
        <f t="shared" si="97"/>
        <v>123</v>
      </c>
      <c r="N218" s="10">
        <f t="shared" si="109"/>
        <v>6852482</v>
      </c>
      <c r="O218" s="5">
        <f t="shared" si="98"/>
        <v>125</v>
      </c>
      <c r="P218" s="9">
        <f t="shared" si="110"/>
        <v>14390212</v>
      </c>
      <c r="Q218" s="3">
        <f t="shared" si="99"/>
        <v>127</v>
      </c>
      <c r="R218" s="10">
        <f t="shared" si="111"/>
        <v>22425000</v>
      </c>
      <c r="S218" s="5">
        <f t="shared" si="100"/>
        <v>129</v>
      </c>
      <c r="T218" s="9">
        <f t="shared" si="112"/>
        <v>58590587</v>
      </c>
      <c r="U218" s="3">
        <f t="shared" si="101"/>
        <v>132</v>
      </c>
      <c r="V218" s="10">
        <f t="shared" si="113"/>
        <v>188403754</v>
      </c>
      <c r="W218" s="5">
        <f t="shared" si="102"/>
        <v>136</v>
      </c>
      <c r="X218" s="9">
        <f t="shared" si="114"/>
        <v>795134053</v>
      </c>
      <c r="Y218" s="3">
        <f t="shared" si="103"/>
        <v>138</v>
      </c>
      <c r="Z218" s="10">
        <f t="shared" si="115"/>
        <v>1908321728</v>
      </c>
      <c r="AA218" s="5">
        <f t="shared" si="104"/>
        <v>140</v>
      </c>
      <c r="AB218" s="9">
        <f t="shared" si="116"/>
        <v>4770804319</v>
      </c>
      <c r="AC218" s="3">
        <f t="shared" si="105"/>
        <v>142</v>
      </c>
      <c r="AD218" s="10">
        <f t="shared" si="117"/>
        <v>13358252093</v>
      </c>
      <c r="AE218" s="5">
        <f t="shared" si="106"/>
        <v>145</v>
      </c>
      <c r="AF218" s="9">
        <f t="shared" si="118"/>
        <v>42746406698</v>
      </c>
      <c r="AG218" s="3">
        <f t="shared" si="107"/>
        <v>148</v>
      </c>
      <c r="AH218" s="10">
        <f t="shared" si="119"/>
        <v>162436345451</v>
      </c>
    </row>
    <row r="219" hidden="1">
      <c r="A219" s="2">
        <v>191</v>
      </c>
      <c r="B219" s="2" t="s">
        <v>357</v>
      </c>
      <c r="C219" s="2" t="s">
        <v>228</v>
      </c>
      <c r="D219" s="2" t="s">
        <v>40</v>
      </c>
      <c r="E219" s="2">
        <v>121</v>
      </c>
      <c r="F219" s="2" t="s">
        <v>108</v>
      </c>
      <c r="G219" s="2" t="s">
        <v>358</v>
      </c>
      <c r="H219" s="2">
        <v>31</v>
      </c>
      <c r="I219" s="3">
        <v>121</v>
      </c>
      <c r="J219" s="4">
        <v>2380000</v>
      </c>
      <c r="K219" s="5">
        <f t="shared" si="96"/>
        <v>122</v>
      </c>
      <c r="L219" s="9">
        <f t="shared" si="108"/>
        <v>3116848</v>
      </c>
      <c r="M219" s="3">
        <f t="shared" si="97"/>
        <v>123</v>
      </c>
      <c r="N219" s="10">
        <f t="shared" si="109"/>
        <v>5454484</v>
      </c>
      <c r="O219" s="5">
        <f t="shared" si="98"/>
        <v>125</v>
      </c>
      <c r="P219" s="9">
        <f t="shared" si="110"/>
        <v>11454416</v>
      </c>
      <c r="Q219" s="3">
        <f t="shared" si="99"/>
        <v>127</v>
      </c>
      <c r="R219" s="10">
        <f t="shared" si="111"/>
        <v>17850000</v>
      </c>
      <c r="S219" s="5">
        <f t="shared" si="100"/>
        <v>129</v>
      </c>
      <c r="T219" s="9">
        <f t="shared" si="112"/>
        <v>46637323</v>
      </c>
      <c r="U219" s="3">
        <f t="shared" si="101"/>
        <v>132</v>
      </c>
      <c r="V219" s="10">
        <f t="shared" si="113"/>
        <v>149966868</v>
      </c>
      <c r="W219" s="5">
        <f t="shared" si="102"/>
        <v>136</v>
      </c>
      <c r="X219" s="9">
        <f t="shared" si="114"/>
        <v>632916069</v>
      </c>
      <c r="Y219" s="3">
        <f t="shared" si="103"/>
        <v>138</v>
      </c>
      <c r="Z219" s="10">
        <f t="shared" si="115"/>
        <v>1518998566</v>
      </c>
      <c r="AA219" s="5">
        <f t="shared" si="104"/>
        <v>140</v>
      </c>
      <c r="AB219" s="9">
        <f t="shared" si="116"/>
        <v>3797496414</v>
      </c>
      <c r="AC219" s="3">
        <f t="shared" si="105"/>
        <v>142</v>
      </c>
      <c r="AD219" s="10">
        <f t="shared" si="117"/>
        <v>10632989960</v>
      </c>
      <c r="AE219" s="5">
        <f t="shared" si="106"/>
        <v>145</v>
      </c>
      <c r="AF219" s="9">
        <f t="shared" si="118"/>
        <v>34025567873</v>
      </c>
      <c r="AG219" s="3">
        <f t="shared" si="107"/>
        <v>148</v>
      </c>
      <c r="AH219" s="10">
        <f t="shared" si="119"/>
        <v>129297157917</v>
      </c>
    </row>
    <row r="220" hidden="1">
      <c r="A220" s="2">
        <v>200</v>
      </c>
      <c r="B220" s="2" t="s">
        <v>359</v>
      </c>
      <c r="C220" s="2" t="s">
        <v>228</v>
      </c>
      <c r="D220" s="2" t="s">
        <v>331</v>
      </c>
      <c r="E220" s="2">
        <v>121</v>
      </c>
      <c r="F220" s="2" t="s">
        <v>223</v>
      </c>
      <c r="G220" s="2" t="s">
        <v>277</v>
      </c>
      <c r="H220" s="2">
        <v>30</v>
      </c>
      <c r="I220" s="3">
        <v>121</v>
      </c>
      <c r="J220" s="4">
        <v>2790000</v>
      </c>
      <c r="K220" s="5">
        <f t="shared" si="96"/>
        <v>122</v>
      </c>
      <c r="L220" s="9">
        <f t="shared" si="108"/>
        <v>3653784</v>
      </c>
      <c r="M220" s="3">
        <f t="shared" si="97"/>
        <v>123</v>
      </c>
      <c r="N220" s="10">
        <f t="shared" si="109"/>
        <v>6394122</v>
      </c>
      <c r="O220" s="5">
        <f t="shared" si="98"/>
        <v>125</v>
      </c>
      <c r="P220" s="9">
        <f t="shared" si="110"/>
        <v>13427656</v>
      </c>
      <c r="Q220" s="3">
        <f t="shared" si="99"/>
        <v>127</v>
      </c>
      <c r="R220" s="10">
        <f t="shared" si="111"/>
        <v>20925000</v>
      </c>
      <c r="S220" s="5">
        <f t="shared" si="100"/>
        <v>129</v>
      </c>
      <c r="T220" s="9">
        <f t="shared" si="112"/>
        <v>54671484</v>
      </c>
      <c r="U220" s="3">
        <f t="shared" si="101"/>
        <v>132</v>
      </c>
      <c r="V220" s="10">
        <f t="shared" si="113"/>
        <v>175801497</v>
      </c>
      <c r="W220" s="5">
        <f t="shared" si="102"/>
        <v>136</v>
      </c>
      <c r="X220" s="9">
        <f t="shared" si="114"/>
        <v>741947829</v>
      </c>
      <c r="Y220" s="3">
        <f t="shared" si="103"/>
        <v>138</v>
      </c>
      <c r="Z220" s="10">
        <f t="shared" si="115"/>
        <v>1780674789</v>
      </c>
      <c r="AA220" s="5">
        <f t="shared" si="104"/>
        <v>140</v>
      </c>
      <c r="AB220" s="9">
        <f t="shared" si="116"/>
        <v>4451686973</v>
      </c>
      <c r="AC220" s="3">
        <f t="shared" si="105"/>
        <v>142</v>
      </c>
      <c r="AD220" s="10">
        <f t="shared" si="117"/>
        <v>12464723525</v>
      </c>
      <c r="AE220" s="5">
        <f t="shared" si="106"/>
        <v>145</v>
      </c>
      <c r="AF220" s="9">
        <f t="shared" si="118"/>
        <v>39887115280</v>
      </c>
      <c r="AG220" s="3">
        <f t="shared" si="107"/>
        <v>148</v>
      </c>
      <c r="AH220" s="10">
        <f t="shared" si="119"/>
        <v>151571038063</v>
      </c>
    </row>
    <row r="221" hidden="1">
      <c r="A221" s="2">
        <v>208</v>
      </c>
      <c r="B221" s="2" t="s">
        <v>360</v>
      </c>
      <c r="C221" s="2" t="s">
        <v>228</v>
      </c>
      <c r="D221" s="2" t="s">
        <v>25</v>
      </c>
      <c r="E221" s="2">
        <v>121</v>
      </c>
      <c r="F221" s="2" t="s">
        <v>34</v>
      </c>
      <c r="G221" s="2" t="s">
        <v>35</v>
      </c>
      <c r="H221" s="2">
        <v>30</v>
      </c>
      <c r="I221" s="3">
        <v>121</v>
      </c>
      <c r="J221" s="4">
        <v>2750000</v>
      </c>
      <c r="K221" s="5">
        <f t="shared" si="96"/>
        <v>122</v>
      </c>
      <c r="L221" s="9">
        <f t="shared" si="108"/>
        <v>3601400</v>
      </c>
      <c r="M221" s="3">
        <f t="shared" si="97"/>
        <v>123</v>
      </c>
      <c r="N221" s="10">
        <f t="shared" si="109"/>
        <v>6302450</v>
      </c>
      <c r="O221" s="5">
        <f t="shared" si="98"/>
        <v>125</v>
      </c>
      <c r="P221" s="9">
        <f t="shared" si="110"/>
        <v>13235145</v>
      </c>
      <c r="Q221" s="3">
        <f t="shared" si="99"/>
        <v>127</v>
      </c>
      <c r="R221" s="10">
        <f t="shared" si="111"/>
        <v>20625000</v>
      </c>
      <c r="S221" s="5">
        <f t="shared" si="100"/>
        <v>129</v>
      </c>
      <c r="T221" s="9">
        <f t="shared" si="112"/>
        <v>53887663</v>
      </c>
      <c r="U221" s="3">
        <f t="shared" si="101"/>
        <v>132</v>
      </c>
      <c r="V221" s="10">
        <f t="shared" si="113"/>
        <v>173281045</v>
      </c>
      <c r="W221" s="5">
        <f t="shared" si="102"/>
        <v>136</v>
      </c>
      <c r="X221" s="9">
        <f t="shared" si="114"/>
        <v>731310584</v>
      </c>
      <c r="Y221" s="3">
        <f t="shared" si="103"/>
        <v>138</v>
      </c>
      <c r="Z221" s="10">
        <f t="shared" si="115"/>
        <v>1755145402</v>
      </c>
      <c r="AA221" s="5">
        <f t="shared" si="104"/>
        <v>140</v>
      </c>
      <c r="AB221" s="9">
        <f t="shared" si="116"/>
        <v>4387863504</v>
      </c>
      <c r="AC221" s="3">
        <f t="shared" si="105"/>
        <v>142</v>
      </c>
      <c r="AD221" s="10">
        <f t="shared" si="117"/>
        <v>12286017811</v>
      </c>
      <c r="AE221" s="5">
        <f t="shared" si="106"/>
        <v>145</v>
      </c>
      <c r="AF221" s="9">
        <f t="shared" si="118"/>
        <v>39315256996</v>
      </c>
      <c r="AG221" s="3">
        <f t="shared" si="107"/>
        <v>148</v>
      </c>
      <c r="AH221" s="10">
        <f t="shared" si="119"/>
        <v>149397976585</v>
      </c>
    </row>
    <row r="222" hidden="1">
      <c r="A222" s="2">
        <v>189</v>
      </c>
      <c r="B222" s="2" t="s">
        <v>361</v>
      </c>
      <c r="C222" s="2" t="s">
        <v>228</v>
      </c>
      <c r="D222" s="2" t="s">
        <v>45</v>
      </c>
      <c r="E222" s="2">
        <v>121</v>
      </c>
      <c r="F222" s="2" t="s">
        <v>71</v>
      </c>
      <c r="G222" s="2" t="s">
        <v>362</v>
      </c>
      <c r="H222" s="2">
        <v>31</v>
      </c>
      <c r="I222" s="3">
        <v>121</v>
      </c>
      <c r="J222" s="4">
        <v>2760000</v>
      </c>
      <c r="K222" s="5">
        <f t="shared" si="96"/>
        <v>122</v>
      </c>
      <c r="L222" s="9">
        <f t="shared" si="108"/>
        <v>3614496</v>
      </c>
      <c r="M222" s="3">
        <f t="shared" si="97"/>
        <v>123</v>
      </c>
      <c r="N222" s="10">
        <f t="shared" si="109"/>
        <v>6325368</v>
      </c>
      <c r="O222" s="5">
        <f t="shared" si="98"/>
        <v>125</v>
      </c>
      <c r="P222" s="9">
        <f t="shared" si="110"/>
        <v>13283273</v>
      </c>
      <c r="Q222" s="3">
        <f t="shared" si="99"/>
        <v>127</v>
      </c>
      <c r="R222" s="10">
        <f t="shared" si="111"/>
        <v>20700000</v>
      </c>
      <c r="S222" s="5">
        <f t="shared" si="100"/>
        <v>129</v>
      </c>
      <c r="T222" s="9">
        <f t="shared" si="112"/>
        <v>54083618</v>
      </c>
      <c r="U222" s="3">
        <f t="shared" si="101"/>
        <v>132</v>
      </c>
      <c r="V222" s="10">
        <f t="shared" si="113"/>
        <v>173911158</v>
      </c>
      <c r="W222" s="5">
        <f t="shared" si="102"/>
        <v>136</v>
      </c>
      <c r="X222" s="9">
        <f t="shared" si="114"/>
        <v>733969895</v>
      </c>
      <c r="Y222" s="3">
        <f t="shared" si="103"/>
        <v>138</v>
      </c>
      <c r="Z222" s="10">
        <f t="shared" si="115"/>
        <v>1761527749</v>
      </c>
      <c r="AA222" s="5">
        <f t="shared" si="104"/>
        <v>140</v>
      </c>
      <c r="AB222" s="9">
        <f t="shared" si="116"/>
        <v>4403819371</v>
      </c>
      <c r="AC222" s="3">
        <f t="shared" si="105"/>
        <v>142</v>
      </c>
      <c r="AD222" s="10">
        <f t="shared" si="117"/>
        <v>12330694240</v>
      </c>
      <c r="AE222" s="5">
        <f t="shared" si="106"/>
        <v>145</v>
      </c>
      <c r="AF222" s="9">
        <f t="shared" si="118"/>
        <v>39458221567</v>
      </c>
      <c r="AG222" s="3">
        <f t="shared" si="107"/>
        <v>148</v>
      </c>
      <c r="AH222" s="10">
        <f t="shared" si="119"/>
        <v>149941241954</v>
      </c>
    </row>
    <row r="223" hidden="1">
      <c r="A223" s="2">
        <v>201</v>
      </c>
      <c r="B223" s="2" t="s">
        <v>363</v>
      </c>
      <c r="C223" s="2" t="s">
        <v>228</v>
      </c>
      <c r="D223" s="2" t="s">
        <v>33</v>
      </c>
      <c r="E223" s="2">
        <v>121</v>
      </c>
      <c r="F223" s="2" t="s">
        <v>298</v>
      </c>
      <c r="G223" s="2" t="s">
        <v>242</v>
      </c>
      <c r="H223" s="2">
        <v>30</v>
      </c>
      <c r="I223" s="3">
        <v>121</v>
      </c>
      <c r="J223" s="4">
        <v>2750000</v>
      </c>
      <c r="K223" s="5">
        <f t="shared" si="96"/>
        <v>122</v>
      </c>
      <c r="L223" s="9" t="n">
        <f>ROUND($J223*1.637*1,0)</f>
        <v>4501750</v>
      </c>
      <c r="M223" s="3">
        <f t="shared" si="97"/>
        <v>123</v>
      </c>
      <c r="N223" s="10" t="n">
        <f>ROUND($J223*1.637*1.75*1,0)</f>
        <v>7878063</v>
      </c>
      <c r="O223" s="5">
        <f t="shared" si="98"/>
        <v>125</v>
      </c>
      <c r="P223" s="9" t="n">
        <f>ROUND($J223*1.637*1.75*2.1*1,0)</f>
        <v>16543931</v>
      </c>
      <c r="Q223" s="3">
        <f t="shared" si="99"/>
        <v>127</v>
      </c>
      <c r="R223" s="10" t="n">
        <f>ROUND($J223*1.637*1.75*2.1*2.3*1,0)</f>
        <v>38051042</v>
      </c>
      <c r="S223" s="5">
        <f t="shared" si="100"/>
        <v>129</v>
      </c>
      <c r="T223" s="9" t="n">
        <f>ROUND($J223*1.637*1.75*2.1*2.3*2.6*1,0)</f>
        <v>98932709</v>
      </c>
      <c r="U223" s="3">
        <f t="shared" si="101"/>
        <v>132</v>
      </c>
      <c r="V223" s="10" t="n">
        <f>ROUND($J223*1.637*1.75*2.1*2.3*2.6*3.2*1,0)</f>
        <v>316584668</v>
      </c>
      <c r="W223" s="5">
        <f t="shared" si="102"/>
        <v>136</v>
      </c>
      <c r="X223" s="9" t="n">
        <f>ROUND($J223*1.637*1.75*2.1*2.3*2.6*3.2*4.2*1,0)</f>
        <v>1329655607</v>
      </c>
      <c r="Y223" s="3">
        <f t="shared" si="103"/>
        <v>138</v>
      </c>
      <c r="Z223" s="10" t="n">
        <f>ROUND($J223*1.637*1.75*2.1*2.3*2.6*3.2*4.2*2.4*1,0)</f>
        <v>3191173457</v>
      </c>
      <c r="AA223" s="5">
        <f t="shared" si="104"/>
        <v>140</v>
      </c>
      <c r="AB223" s="9" t="n">
        <f>ROUND($J223*1.637*1.75*2.1*2.3*2.6*3.2*4.2*2.4*2.5*1,0)</f>
        <v>7977933644</v>
      </c>
      <c r="AC223" s="3">
        <f t="shared" si="105"/>
        <v>142</v>
      </c>
      <c r="AD223" s="10" t="n">
        <f>ROUND($J223*1.637*1.75*2.1*2.3*2.6*3.2*4.2*2.4*2.5*2.8*1,0)</f>
        <v>22338214202</v>
      </c>
      <c r="AE223" s="5">
        <f t="shared" si="106"/>
        <v>145</v>
      </c>
      <c r="AF223" s="9" t="n">
        <f>ROUND($J223*1.637*1.75*2.1*2.3*2.6*3.2*4.2*2.4*2.5*2.8*3.2*1,0)</f>
        <v>71482285447</v>
      </c>
      <c r="AG223" s="3">
        <f t="shared" si="107"/>
        <v>148</v>
      </c>
      <c r="AH223" s="10" t="n">
        <f>ROUND($J223*1.637*1.75*2.1*2.3*2.6*3.2*4.2*2.4*2.5*2.8*3.2*3.8*1,0)</f>
        <v>271632684700</v>
      </c>
    </row>
    <row r="224" hidden="1">
      <c r="A224" s="2">
        <v>209</v>
      </c>
      <c r="B224" s="2" t="s">
        <v>364</v>
      </c>
      <c r="C224" s="2" t="s">
        <v>228</v>
      </c>
      <c r="D224" s="2" t="s">
        <v>47</v>
      </c>
      <c r="E224" s="2">
        <v>121</v>
      </c>
      <c r="F224" s="2" t="s">
        <v>54</v>
      </c>
      <c r="G224" s="2" t="s">
        <v>51</v>
      </c>
      <c r="H224" s="2">
        <v>28</v>
      </c>
      <c r="I224" s="3">
        <v>121</v>
      </c>
      <c r="J224" s="4">
        <v>2770000</v>
      </c>
      <c r="K224" s="5">
        <f t="shared" si="96"/>
        <v>122</v>
      </c>
      <c r="L224" s="9" t="n">
        <f>ROUND($J224*1.637*1,0)</f>
        <v>4534490</v>
      </c>
      <c r="M224" s="3">
        <f t="shared" si="97"/>
        <v>123</v>
      </c>
      <c r="N224" s="10" t="n">
        <f>ROUND($J224*1.637*1.75*1,0)</f>
        <v>7935358</v>
      </c>
      <c r="O224" s="5">
        <f t="shared" si="98"/>
        <v>125</v>
      </c>
      <c r="P224" s="9" t="n">
        <f>ROUND($J224*1.637*1.75*2.1*1,0)</f>
        <v>16664251</v>
      </c>
      <c r="Q224" s="3">
        <f t="shared" si="99"/>
        <v>127</v>
      </c>
      <c r="R224" s="10" t="n">
        <f>ROUND($J224*1.637*1.75*2.1*2.3*1,0)</f>
        <v>38327777</v>
      </c>
      <c r="S224" s="5">
        <f t="shared" si="100"/>
        <v>129</v>
      </c>
      <c r="T224" s="9" t="n">
        <f>ROUND($J224*1.637*1.75*2.1*2.3*2.6*1,0)</f>
        <v>99652219</v>
      </c>
      <c r="U224" s="3">
        <f t="shared" si="101"/>
        <v>132</v>
      </c>
      <c r="V224" s="10" t="n">
        <f>ROUND($J224*1.637*1.75*2.1*2.3*2.6*3.2*1,0)</f>
        <v>318887102</v>
      </c>
      <c r="W224" s="5">
        <f t="shared" si="102"/>
        <v>136</v>
      </c>
      <c r="X224" s="9" t="n">
        <f>ROUND($J224*1.637*1.75*2.1*2.3*2.6*3.2*4.2*1,0)</f>
        <v>1339325830</v>
      </c>
      <c r="Y224" s="3">
        <f t="shared" si="103"/>
        <v>138</v>
      </c>
      <c r="Z224" s="10" t="n">
        <f>ROUND($J224*1.637*1.75*2.1*2.3*2.6*3.2*4.2*2.4*1,0)</f>
        <v>3214381992</v>
      </c>
      <c r="AA224" s="5">
        <f t="shared" si="104"/>
        <v>140</v>
      </c>
      <c r="AB224" s="9" t="n">
        <f>ROUND($J224*1.637*1.75*2.1*2.3*2.6*3.2*4.2*2.4*2.5*1,0)</f>
        <v>8035954979</v>
      </c>
      <c r="AC224" s="3">
        <f t="shared" si="105"/>
        <v>142</v>
      </c>
      <c r="AD224" s="10" t="n">
        <f>ROUND($J224*1.637*1.75*2.1*2.3*2.6*3.2*4.2*2.4*2.5*2.8*1,0)</f>
        <v>22500673942</v>
      </c>
      <c r="AE224" s="5">
        <f t="shared" si="106"/>
        <v>145</v>
      </c>
      <c r="AF224" s="9" t="n">
        <f>ROUND($J224*1.637*1.75*2.1*2.3*2.6*3.2*4.2*2.4*2.5*2.8*3.2*1,0)</f>
        <v>72002156614</v>
      </c>
      <c r="AG224" s="3">
        <f t="shared" si="107"/>
        <v>148</v>
      </c>
      <c r="AH224" s="10" t="n">
        <f>ROUND($J224*1.637*1.75*2.1*2.3*2.6*3.2*4.2*2.4*2.5*2.8*3.2*3.8*1,0)</f>
        <v>273608195134</v>
      </c>
    </row>
    <row r="225" hidden="1">
      <c r="A225" s="2">
        <v>305</v>
      </c>
      <c r="B225" s="2" t="s">
        <v>365</v>
      </c>
      <c r="C225" s="2" t="s">
        <v>228</v>
      </c>
      <c r="D225" s="2" t="s">
        <v>331</v>
      </c>
      <c r="E225" s="2">
        <v>121</v>
      </c>
      <c r="F225" s="2" t="s">
        <v>62</v>
      </c>
      <c r="G225" s="2" t="s">
        <v>366</v>
      </c>
      <c r="H225" s="2">
        <v>29</v>
      </c>
      <c r="I225" s="3">
        <v>121</v>
      </c>
      <c r="J225" s="6">
        <v>2920000</v>
      </c>
      <c r="K225" s="5">
        <f t="shared" si="96"/>
        <v>122</v>
      </c>
      <c r="L225" s="9" t="n">
        <f>ROUND($J225*1.637*0.8,0)</f>
        <v>3824032</v>
      </c>
      <c r="M225" s="3">
        <f t="shared" si="97"/>
        <v>123</v>
      </c>
      <c r="N225" s="10" t="n">
        <f>ROUND($J225*1.637*1.75*0.8,0)</f>
        <v>6692056</v>
      </c>
      <c r="O225" s="5">
        <f t="shared" si="98"/>
        <v>125</v>
      </c>
      <c r="P225" s="9" t="n">
        <f>ROUND($J225*1.637*1.75*2.1*0.8,0)</f>
        <v>14053318</v>
      </c>
      <c r="Q225" s="3">
        <f t="shared" si="99"/>
        <v>127</v>
      </c>
      <c r="R225" s="10" t="n">
        <f>ROUND($J225*1.637*1.75*2.1*2.3*0.542035092435954,0)</f>
        <v>21900000</v>
      </c>
      <c r="S225" s="5">
        <f t="shared" si="100"/>
        <v>129</v>
      </c>
      <c r="T225" s="9" t="n">
        <f>ROUND($J225*1.637*1.75*2.1*2.3*2.6*0.544690061623969,0)</f>
        <v>57218901</v>
      </c>
      <c r="U225" s="3">
        <f t="shared" si="101"/>
        <v>132</v>
      </c>
      <c r="V225" s="10" t="n">
        <f>ROUND($J225*1.637*1.75*2.1*2.3*2.6*3.2*0.547345030811984,0)</f>
        <v>183992964</v>
      </c>
      <c r="W225" s="5">
        <f t="shared" si="102"/>
        <v>136</v>
      </c>
      <c r="X225" s="9" t="n">
        <f>ROUND($J225*1.637*1.75*2.1*2.3*2.6*3.2*4.2*0.55,0)</f>
        <v>776518875</v>
      </c>
      <c r="Y225" s="3">
        <f t="shared" si="103"/>
        <v>138</v>
      </c>
      <c r="Z225" s="10" t="n">
        <f>ROUND($J225*1.637*1.75*2.1*2.3*2.6*3.2*4.2*2.4*0.55,0)</f>
        <v>1863645299</v>
      </c>
      <c r="AA225" s="5">
        <f t="shared" si="104"/>
        <v>140</v>
      </c>
      <c r="AB225" s="9" t="n">
        <f>ROUND($J225*1.637*1.75*2.1*2.3*2.6*3.2*4.2*2.4*2.5*0.55,0)</f>
        <v>4659113248</v>
      </c>
      <c r="AC225" s="3">
        <f t="shared" si="105"/>
        <v>142</v>
      </c>
      <c r="AD225" s="10" t="n">
        <f>ROUND($J225*1.637*1.75*2.1*2.3*2.6*3.2*4.2*2.4*2.5*2.8*0.55,0)</f>
        <v>13045517094</v>
      </c>
      <c r="AE225" s="5">
        <f t="shared" si="106"/>
        <v>145</v>
      </c>
      <c r="AF225" s="9" t="n">
        <f>ROUND($J225*1.637*1.75*2.1*2.3*2.6*3.2*4.2*2.4*2.5*2.8*3.2*0.55,0)</f>
        <v>41745654701</v>
      </c>
      <c r="AG225" s="3">
        <f t="shared" si="107"/>
        <v>148</v>
      </c>
      <c r="AH225" s="10" t="n">
        <f>ROUND($J225*1.637*1.75*2.1*2.3*2.6*3.2*4.2*2.4*2.5*2.8*3.2*3.8*0.55,0)</f>
        <v>158633487865</v>
      </c>
    </row>
    <row r="226" hidden="1">
      <c r="A226" s="2">
        <v>211</v>
      </c>
      <c r="B226" s="2" t="s">
        <v>367</v>
      </c>
      <c r="C226" s="2" t="s">
        <v>228</v>
      </c>
      <c r="D226" s="2" t="s">
        <v>47</v>
      </c>
      <c r="E226" s="2">
        <v>121</v>
      </c>
      <c r="F226" s="2" t="s">
        <v>179</v>
      </c>
      <c r="G226" s="2" t="s">
        <v>104</v>
      </c>
      <c r="H226" s="2">
        <v>26</v>
      </c>
      <c r="I226" s="3">
        <v>121</v>
      </c>
      <c r="J226" s="4">
        <v>2330000</v>
      </c>
      <c r="K226" s="5">
        <f t="shared" si="96"/>
        <v>122</v>
      </c>
      <c r="L226" s="9" t="n">
        <f>ROUND($J226*1.637*0.8,0)</f>
        <v>3051368</v>
      </c>
      <c r="M226" s="3">
        <f t="shared" si="97"/>
        <v>123</v>
      </c>
      <c r="N226" s="10" t="n">
        <f>ROUND($J226*1.637*1.75*0.8,0)</f>
        <v>5339894</v>
      </c>
      <c r="O226" s="5">
        <f t="shared" si="98"/>
        <v>125</v>
      </c>
      <c r="P226" s="9" t="n">
        <f>ROUND($J226*1.637*1.75*2.1*0.8,0)</f>
        <v>11213777</v>
      </c>
      <c r="Q226" s="3">
        <f t="shared" si="99"/>
        <v>127</v>
      </c>
      <c r="R226" s="10" t="n">
        <f>ROUND($J226*1.637*1.75*2.1*2.3*0.542035092435954,0)</f>
        <v>17475000</v>
      </c>
      <c r="S226" s="5">
        <f t="shared" si="100"/>
        <v>129</v>
      </c>
      <c r="T226" s="9" t="n">
        <f>ROUND($J226*1.637*1.75*2.1*2.3*2.6*0.544690061623969,0)</f>
        <v>45657547</v>
      </c>
      <c r="U226" s="3">
        <f t="shared" si="101"/>
        <v>132</v>
      </c>
      <c r="V226" s="10" t="n">
        <f>ROUND($J226*1.637*1.75*2.1*2.3*2.6*3.2*0.547345030811984,0)</f>
        <v>146816304</v>
      </c>
      <c r="W226" s="5">
        <f t="shared" si="102"/>
        <v>136</v>
      </c>
      <c r="X226" s="9" t="n">
        <f>ROUND($J226*1.637*1.75*2.1*2.3*2.6*3.2*4.2*0.55,0)</f>
        <v>619619513</v>
      </c>
      <c r="Y226" s="3">
        <f t="shared" si="103"/>
        <v>138</v>
      </c>
      <c r="Z226" s="10" t="n">
        <f>ROUND($J226*1.637*1.75*2.1*2.3*2.6*3.2*4.2*2.4*0.55,0)</f>
        <v>1487086831</v>
      </c>
      <c r="AA226" s="5">
        <f t="shared" si="104"/>
        <v>140</v>
      </c>
      <c r="AB226" s="9" t="n">
        <f>ROUND($J226*1.637*1.75*2.1*2.3*2.6*3.2*4.2*2.4*2.5*0.55,0)</f>
        <v>3717717078</v>
      </c>
      <c r="AC226" s="3">
        <f t="shared" si="105"/>
        <v>142</v>
      </c>
      <c r="AD226" s="10" t="n">
        <f>ROUND($J226*1.637*1.75*2.1*2.3*2.6*3.2*4.2*2.4*2.5*2.8*0.55,0)</f>
        <v>10409607818</v>
      </c>
      <c r="AE226" s="5">
        <f t="shared" si="106"/>
        <v>145</v>
      </c>
      <c r="AF226" s="9" t="n">
        <f>ROUND($J226*1.637*1.75*2.1*2.3*2.6*3.2*4.2*2.4*2.5*2.8*3.2*0.55,0)</f>
        <v>33310745018</v>
      </c>
      <c r="AG226" s="3">
        <f t="shared" si="107"/>
        <v>148</v>
      </c>
      <c r="AH226" s="10" t="n">
        <f>ROUND($J226*1.637*1.75*2.1*2.3*2.6*3.2*4.2*2.4*2.5*2.8*3.2*3.8*0.55,0)</f>
        <v>126580831070</v>
      </c>
    </row>
    <row r="227" hidden="1">
      <c r="A227" s="2">
        <v>198</v>
      </c>
      <c r="B227" s="2" t="s">
        <v>368</v>
      </c>
      <c r="C227" s="2" t="s">
        <v>228</v>
      </c>
      <c r="D227" s="2" t="s">
        <v>75</v>
      </c>
      <c r="E227" s="2">
        <v>121</v>
      </c>
      <c r="F227" s="2" t="s">
        <v>71</v>
      </c>
      <c r="G227" s="2" t="s">
        <v>98</v>
      </c>
      <c r="H227" s="2">
        <v>30</v>
      </c>
      <c r="I227" s="3">
        <v>121</v>
      </c>
      <c r="J227" s="4">
        <v>2760000</v>
      </c>
      <c r="K227" s="5">
        <f t="shared" si="96"/>
        <v>122</v>
      </c>
      <c r="L227" s="9" t="n">
        <f>ROUND($J227*1.637*1,0)</f>
        <v>4518120</v>
      </c>
      <c r="M227" s="3">
        <f t="shared" si="97"/>
        <v>123</v>
      </c>
      <c r="N227" s="10" t="n">
        <f>ROUND($J227*1.637*1.75*1,0)</f>
        <v>7906710</v>
      </c>
      <c r="O227" s="5">
        <f t="shared" si="98"/>
        <v>125</v>
      </c>
      <c r="P227" s="9" t="n">
        <f>ROUND($J227*1.637*1.75*2.1*1,0)</f>
        <v>16604091</v>
      </c>
      <c r="Q227" s="3">
        <f t="shared" si="99"/>
        <v>127</v>
      </c>
      <c r="R227" s="10" t="n">
        <f>ROUND($J227*1.637*1.75*2.1*2.3*1,0)</f>
        <v>38189409</v>
      </c>
      <c r="S227" s="5">
        <f t="shared" si="100"/>
        <v>129</v>
      </c>
      <c r="T227" s="9" t="n">
        <f>ROUND($J227*1.637*1.75*2.1*2.3*2.6*1,0)</f>
        <v>99292464</v>
      </c>
      <c r="U227" s="3">
        <f t="shared" si="101"/>
        <v>132</v>
      </c>
      <c r="V227" s="10" t="n">
        <f>ROUND($J227*1.637*1.75*2.1*2.3*2.6*3.2*1,0)</f>
        <v>317735885</v>
      </c>
      <c r="W227" s="5">
        <f t="shared" si="102"/>
        <v>136</v>
      </c>
      <c r="X227" s="9" t="n">
        <f>ROUND($J227*1.637*1.75*2.1*2.3*2.6*3.2*4.2*1,0)</f>
        <v>1334490719</v>
      </c>
      <c r="Y227" s="3">
        <f t="shared" si="103"/>
        <v>138</v>
      </c>
      <c r="Z227" s="10" t="n">
        <f>ROUND($J227*1.637*1.75*2.1*2.3*2.6*3.2*4.2*2.4*1,0)</f>
        <v>3202777725</v>
      </c>
      <c r="AA227" s="5">
        <f t="shared" si="104"/>
        <v>140</v>
      </c>
      <c r="AB227" s="9" t="n">
        <f>ROUND($J227*1.637*1.75*2.1*2.3*2.6*3.2*4.2*2.4*2.5*1,0)</f>
        <v>8006944311</v>
      </c>
      <c r="AC227" s="3">
        <f t="shared" si="105"/>
        <v>142</v>
      </c>
      <c r="AD227" s="10" t="n">
        <f>ROUND($J227*1.637*1.75*2.1*2.3*2.6*3.2*4.2*2.4*2.5*2.8*1,0)</f>
        <v>22419444072</v>
      </c>
      <c r="AE227" s="5">
        <f t="shared" si="106"/>
        <v>145</v>
      </c>
      <c r="AF227" s="9" t="n">
        <f>ROUND($J227*1.637*1.75*2.1*2.3*2.6*3.2*4.2*2.4*2.5*2.8*3.2*1,0)</f>
        <v>71742221031</v>
      </c>
      <c r="AG227" s="3">
        <f t="shared" si="107"/>
        <v>148</v>
      </c>
      <c r="AH227" s="10" t="n">
        <f>ROUND($J227*1.637*1.75*2.1*2.3*2.6*3.2*4.2*2.4*2.5*2.8*3.2*3.8*1,0)</f>
        <v>272620439917</v>
      </c>
    </row>
    <row r="228" hidden="1">
      <c r="A228" s="2">
        <v>197</v>
      </c>
      <c r="B228" s="2" t="s">
        <v>369</v>
      </c>
      <c r="C228" s="2" t="s">
        <v>228</v>
      </c>
      <c r="D228" s="2" t="s">
        <v>45</v>
      </c>
      <c r="E228" s="2">
        <v>121</v>
      </c>
      <c r="F228" s="2" t="s">
        <v>353</v>
      </c>
      <c r="G228" s="2" t="s">
        <v>242</v>
      </c>
      <c r="H228" s="2">
        <v>31</v>
      </c>
      <c r="I228" s="3">
        <v>121</v>
      </c>
      <c r="J228" s="4">
        <v>2800000</v>
      </c>
      <c r="K228" s="5">
        <f t="shared" si="96"/>
        <v>122</v>
      </c>
      <c r="L228" s="9" t="n">
        <f>ROUND($J228*1.637*1,0)</f>
        <v>4583600</v>
      </c>
      <c r="M228" s="3">
        <f t="shared" si="97"/>
        <v>123</v>
      </c>
      <c r="N228" s="10" t="n">
        <f>ROUND($J228*1.637*1.75*1,0)</f>
        <v>8021300</v>
      </c>
      <c r="O228" s="5">
        <f t="shared" si="98"/>
        <v>125</v>
      </c>
      <c r="P228" s="9" t="n">
        <f>ROUND($J228*1.637*1.75*2.1*1,0)</f>
        <v>16844730</v>
      </c>
      <c r="Q228" s="3">
        <f t="shared" si="99"/>
        <v>127</v>
      </c>
      <c r="R228" s="10" t="n">
        <f>ROUND($J228*1.637*1.75*2.1*2.3*1.25,0)</f>
        <v>48428599</v>
      </c>
      <c r="S228" s="5">
        <f t="shared" si="100"/>
        <v>129</v>
      </c>
      <c r="T228" s="9" t="n">
        <f>ROUND($J228*1.637*1.75*2.1*2.3*2.6*1.25,0)</f>
        <v>125914357</v>
      </c>
      <c r="U228" s="3">
        <f t="shared" si="101"/>
        <v>132</v>
      </c>
      <c r="V228" s="10" t="n">
        <f>ROUND($J228*1.637*1.75*2.1*2.3*2.6*3.2*1.25,0)</f>
        <v>402925942</v>
      </c>
      <c r="W228" s="5">
        <f t="shared" si="102"/>
        <v>136</v>
      </c>
      <c r="X228" s="9" t="n">
        <f>ROUND($J228*1.637*1.75*2.1*2.3*2.6*3.2*4.2*1.25,0)</f>
        <v>1692288955</v>
      </c>
      <c r="Y228" s="3">
        <f t="shared" si="103"/>
        <v>138</v>
      </c>
      <c r="Z228" s="10" t="n">
        <f>ROUND($J228*1.637*1.75*2.1*2.3*2.6*3.2*4.2*2.4*1.25,0)</f>
        <v>4061493491</v>
      </c>
      <c r="AA228" s="5">
        <f t="shared" si="104"/>
        <v>140</v>
      </c>
      <c r="AB228" s="9" t="n">
        <f>ROUND($J228*1.637*1.75*2.1*2.3*2.6*3.2*4.2*2.4*2.5*1.25,0)</f>
        <v>10153733728</v>
      </c>
      <c r="AC228" s="3">
        <f t="shared" si="105"/>
        <v>142</v>
      </c>
      <c r="AD228" s="10" t="n">
        <f>ROUND($J228*1.637*1.75*2.1*2.3*2.6*3.2*4.2*2.4*2.5*2.8*1.25,0)</f>
        <v>28430454439</v>
      </c>
      <c r="AE228" s="5">
        <f t="shared" si="106"/>
        <v>145</v>
      </c>
      <c r="AF228" s="9" t="n">
        <f>ROUND($J228*1.637*1.75*2.1*2.3*2.6*3.2*4.2*2.4*2.5*2.8*3.2*1.25,0)</f>
        <v>90977454206</v>
      </c>
      <c r="AG228" s="3">
        <f t="shared" si="107"/>
        <v>148</v>
      </c>
      <c r="AH228" s="10" t="n">
        <f>ROUND($J228*1.637*1.75*2.1*2.3*2.6*3.2*4.2*2.4*2.5*2.8*3.2*3.8*1.25,0)</f>
        <v>345714325982</v>
      </c>
    </row>
    <row r="229" hidden="1">
      <c r="A229" s="2">
        <v>202</v>
      </c>
      <c r="B229" s="2" t="s">
        <v>370</v>
      </c>
      <c r="C229" s="2" t="s">
        <v>228</v>
      </c>
      <c r="D229" s="2" t="s">
        <v>25</v>
      </c>
      <c r="E229" s="2">
        <v>121</v>
      </c>
      <c r="F229" s="2" t="s">
        <v>71</v>
      </c>
      <c r="G229" s="2" t="s">
        <v>329</v>
      </c>
      <c r="H229" s="2">
        <v>30</v>
      </c>
      <c r="I229" s="3">
        <v>121</v>
      </c>
      <c r="J229" s="4">
        <v>2790000</v>
      </c>
      <c r="K229" s="5">
        <f t="shared" si="96"/>
        <v>122</v>
      </c>
      <c r="L229" s="9" t="n">
        <f>ROUND($J229*1.637*0.8,0)</f>
        <v>3653784</v>
      </c>
      <c r="M229" s="3">
        <f t="shared" si="97"/>
        <v>123</v>
      </c>
      <c r="N229" s="10" t="n">
        <f>ROUND($J229*1.637*1.75*0.8,0)</f>
        <v>6394122</v>
      </c>
      <c r="O229" s="5">
        <f t="shared" si="98"/>
        <v>125</v>
      </c>
      <c r="P229" s="9" t="n">
        <f>ROUND($J229*1.637*1.75*2.1*0.8,0)</f>
        <v>13427656</v>
      </c>
      <c r="Q229" s="3">
        <f t="shared" si="99"/>
        <v>127</v>
      </c>
      <c r="R229" s="10" t="n">
        <f>ROUND($J229*1.637*1.75*2.1*2.3*0.542035092435954,0)</f>
        <v>20925000</v>
      </c>
      <c r="S229" s="5">
        <f t="shared" si="100"/>
        <v>129</v>
      </c>
      <c r="T229" s="9" t="n">
        <f>ROUND($J229*1.637*1.75*2.1*2.3*2.6*0.544690061623969,0)</f>
        <v>54671484</v>
      </c>
      <c r="U229" s="3">
        <f t="shared" si="101"/>
        <v>132</v>
      </c>
      <c r="V229" s="10" t="n">
        <f>ROUND($J229*1.637*1.75*2.1*2.3*2.6*3.2*0.547345030811984,0)</f>
        <v>175801497</v>
      </c>
      <c r="W229" s="5">
        <f t="shared" si="102"/>
        <v>136</v>
      </c>
      <c r="X229" s="9" t="n">
        <f>ROUND($J229*1.637*1.75*2.1*2.3*2.6*3.2*4.2*0.55,0)</f>
        <v>741947829</v>
      </c>
      <c r="Y229" s="3">
        <f t="shared" si="103"/>
        <v>138</v>
      </c>
      <c r="Z229" s="10" t="n">
        <f>ROUND($J229*1.637*1.75*2.1*2.3*2.6*3.2*4.2*2.4*0.55,0)</f>
        <v>1780674789</v>
      </c>
      <c r="AA229" s="5">
        <f t="shared" si="104"/>
        <v>140</v>
      </c>
      <c r="AB229" s="9" t="n">
        <f>ROUND($J229*1.637*1.75*2.1*2.3*2.6*3.2*4.2*2.4*2.5*0.55,0)</f>
        <v>4451686973</v>
      </c>
      <c r="AC229" s="3">
        <f t="shared" si="105"/>
        <v>142</v>
      </c>
      <c r="AD229" s="10" t="n">
        <f>ROUND($J229*1.637*1.75*2.1*2.3*2.6*3.2*4.2*2.4*2.5*2.8*0.55,0)</f>
        <v>12464723525</v>
      </c>
      <c r="AE229" s="5">
        <f t="shared" si="106"/>
        <v>145</v>
      </c>
      <c r="AF229" s="9" t="n">
        <f>ROUND($J229*1.637*1.75*2.1*2.3*2.6*3.2*4.2*2.4*2.5*2.8*3.2*0.55,0)</f>
        <v>39887115280</v>
      </c>
      <c r="AG229" s="3">
        <f t="shared" si="107"/>
        <v>148</v>
      </c>
      <c r="AH229" s="10" t="n">
        <f>ROUND($J229*1.637*1.75*2.1*2.3*2.6*3.2*4.2*2.4*2.5*2.8*3.2*3.8*0.55,0)</f>
        <v>151571038063</v>
      </c>
    </row>
    <row r="230" hidden="1">
      <c r="A230" s="2">
        <v>310</v>
      </c>
      <c r="B230" s="2" t="s">
        <v>371</v>
      </c>
      <c r="C230" s="2" t="s">
        <v>228</v>
      </c>
      <c r="D230" s="2" t="s">
        <v>33</v>
      </c>
      <c r="E230" s="2">
        <v>121</v>
      </c>
      <c r="F230" s="2" t="s">
        <v>71</v>
      </c>
      <c r="G230" s="2" t="s">
        <v>72</v>
      </c>
      <c r="H230" s="2">
        <v>30</v>
      </c>
      <c r="I230" s="3">
        <v>121</v>
      </c>
      <c r="J230" s="6">
        <v>2950000</v>
      </c>
      <c r="K230" s="5">
        <f t="shared" si="96"/>
        <v>122</v>
      </c>
      <c r="L230" s="9" t="n">
        <f>ROUND($J230*1.637*1,0)</f>
        <v>4829150</v>
      </c>
      <c r="M230" s="3">
        <f t="shared" si="97"/>
        <v>123</v>
      </c>
      <c r="N230" s="10" t="n">
        <f>ROUND($J230*1.637*1.75*1,0)</f>
        <v>8451013</v>
      </c>
      <c r="O230" s="5">
        <f t="shared" si="98"/>
        <v>125</v>
      </c>
      <c r="P230" s="9" t="n">
        <f>ROUND($J230*1.637*1.75*2.1*1,0)</f>
        <v>17747126</v>
      </c>
      <c r="Q230" s="3">
        <f t="shared" si="99"/>
        <v>127</v>
      </c>
      <c r="R230" s="10" t="n">
        <f>ROUND($J230*1.637*1.75*2.1*2.3*1,0)</f>
        <v>40818390</v>
      </c>
      <c r="S230" s="5">
        <f t="shared" si="100"/>
        <v>129</v>
      </c>
      <c r="T230" s="9" t="n">
        <f>ROUND($J230*1.637*1.75*2.1*2.3*2.6*1,0)</f>
        <v>106127815</v>
      </c>
      <c r="U230" s="3">
        <f t="shared" si="101"/>
        <v>132</v>
      </c>
      <c r="V230" s="10" t="n">
        <f>ROUND($J230*1.637*1.75*2.1*2.3*2.6*3.2*1,0)</f>
        <v>339609008</v>
      </c>
      <c r="W230" s="5">
        <f t="shared" si="102"/>
        <v>136</v>
      </c>
      <c r="X230" s="9" t="n">
        <f>ROUND($J230*1.637*1.75*2.1*2.3*2.6*3.2*4.2*1,0)</f>
        <v>1426357833</v>
      </c>
      <c r="Y230" s="3">
        <f t="shared" si="103"/>
        <v>138</v>
      </c>
      <c r="Z230" s="10" t="n">
        <f>ROUND($J230*1.637*1.75*2.1*2.3*2.6*3.2*4.2*2.4*1,0)</f>
        <v>3423258800</v>
      </c>
      <c r="AA230" s="5">
        <f t="shared" si="104"/>
        <v>140</v>
      </c>
      <c r="AB230" s="9" t="n">
        <f>ROUND($J230*1.637*1.75*2.1*2.3*2.6*3.2*4.2*2.4*2.5*1,0)</f>
        <v>8558147000</v>
      </c>
      <c r="AC230" s="3">
        <f t="shared" si="105"/>
        <v>142</v>
      </c>
      <c r="AD230" s="10" t="n">
        <f>ROUND($J230*1.637*1.75*2.1*2.3*2.6*3.2*4.2*2.4*2.5*2.8*1,0)</f>
        <v>23962811599</v>
      </c>
      <c r="AE230" s="5">
        <f t="shared" si="106"/>
        <v>145</v>
      </c>
      <c r="AF230" s="9" t="n">
        <f>ROUND($J230*1.637*1.75*2.1*2.3*2.6*3.2*4.2*2.4*2.5*2.8*3.2*1,0)</f>
        <v>76680997116</v>
      </c>
      <c r="AG230" s="3">
        <f t="shared" si="107"/>
        <v>148</v>
      </c>
      <c r="AH230" s="10" t="n">
        <f>ROUND($J230*1.637*1.75*2.1*2.3*2.6*3.2*4.2*2.4*2.5*2.8*3.2*3.8*1,0)</f>
        <v>291387789042</v>
      </c>
    </row>
    <row r="231" hidden="1">
      <c r="A231" s="2">
        <v>311</v>
      </c>
      <c r="B231" s="2" t="s">
        <v>372</v>
      </c>
      <c r="C231" s="2" t="s">
        <v>228</v>
      </c>
      <c r="D231" s="2" t="s">
        <v>33</v>
      </c>
      <c r="E231" s="2">
        <v>121</v>
      </c>
      <c r="F231" s="2" t="s">
        <v>71</v>
      </c>
      <c r="G231" s="2" t="s">
        <v>206</v>
      </c>
      <c r="H231" s="2">
        <v>30</v>
      </c>
      <c r="I231" s="3">
        <v>121</v>
      </c>
      <c r="J231" s="6">
        <v>2920000</v>
      </c>
      <c r="K231" s="5">
        <f t="shared" si="96"/>
        <v>122</v>
      </c>
      <c r="L231" s="9" t="n">
        <f t="shared" ref="L231:L238" si="120">ROUND($J231*1.637*0.8,0)</f>
        <v>3824032</v>
      </c>
      <c r="M231" s="3">
        <f t="shared" si="97"/>
        <v>123</v>
      </c>
      <c r="N231" s="10" t="n">
        <f t="shared" ref="N231:N238" si="121">ROUND($J231*1.637*1.75*0.8,0)</f>
        <v>6692056</v>
      </c>
      <c r="O231" s="5">
        <f t="shared" si="98"/>
        <v>125</v>
      </c>
      <c r="P231" s="9" t="n">
        <f t="shared" ref="P231:P238" si="122">ROUND($J231*1.637*1.75*2.1*0.8,0)</f>
        <v>14053318</v>
      </c>
      <c r="Q231" s="3">
        <f t="shared" si="99"/>
        <v>127</v>
      </c>
      <c r="R231" s="10" t="n">
        <f t="shared" ref="R231:R238" si="123">ROUND($J231*1.637*1.75*2.1*2.3*0.542035092435954,0)</f>
        <v>21900000</v>
      </c>
      <c r="S231" s="5">
        <f t="shared" si="100"/>
        <v>129</v>
      </c>
      <c r="T231" s="9" t="n">
        <f t="shared" ref="T231:T238" si="124">ROUND($J231*1.637*1.75*2.1*2.3*2.6*0.544690061623969,0)</f>
        <v>57218901</v>
      </c>
      <c r="U231" s="3">
        <f t="shared" si="101"/>
        <v>132</v>
      </c>
      <c r="V231" s="10" t="n">
        <f t="shared" ref="V231:V238" si="125">ROUND($J231*1.637*1.75*2.1*2.3*2.6*3.2*0.547345030811984,0)</f>
        <v>183992964</v>
      </c>
      <c r="W231" s="5">
        <f t="shared" si="102"/>
        <v>136</v>
      </c>
      <c r="X231" s="9" t="n">
        <f t="shared" ref="X231:X238" si="126">ROUND($J231*1.637*1.75*2.1*2.3*2.6*3.2*4.2*0.55,0)</f>
        <v>776518875</v>
      </c>
      <c r="Y231" s="3">
        <f t="shared" si="103"/>
        <v>138</v>
      </c>
      <c r="Z231" s="10" t="n">
        <f t="shared" ref="Z231:Z238" si="127">ROUND($J231*1.637*1.75*2.1*2.3*2.6*3.2*4.2*2.4*0.55,0)</f>
        <v>1863645299</v>
      </c>
      <c r="AA231" s="5">
        <f t="shared" si="104"/>
        <v>140</v>
      </c>
      <c r="AB231" s="9" t="n">
        <f t="shared" ref="AB231:AB238" si="128">ROUND($J231*1.637*1.75*2.1*2.3*2.6*3.2*4.2*2.4*2.5*0.55,0)</f>
        <v>4659113248</v>
      </c>
      <c r="AC231" s="3">
        <f t="shared" si="105"/>
        <v>142</v>
      </c>
      <c r="AD231" s="10" t="n">
        <f t="shared" ref="AD231:AD238" si="129">ROUND($J231*1.637*1.75*2.1*2.3*2.6*3.2*4.2*2.4*2.5*2.8*0.55,0)</f>
        <v>13045517094</v>
      </c>
      <c r="AE231" s="5">
        <f t="shared" si="106"/>
        <v>145</v>
      </c>
      <c r="AF231" s="9" t="n">
        <f t="shared" ref="AF231:AF238" si="130">ROUND($J231*1.637*1.75*2.1*2.3*2.6*3.2*4.2*2.4*2.5*2.8*3.2*0.55,0)</f>
        <v>41745654701</v>
      </c>
      <c r="AG231" s="3">
        <f t="shared" si="107"/>
        <v>148</v>
      </c>
      <c r="AH231" s="10" t="n">
        <f t="shared" ref="AH231:AH238" si="131">ROUND($J231*1.637*1.75*2.1*2.3*2.6*3.2*4.2*2.4*2.5*2.8*3.2*3.8*0.55,0)</f>
        <v>158633487865</v>
      </c>
    </row>
    <row r="232" hidden="1">
      <c r="A232" s="2">
        <v>194</v>
      </c>
      <c r="B232" s="2" t="s">
        <v>373</v>
      </c>
      <c r="C232" s="2" t="s">
        <v>228</v>
      </c>
      <c r="D232" s="2" t="s">
        <v>102</v>
      </c>
      <c r="E232" s="2">
        <v>121</v>
      </c>
      <c r="F232" s="2" t="s">
        <v>59</v>
      </c>
      <c r="G232" s="2" t="s">
        <v>374</v>
      </c>
      <c r="H232" s="2">
        <v>31</v>
      </c>
      <c r="I232" s="3">
        <v>121</v>
      </c>
      <c r="J232" s="4">
        <v>2380000</v>
      </c>
      <c r="K232" s="5">
        <f t="shared" si="96"/>
        <v>122</v>
      </c>
      <c r="L232" s="9">
        <f t="shared" si="120"/>
        <v>3116848</v>
      </c>
      <c r="M232" s="3">
        <f t="shared" si="97"/>
        <v>123</v>
      </c>
      <c r="N232" s="10">
        <f t="shared" si="121"/>
        <v>5454484</v>
      </c>
      <c r="O232" s="5">
        <f t="shared" si="98"/>
        <v>125</v>
      </c>
      <c r="P232" s="9">
        <f t="shared" si="122"/>
        <v>11454416</v>
      </c>
      <c r="Q232" s="3">
        <f t="shared" si="99"/>
        <v>127</v>
      </c>
      <c r="R232" s="10">
        <f t="shared" si="123"/>
        <v>17850000</v>
      </c>
      <c r="S232" s="5">
        <f t="shared" si="100"/>
        <v>129</v>
      </c>
      <c r="T232" s="9">
        <f t="shared" si="124"/>
        <v>46637323</v>
      </c>
      <c r="U232" s="3">
        <f t="shared" si="101"/>
        <v>132</v>
      </c>
      <c r="V232" s="10">
        <f t="shared" si="125"/>
        <v>149966868</v>
      </c>
      <c r="W232" s="5">
        <f t="shared" si="102"/>
        <v>136</v>
      </c>
      <c r="X232" s="9">
        <f t="shared" si="126"/>
        <v>632916069</v>
      </c>
      <c r="Y232" s="3">
        <f t="shared" si="103"/>
        <v>138</v>
      </c>
      <c r="Z232" s="10">
        <f t="shared" si="127"/>
        <v>1518998566</v>
      </c>
      <c r="AA232" s="5">
        <f t="shared" si="104"/>
        <v>140</v>
      </c>
      <c r="AB232" s="9">
        <f t="shared" si="128"/>
        <v>3797496414</v>
      </c>
      <c r="AC232" s="3">
        <f t="shared" si="105"/>
        <v>142</v>
      </c>
      <c r="AD232" s="10">
        <f t="shared" si="129"/>
        <v>10632989960</v>
      </c>
      <c r="AE232" s="5">
        <f t="shared" si="106"/>
        <v>145</v>
      </c>
      <c r="AF232" s="9">
        <f t="shared" si="130"/>
        <v>34025567873</v>
      </c>
      <c r="AG232" s="3">
        <f t="shared" si="107"/>
        <v>148</v>
      </c>
      <c r="AH232" s="10">
        <f t="shared" si="131"/>
        <v>129297157917</v>
      </c>
    </row>
    <row r="233" hidden="1">
      <c r="A233" s="2">
        <v>196</v>
      </c>
      <c r="B233" s="2" t="s">
        <v>375</v>
      </c>
      <c r="C233" s="2" t="s">
        <v>228</v>
      </c>
      <c r="D233" s="2" t="s">
        <v>40</v>
      </c>
      <c r="E233" s="2">
        <v>121</v>
      </c>
      <c r="F233" s="2" t="s">
        <v>376</v>
      </c>
      <c r="G233" s="2" t="s">
        <v>277</v>
      </c>
      <c r="H233" s="2">
        <v>31</v>
      </c>
      <c r="I233" s="3">
        <v>121</v>
      </c>
      <c r="J233" s="4">
        <v>2750000</v>
      </c>
      <c r="K233" s="5">
        <f t="shared" si="96"/>
        <v>122</v>
      </c>
      <c r="L233" s="9">
        <f t="shared" si="120"/>
        <v>3601400</v>
      </c>
      <c r="M233" s="3">
        <f t="shared" si="97"/>
        <v>123</v>
      </c>
      <c r="N233" s="10">
        <f t="shared" si="121"/>
        <v>6302450</v>
      </c>
      <c r="O233" s="5">
        <f t="shared" si="98"/>
        <v>125</v>
      </c>
      <c r="P233" s="9">
        <f t="shared" si="122"/>
        <v>13235145</v>
      </c>
      <c r="Q233" s="3">
        <f t="shared" si="99"/>
        <v>127</v>
      </c>
      <c r="R233" s="10">
        <f t="shared" si="123"/>
        <v>20625000</v>
      </c>
      <c r="S233" s="5">
        <f t="shared" si="100"/>
        <v>129</v>
      </c>
      <c r="T233" s="9">
        <f t="shared" si="124"/>
        <v>53887663</v>
      </c>
      <c r="U233" s="3">
        <f t="shared" si="101"/>
        <v>132</v>
      </c>
      <c r="V233" s="10">
        <f t="shared" si="125"/>
        <v>173281045</v>
      </c>
      <c r="W233" s="5">
        <f t="shared" si="102"/>
        <v>136</v>
      </c>
      <c r="X233" s="9">
        <f t="shared" si="126"/>
        <v>731310584</v>
      </c>
      <c r="Y233" s="3">
        <f t="shared" si="103"/>
        <v>138</v>
      </c>
      <c r="Z233" s="10">
        <f t="shared" si="127"/>
        <v>1755145402</v>
      </c>
      <c r="AA233" s="5">
        <f t="shared" si="104"/>
        <v>140</v>
      </c>
      <c r="AB233" s="9">
        <f t="shared" si="128"/>
        <v>4387863504</v>
      </c>
      <c r="AC233" s="3">
        <f t="shared" si="105"/>
        <v>142</v>
      </c>
      <c r="AD233" s="10">
        <f t="shared" si="129"/>
        <v>12286017811</v>
      </c>
      <c r="AE233" s="5">
        <f t="shared" si="106"/>
        <v>145</v>
      </c>
      <c r="AF233" s="9">
        <f t="shared" si="130"/>
        <v>39315256996</v>
      </c>
      <c r="AG233" s="3">
        <f t="shared" si="107"/>
        <v>148</v>
      </c>
      <c r="AH233" s="10">
        <f t="shared" si="131"/>
        <v>149397976585</v>
      </c>
    </row>
    <row r="234" hidden="1">
      <c r="A234" s="2">
        <v>294</v>
      </c>
      <c r="B234" s="2" t="s">
        <v>377</v>
      </c>
      <c r="C234" s="2" t="s">
        <v>228</v>
      </c>
      <c r="D234" s="2" t="s">
        <v>25</v>
      </c>
      <c r="E234" s="2">
        <v>121</v>
      </c>
      <c r="F234" s="2" t="s">
        <v>59</v>
      </c>
      <c r="G234" s="2" t="s">
        <v>272</v>
      </c>
      <c r="H234" s="2">
        <v>31</v>
      </c>
      <c r="I234" s="3">
        <v>121</v>
      </c>
      <c r="J234" s="6">
        <v>2920000</v>
      </c>
      <c r="K234" s="5">
        <f t="shared" si="96"/>
        <v>122</v>
      </c>
      <c r="L234" s="9">
        <f t="shared" si="120"/>
        <v>3824032</v>
      </c>
      <c r="M234" s="3">
        <f t="shared" si="97"/>
        <v>123</v>
      </c>
      <c r="N234" s="10">
        <f t="shared" si="121"/>
        <v>6692056</v>
      </c>
      <c r="O234" s="5">
        <f t="shared" si="98"/>
        <v>125</v>
      </c>
      <c r="P234" s="9">
        <f t="shared" si="122"/>
        <v>14053318</v>
      </c>
      <c r="Q234" s="3">
        <f t="shared" si="99"/>
        <v>127</v>
      </c>
      <c r="R234" s="10">
        <f t="shared" si="123"/>
        <v>21900000</v>
      </c>
      <c r="S234" s="5">
        <f t="shared" si="100"/>
        <v>129</v>
      </c>
      <c r="T234" s="9">
        <f t="shared" si="124"/>
        <v>57218901</v>
      </c>
      <c r="U234" s="3">
        <f t="shared" si="101"/>
        <v>132</v>
      </c>
      <c r="V234" s="10">
        <f t="shared" si="125"/>
        <v>183992964</v>
      </c>
      <c r="W234" s="5">
        <f t="shared" si="102"/>
        <v>136</v>
      </c>
      <c r="X234" s="9">
        <f t="shared" si="126"/>
        <v>776518875</v>
      </c>
      <c r="Y234" s="3">
        <f t="shared" si="103"/>
        <v>138</v>
      </c>
      <c r="Z234" s="10">
        <f t="shared" si="127"/>
        <v>1863645299</v>
      </c>
      <c r="AA234" s="5">
        <f t="shared" si="104"/>
        <v>140</v>
      </c>
      <c r="AB234" s="9">
        <f t="shared" si="128"/>
        <v>4659113248</v>
      </c>
      <c r="AC234" s="3">
        <f t="shared" si="105"/>
        <v>142</v>
      </c>
      <c r="AD234" s="10">
        <f t="shared" si="129"/>
        <v>13045517094</v>
      </c>
      <c r="AE234" s="5">
        <f t="shared" si="106"/>
        <v>145</v>
      </c>
      <c r="AF234" s="9">
        <f t="shared" si="130"/>
        <v>41745654701</v>
      </c>
      <c r="AG234" s="3">
        <f t="shared" si="107"/>
        <v>148</v>
      </c>
      <c r="AH234" s="10">
        <f t="shared" si="131"/>
        <v>158633487865</v>
      </c>
    </row>
    <row r="235" hidden="1">
      <c r="A235" s="2">
        <v>309</v>
      </c>
      <c r="B235" s="2" t="s">
        <v>378</v>
      </c>
      <c r="C235" s="2" t="s">
        <v>228</v>
      </c>
      <c r="D235" s="2" t="s">
        <v>90</v>
      </c>
      <c r="E235" s="2">
        <v>121</v>
      </c>
      <c r="F235" s="2" t="s">
        <v>379</v>
      </c>
      <c r="G235" s="2" t="s">
        <v>380</v>
      </c>
      <c r="H235" s="2">
        <v>30</v>
      </c>
      <c r="I235" s="3">
        <v>121</v>
      </c>
      <c r="J235" s="6">
        <v>2560000</v>
      </c>
      <c r="K235" s="5">
        <f t="shared" si="96"/>
        <v>122</v>
      </c>
      <c r="L235" s="9">
        <f t="shared" si="120"/>
        <v>3352576</v>
      </c>
      <c r="M235" s="3">
        <f t="shared" si="97"/>
        <v>123</v>
      </c>
      <c r="N235" s="10">
        <f t="shared" si="121"/>
        <v>5867008</v>
      </c>
      <c r="O235" s="5">
        <f t="shared" si="98"/>
        <v>125</v>
      </c>
      <c r="P235" s="9">
        <f t="shared" si="122"/>
        <v>12320717</v>
      </c>
      <c r="Q235" s="3">
        <f t="shared" si="99"/>
        <v>127</v>
      </c>
      <c r="R235" s="10">
        <f t="shared" si="123"/>
        <v>19200000</v>
      </c>
      <c r="S235" s="5">
        <f t="shared" si="100"/>
        <v>129</v>
      </c>
      <c r="T235" s="9">
        <f t="shared" si="124"/>
        <v>50164516</v>
      </c>
      <c r="U235" s="3">
        <f t="shared" si="101"/>
        <v>132</v>
      </c>
      <c r="V235" s="10">
        <f t="shared" si="125"/>
        <v>161308900</v>
      </c>
      <c r="W235" s="5">
        <f t="shared" si="102"/>
        <v>136</v>
      </c>
      <c r="X235" s="9">
        <f t="shared" si="126"/>
        <v>680783671</v>
      </c>
      <c r="Y235" s="3">
        <f t="shared" si="103"/>
        <v>138</v>
      </c>
      <c r="Z235" s="10">
        <f t="shared" si="127"/>
        <v>1633880810</v>
      </c>
      <c r="AA235" s="5">
        <f t="shared" si="104"/>
        <v>140</v>
      </c>
      <c r="AB235" s="9">
        <f t="shared" si="128"/>
        <v>4084702026</v>
      </c>
      <c r="AC235" s="3">
        <f t="shared" si="105"/>
        <v>142</v>
      </c>
      <c r="AD235" s="10">
        <f t="shared" si="129"/>
        <v>11437165672</v>
      </c>
      <c r="AE235" s="5">
        <f t="shared" si="106"/>
        <v>145</v>
      </c>
      <c r="AF235" s="9">
        <f t="shared" si="130"/>
        <v>36598930149</v>
      </c>
      <c r="AG235" s="3">
        <f t="shared" si="107"/>
        <v>148</v>
      </c>
      <c r="AH235" s="10">
        <f t="shared" si="131"/>
        <v>139075934566</v>
      </c>
    </row>
    <row r="236" hidden="1">
      <c r="A236" s="2">
        <v>203</v>
      </c>
      <c r="B236" s="2" t="s">
        <v>381</v>
      </c>
      <c r="C236" s="2" t="s">
        <v>228</v>
      </c>
      <c r="D236" s="2" t="s">
        <v>45</v>
      </c>
      <c r="E236" s="2">
        <v>121</v>
      </c>
      <c r="F236" s="2" t="s">
        <v>54</v>
      </c>
      <c r="G236" s="2" t="s">
        <v>382</v>
      </c>
      <c r="H236" s="2">
        <v>30</v>
      </c>
      <c r="I236" s="3">
        <v>121</v>
      </c>
      <c r="J236" s="4">
        <v>2750000</v>
      </c>
      <c r="K236" s="5">
        <f t="shared" si="96"/>
        <v>122</v>
      </c>
      <c r="L236" s="9">
        <f t="shared" si="120"/>
        <v>3601400</v>
      </c>
      <c r="M236" s="3">
        <f t="shared" si="97"/>
        <v>123</v>
      </c>
      <c r="N236" s="10">
        <f t="shared" si="121"/>
        <v>6302450</v>
      </c>
      <c r="O236" s="5">
        <f t="shared" si="98"/>
        <v>125</v>
      </c>
      <c r="P236" s="9">
        <f t="shared" si="122"/>
        <v>13235145</v>
      </c>
      <c r="Q236" s="3">
        <f t="shared" si="99"/>
        <v>127</v>
      </c>
      <c r="R236" s="10">
        <f t="shared" si="123"/>
        <v>20625000</v>
      </c>
      <c r="S236" s="5">
        <f t="shared" si="100"/>
        <v>129</v>
      </c>
      <c r="T236" s="9">
        <f t="shared" si="124"/>
        <v>53887663</v>
      </c>
      <c r="U236" s="3">
        <f t="shared" si="101"/>
        <v>132</v>
      </c>
      <c r="V236" s="10">
        <f t="shared" si="125"/>
        <v>173281045</v>
      </c>
      <c r="W236" s="5">
        <f t="shared" si="102"/>
        <v>136</v>
      </c>
      <c r="X236" s="9">
        <f t="shared" si="126"/>
        <v>731310584</v>
      </c>
      <c r="Y236" s="3">
        <f t="shared" si="103"/>
        <v>138</v>
      </c>
      <c r="Z236" s="10">
        <f t="shared" si="127"/>
        <v>1755145402</v>
      </c>
      <c r="AA236" s="5">
        <f t="shared" si="104"/>
        <v>140</v>
      </c>
      <c r="AB236" s="9">
        <f t="shared" si="128"/>
        <v>4387863504</v>
      </c>
      <c r="AC236" s="3">
        <f t="shared" si="105"/>
        <v>142</v>
      </c>
      <c r="AD236" s="10">
        <f t="shared" si="129"/>
        <v>12286017811</v>
      </c>
      <c r="AE236" s="5">
        <f t="shared" si="106"/>
        <v>145</v>
      </c>
      <c r="AF236" s="9">
        <f t="shared" si="130"/>
        <v>39315256996</v>
      </c>
      <c r="AG236" s="3">
        <f t="shared" si="107"/>
        <v>148</v>
      </c>
      <c r="AH236" s="10">
        <f t="shared" si="131"/>
        <v>149397976585</v>
      </c>
    </row>
    <row r="237" hidden="1">
      <c r="A237" s="2">
        <v>190</v>
      </c>
      <c r="B237" s="2" t="s">
        <v>383</v>
      </c>
      <c r="C237" s="2" t="s">
        <v>228</v>
      </c>
      <c r="D237" s="2" t="s">
        <v>93</v>
      </c>
      <c r="E237" s="2">
        <v>121</v>
      </c>
      <c r="F237" s="2" t="s">
        <v>384</v>
      </c>
      <c r="G237" s="2" t="s">
        <v>67</v>
      </c>
      <c r="H237" s="2">
        <v>31</v>
      </c>
      <c r="I237" s="3">
        <v>121</v>
      </c>
      <c r="J237" s="4">
        <v>2750000</v>
      </c>
      <c r="K237" s="5">
        <f t="shared" si="96"/>
        <v>122</v>
      </c>
      <c r="L237" s="9">
        <f t="shared" si="120"/>
        <v>3601400</v>
      </c>
      <c r="M237" s="3">
        <f t="shared" si="97"/>
        <v>123</v>
      </c>
      <c r="N237" s="10">
        <f t="shared" si="121"/>
        <v>6302450</v>
      </c>
      <c r="O237" s="5">
        <f t="shared" si="98"/>
        <v>125</v>
      </c>
      <c r="P237" s="9">
        <f t="shared" si="122"/>
        <v>13235145</v>
      </c>
      <c r="Q237" s="3">
        <f t="shared" si="99"/>
        <v>127</v>
      </c>
      <c r="R237" s="10">
        <f t="shared" si="123"/>
        <v>20625000</v>
      </c>
      <c r="S237" s="5">
        <f t="shared" si="100"/>
        <v>129</v>
      </c>
      <c r="T237" s="9">
        <f t="shared" si="124"/>
        <v>53887663</v>
      </c>
      <c r="U237" s="3">
        <f t="shared" si="101"/>
        <v>132</v>
      </c>
      <c r="V237" s="10">
        <f t="shared" si="125"/>
        <v>173281045</v>
      </c>
      <c r="W237" s="5">
        <f t="shared" si="102"/>
        <v>136</v>
      </c>
      <c r="X237" s="9">
        <f t="shared" si="126"/>
        <v>731310584</v>
      </c>
      <c r="Y237" s="3">
        <f t="shared" si="103"/>
        <v>138</v>
      </c>
      <c r="Z237" s="10">
        <f t="shared" si="127"/>
        <v>1755145402</v>
      </c>
      <c r="AA237" s="5">
        <f t="shared" si="104"/>
        <v>140</v>
      </c>
      <c r="AB237" s="9">
        <f t="shared" si="128"/>
        <v>4387863504</v>
      </c>
      <c r="AC237" s="3">
        <f t="shared" si="105"/>
        <v>142</v>
      </c>
      <c r="AD237" s="10">
        <f t="shared" si="129"/>
        <v>12286017811</v>
      </c>
      <c r="AE237" s="5">
        <f t="shared" si="106"/>
        <v>145</v>
      </c>
      <c r="AF237" s="9">
        <f t="shared" si="130"/>
        <v>39315256996</v>
      </c>
      <c r="AG237" s="3">
        <f t="shared" si="107"/>
        <v>148</v>
      </c>
      <c r="AH237" s="10">
        <f t="shared" si="131"/>
        <v>149397976585</v>
      </c>
    </row>
    <row r="238" hidden="1">
      <c r="A238" s="2">
        <v>312</v>
      </c>
      <c r="B238" s="2" t="s">
        <v>385</v>
      </c>
      <c r="C238" s="2" t="s">
        <v>228</v>
      </c>
      <c r="D238" s="2" t="s">
        <v>33</v>
      </c>
      <c r="E238" s="2">
        <v>121</v>
      </c>
      <c r="F238" s="2" t="s">
        <v>386</v>
      </c>
      <c r="G238" s="2" t="s">
        <v>218</v>
      </c>
      <c r="H238" s="2">
        <v>29</v>
      </c>
      <c r="I238" s="3">
        <v>121</v>
      </c>
      <c r="J238" s="6">
        <v>3000000</v>
      </c>
      <c r="K238" s="5">
        <f t="shared" si="96"/>
        <v>122</v>
      </c>
      <c r="L238" s="9">
        <f t="shared" si="120"/>
        <v>3928800</v>
      </c>
      <c r="M238" s="3">
        <f t="shared" si="97"/>
        <v>123</v>
      </c>
      <c r="N238" s="10">
        <f t="shared" si="121"/>
        <v>6875400</v>
      </c>
      <c r="O238" s="5">
        <f t="shared" si="98"/>
        <v>125</v>
      </c>
      <c r="P238" s="9">
        <f t="shared" si="122"/>
        <v>14438340</v>
      </c>
      <c r="Q238" s="3">
        <f t="shared" si="99"/>
        <v>127</v>
      </c>
      <c r="R238" s="10">
        <f t="shared" si="123"/>
        <v>22500000</v>
      </c>
      <c r="S238" s="5">
        <f t="shared" si="100"/>
        <v>129</v>
      </c>
      <c r="T238" s="9">
        <f t="shared" si="124"/>
        <v>58786542</v>
      </c>
      <c r="U238" s="3">
        <f t="shared" si="101"/>
        <v>132</v>
      </c>
      <c r="V238" s="10">
        <f t="shared" si="125"/>
        <v>189033867</v>
      </c>
      <c r="W238" s="5">
        <f t="shared" si="102"/>
        <v>136</v>
      </c>
      <c r="X238" s="9">
        <f t="shared" si="126"/>
        <v>797793364</v>
      </c>
      <c r="Y238" s="3">
        <f t="shared" si="103"/>
        <v>138</v>
      </c>
      <c r="Z238" s="10">
        <f t="shared" si="127"/>
        <v>1914704074</v>
      </c>
      <c r="AA238" s="5">
        <f t="shared" si="104"/>
        <v>140</v>
      </c>
      <c r="AB238" s="9">
        <f t="shared" si="128"/>
        <v>4786760186</v>
      </c>
      <c r="AC238" s="3">
        <f t="shared" si="105"/>
        <v>142</v>
      </c>
      <c r="AD238" s="10">
        <f t="shared" si="129"/>
        <v>13402928521</v>
      </c>
      <c r="AE238" s="5">
        <f t="shared" si="106"/>
        <v>145</v>
      </c>
      <c r="AF238" s="9">
        <f t="shared" si="130"/>
        <v>42889371268</v>
      </c>
      <c r="AG238" s="3">
        <f t="shared" si="107"/>
        <v>148</v>
      </c>
      <c r="AH238" s="10">
        <f t="shared" si="131"/>
        <v>162979610820</v>
      </c>
    </row>
    <row r="239" hidden="1">
      <c r="A239" s="2">
        <v>287</v>
      </c>
      <c r="B239" s="2" t="s">
        <v>387</v>
      </c>
      <c r="C239" s="2" t="s">
        <v>228</v>
      </c>
      <c r="D239" s="2" t="s">
        <v>45</v>
      </c>
      <c r="E239" s="2">
        <v>121</v>
      </c>
      <c r="F239" s="2" t="s">
        <v>54</v>
      </c>
      <c r="G239" s="2" t="s">
        <v>218</v>
      </c>
      <c r="H239" s="2">
        <v>30</v>
      </c>
      <c r="I239" s="3">
        <v>121</v>
      </c>
      <c r="J239" s="6">
        <v>3600000</v>
      </c>
      <c r="K239" s="5">
        <f t="shared" si="96"/>
        <v>122</v>
      </c>
      <c r="L239" s="9" t="n">
        <f>ROUND($J239*1.637*1,0)</f>
        <v>5893200</v>
      </c>
      <c r="M239" s="3">
        <f t="shared" si="97"/>
        <v>123</v>
      </c>
      <c r="N239" s="10" t="n">
        <f>ROUND($J239*1.637*1.75*1,0)</f>
        <v>10313100</v>
      </c>
      <c r="O239" s="5">
        <f t="shared" si="98"/>
        <v>125</v>
      </c>
      <c r="P239" s="9" t="n">
        <f>ROUND($J239*1.637*1.75*2.1*1,0)</f>
        <v>21657510</v>
      </c>
      <c r="Q239" s="3">
        <f t="shared" si="99"/>
        <v>127</v>
      </c>
      <c r="R239" s="10" t="n">
        <f>ROUND($J239*1.637*1.75*2.1*2.3*1,0)</f>
        <v>49812273</v>
      </c>
      <c r="S239" s="5">
        <f t="shared" si="100"/>
        <v>129</v>
      </c>
      <c r="T239" s="9" t="n">
        <f>ROUND($J239*1.637*1.75*2.1*2.3*2.6*1,0)</f>
        <v>129511910</v>
      </c>
      <c r="U239" s="3">
        <f t="shared" si="101"/>
        <v>132</v>
      </c>
      <c r="V239" s="10" t="n">
        <f>ROUND($J239*1.637*1.75*2.1*2.3*2.6*3.2*1,0)</f>
        <v>414438111</v>
      </c>
      <c r="W239" s="5">
        <f t="shared" si="102"/>
        <v>136</v>
      </c>
      <c r="X239" s="9" t="n">
        <f>ROUND($J239*1.637*1.75*2.1*2.3*2.6*3.2*4.2*1,0)</f>
        <v>1740640068</v>
      </c>
      <c r="Y239" s="3">
        <f t="shared" si="103"/>
        <v>138</v>
      </c>
      <c r="Z239" s="10" t="n">
        <f>ROUND($J239*1.637*1.75*2.1*2.3*2.6*3.2*4.2*2.4*1,0)</f>
        <v>4177536163</v>
      </c>
      <c r="AA239" s="5">
        <f t="shared" si="104"/>
        <v>140</v>
      </c>
      <c r="AB239" s="9" t="n">
        <f>ROUND($J239*1.637*1.75*2.1*2.3*2.6*3.2*4.2*2.4*2.5*1,0)</f>
        <v>10443840406</v>
      </c>
      <c r="AC239" s="3">
        <f t="shared" si="105"/>
        <v>142</v>
      </c>
      <c r="AD239" s="10" t="n">
        <f>ROUND($J239*1.637*1.75*2.1*2.3*2.6*3.2*4.2*2.4*2.5*2.8*1,0)</f>
        <v>29242753138</v>
      </c>
      <c r="AE239" s="5">
        <f t="shared" si="106"/>
        <v>145</v>
      </c>
      <c r="AF239" s="9" t="n">
        <f>ROUND($J239*1.637*1.75*2.1*2.3*2.6*3.2*4.2*2.4*2.5*2.8*3.2*1,0)</f>
        <v>93576810040</v>
      </c>
      <c r="AG239" s="3">
        <f t="shared" si="107"/>
        <v>148</v>
      </c>
      <c r="AH239" s="10" t="n">
        <f>ROUND($J239*1.637*1.75*2.1*2.3*2.6*3.2*4.2*2.4*2.5*2.8*3.2*3.8*1,0)</f>
        <v>355591878153</v>
      </c>
    </row>
    <row r="240" hidden="1">
      <c r="A240" s="2">
        <v>207</v>
      </c>
      <c r="B240" s="2" t="s">
        <v>388</v>
      </c>
      <c r="C240" s="2" t="s">
        <v>228</v>
      </c>
      <c r="D240" s="2" t="s">
        <v>241</v>
      </c>
      <c r="E240" s="2">
        <v>121</v>
      </c>
      <c r="F240" s="2" t="s">
        <v>30</v>
      </c>
      <c r="G240" s="2" t="s">
        <v>104</v>
      </c>
      <c r="H240" s="2">
        <v>30</v>
      </c>
      <c r="I240" s="3">
        <v>121</v>
      </c>
      <c r="J240" s="4">
        <v>2740000</v>
      </c>
      <c r="K240" s="5">
        <f t="shared" si="96"/>
        <v>122</v>
      </c>
      <c r="L240" s="9" t="n">
        <f t="shared" ref="L240:L253" si="132">ROUND($J240*1.637*0.8,0)</f>
        <v>3588304</v>
      </c>
      <c r="M240" s="3">
        <f t="shared" si="97"/>
        <v>123</v>
      </c>
      <c r="N240" s="10" t="n">
        <f t="shared" ref="N240:N253" si="133">ROUND($J240*1.637*1.75*0.8,0)</f>
        <v>6279532</v>
      </c>
      <c r="O240" s="5">
        <f t="shared" si="98"/>
        <v>125</v>
      </c>
      <c r="P240" s="9" t="n">
        <f t="shared" ref="P240:P253" si="134">ROUND($J240*1.637*1.75*2.1*0.8,0)</f>
        <v>13187017</v>
      </c>
      <c r="Q240" s="3">
        <f t="shared" si="99"/>
        <v>127</v>
      </c>
      <c r="R240" s="10" t="n">
        <f t="shared" ref="R240:R253" si="135">ROUND($J240*1.637*1.75*2.1*2.3*0.542035092435954,0)</f>
        <v>20550000</v>
      </c>
      <c r="S240" s="5">
        <f t="shared" si="100"/>
        <v>129</v>
      </c>
      <c r="T240" s="9" t="n">
        <f t="shared" ref="T240:T253" si="136">ROUND($J240*1.637*1.75*2.1*2.3*2.6*0.544690061623969,0)</f>
        <v>53691708</v>
      </c>
      <c r="U240" s="3">
        <f t="shared" si="101"/>
        <v>132</v>
      </c>
      <c r="V240" s="10" t="n">
        <f t="shared" ref="V240:V253" si="137">ROUND($J240*1.637*1.75*2.1*2.3*2.6*3.2*0.547345030811984,0)</f>
        <v>172650932</v>
      </c>
      <c r="W240" s="5">
        <f t="shared" si="102"/>
        <v>136</v>
      </c>
      <c r="X240" s="9" t="n">
        <f t="shared" ref="X240:X253" si="138">ROUND($J240*1.637*1.75*2.1*2.3*2.6*3.2*4.2*0.55,0)</f>
        <v>728651273</v>
      </c>
      <c r="Y240" s="3">
        <f t="shared" si="103"/>
        <v>138</v>
      </c>
      <c r="Z240" s="10" t="n">
        <f t="shared" ref="Z240:Z253" si="139">ROUND($J240*1.637*1.75*2.1*2.3*2.6*3.2*4.2*2.4*0.55,0)</f>
        <v>1748763055</v>
      </c>
      <c r="AA240" s="5">
        <f t="shared" si="104"/>
        <v>140</v>
      </c>
      <c r="AB240" s="9" t="n">
        <f t="shared" ref="AB240:AB253" si="140">ROUND($J240*1.637*1.75*2.1*2.3*2.6*3.2*4.2*2.4*2.5*0.55,0)</f>
        <v>4371907637</v>
      </c>
      <c r="AC240" s="3">
        <f t="shared" si="105"/>
        <v>142</v>
      </c>
      <c r="AD240" s="10" t="n">
        <f t="shared" ref="AD240:AD253" si="141">ROUND($J240*1.637*1.75*2.1*2.3*2.6*3.2*4.2*2.4*2.5*2.8*0.55,0)</f>
        <v>12241341383</v>
      </c>
      <c r="AE240" s="5">
        <f t="shared" si="106"/>
        <v>145</v>
      </c>
      <c r="AF240" s="9" t="n">
        <f t="shared" ref="AF240:AF253" si="142">ROUND($J240*1.637*1.75*2.1*2.3*2.6*3.2*4.2*2.4*2.5*2.8*3.2*0.55,0)</f>
        <v>39172292425</v>
      </c>
      <c r="AG240" s="3">
        <f t="shared" si="107"/>
        <v>148</v>
      </c>
      <c r="AH240" s="10" t="n">
        <f t="shared" ref="AH240:AH253" si="143">ROUND($J240*1.637*1.75*2.1*2.3*2.6*3.2*4.2*2.4*2.5*2.8*3.2*3.8*0.55,0)</f>
        <v>148854711216</v>
      </c>
    </row>
    <row r="241" hidden="1">
      <c r="A241" s="2">
        <v>266</v>
      </c>
      <c r="B241" s="2" t="s">
        <v>389</v>
      </c>
      <c r="C241" s="2" t="s">
        <v>228</v>
      </c>
      <c r="D241" s="2" t="s">
        <v>64</v>
      </c>
      <c r="E241" s="2">
        <v>120</v>
      </c>
      <c r="F241" s="2" t="s">
        <v>146</v>
      </c>
      <c r="G241" s="2" t="s">
        <v>390</v>
      </c>
      <c r="H241" s="2">
        <v>30</v>
      </c>
      <c r="I241" s="3">
        <v>120</v>
      </c>
      <c r="J241" s="4">
        <v>2500000</v>
      </c>
      <c r="K241" s="5">
        <f t="shared" si="96"/>
        <v>121</v>
      </c>
      <c r="L241" s="9">
        <f t="shared" si="132"/>
        <v>3274000</v>
      </c>
      <c r="M241" s="3">
        <f t="shared" si="97"/>
        <v>122</v>
      </c>
      <c r="N241" s="10">
        <f t="shared" si="133"/>
        <v>5729500</v>
      </c>
      <c r="O241" s="5">
        <f t="shared" si="98"/>
        <v>124</v>
      </c>
      <c r="P241" s="9">
        <f t="shared" si="134"/>
        <v>12031950</v>
      </c>
      <c r="Q241" s="3">
        <f t="shared" si="99"/>
        <v>126</v>
      </c>
      <c r="R241" s="10">
        <f t="shared" si="135"/>
        <v>18750000</v>
      </c>
      <c r="S241" s="5">
        <f t="shared" si="100"/>
        <v>128</v>
      </c>
      <c r="T241" s="9">
        <f t="shared" si="136"/>
        <v>48988785</v>
      </c>
      <c r="U241" s="3">
        <f t="shared" si="101"/>
        <v>131</v>
      </c>
      <c r="V241" s="10">
        <f t="shared" si="137"/>
        <v>157528223</v>
      </c>
      <c r="W241" s="5">
        <f t="shared" si="102"/>
        <v>135</v>
      </c>
      <c r="X241" s="9">
        <f t="shared" si="138"/>
        <v>664827804</v>
      </c>
      <c r="Y241" s="3">
        <f t="shared" si="103"/>
        <v>137</v>
      </c>
      <c r="Z241" s="10">
        <f t="shared" si="139"/>
        <v>1595586729</v>
      </c>
      <c r="AA241" s="5">
        <f t="shared" si="104"/>
        <v>139</v>
      </c>
      <c r="AB241" s="9">
        <f t="shared" si="140"/>
        <v>3988966822</v>
      </c>
      <c r="AC241" s="3">
        <f t="shared" si="105"/>
        <v>141</v>
      </c>
      <c r="AD241" s="10">
        <f t="shared" si="141"/>
        <v>11169107101</v>
      </c>
      <c r="AE241" s="5">
        <f t="shared" si="106"/>
        <v>144</v>
      </c>
      <c r="AF241" s="9">
        <f t="shared" si="142"/>
        <v>35741142724</v>
      </c>
      <c r="AG241" s="3">
        <f t="shared" si="107"/>
        <v>147</v>
      </c>
      <c r="AH241" s="10">
        <f t="shared" si="143"/>
        <v>135816342350</v>
      </c>
    </row>
    <row r="242" hidden="1">
      <c r="A242" s="2">
        <v>289</v>
      </c>
      <c r="B242" s="2" t="s">
        <v>391</v>
      </c>
      <c r="C242" s="2" t="s">
        <v>228</v>
      </c>
      <c r="D242" s="2" t="s">
        <v>25</v>
      </c>
      <c r="E242" s="2">
        <v>120</v>
      </c>
      <c r="F242" s="2" t="s">
        <v>212</v>
      </c>
      <c r="G242" s="2" t="s">
        <v>380</v>
      </c>
      <c r="H242" s="2">
        <v>31</v>
      </c>
      <c r="I242" s="3">
        <v>120</v>
      </c>
      <c r="J242" s="6">
        <v>2200000</v>
      </c>
      <c r="K242" s="5">
        <f t="shared" si="96"/>
        <v>121</v>
      </c>
      <c r="L242" s="9">
        <f t="shared" si="132"/>
        <v>2881120</v>
      </c>
      <c r="M242" s="3">
        <f t="shared" si="97"/>
        <v>122</v>
      </c>
      <c r="N242" s="10">
        <f t="shared" si="133"/>
        <v>5041960</v>
      </c>
      <c r="O242" s="5">
        <f t="shared" si="98"/>
        <v>124</v>
      </c>
      <c r="P242" s="9">
        <f t="shared" si="134"/>
        <v>10588116</v>
      </c>
      <c r="Q242" s="3">
        <f t="shared" si="99"/>
        <v>126</v>
      </c>
      <c r="R242" s="10">
        <f t="shared" si="135"/>
        <v>16500000</v>
      </c>
      <c r="S242" s="5">
        <f t="shared" si="100"/>
        <v>128</v>
      </c>
      <c r="T242" s="9">
        <f t="shared" si="136"/>
        <v>43110131</v>
      </c>
      <c r="U242" s="3">
        <f t="shared" si="101"/>
        <v>131</v>
      </c>
      <c r="V242" s="10">
        <f t="shared" si="137"/>
        <v>138624836</v>
      </c>
      <c r="W242" s="5">
        <f t="shared" si="102"/>
        <v>135</v>
      </c>
      <c r="X242" s="9">
        <f t="shared" si="138"/>
        <v>585048467</v>
      </c>
      <c r="Y242" s="3">
        <f t="shared" si="103"/>
        <v>137</v>
      </c>
      <c r="Z242" s="10">
        <f t="shared" si="139"/>
        <v>1404116321</v>
      </c>
      <c r="AA242" s="5">
        <f t="shared" si="104"/>
        <v>139</v>
      </c>
      <c r="AB242" s="9">
        <f t="shared" si="140"/>
        <v>3510290803</v>
      </c>
      <c r="AC242" s="3">
        <f t="shared" si="105"/>
        <v>141</v>
      </c>
      <c r="AD242" s="10">
        <f t="shared" si="141"/>
        <v>9828814249</v>
      </c>
      <c r="AE242" s="5">
        <f t="shared" si="106"/>
        <v>144</v>
      </c>
      <c r="AF242" s="9">
        <f t="shared" si="142"/>
        <v>31452205597</v>
      </c>
      <c r="AG242" s="3">
        <f t="shared" si="107"/>
        <v>147</v>
      </c>
      <c r="AH242" s="10">
        <f t="shared" si="143"/>
        <v>119518381268</v>
      </c>
    </row>
    <row r="243" hidden="1">
      <c r="A243" s="2">
        <v>275</v>
      </c>
      <c r="B243" s="2" t="s">
        <v>392</v>
      </c>
      <c r="C243" s="2" t="s">
        <v>228</v>
      </c>
      <c r="D243" s="2" t="s">
        <v>40</v>
      </c>
      <c r="E243" s="2">
        <v>120</v>
      </c>
      <c r="F243" s="2" t="s">
        <v>225</v>
      </c>
      <c r="G243" s="2" t="s">
        <v>393</v>
      </c>
      <c r="H243" s="2">
        <v>31</v>
      </c>
      <c r="I243" s="3">
        <v>120</v>
      </c>
      <c r="J243" s="4">
        <v>2000000</v>
      </c>
      <c r="K243" s="5">
        <f t="shared" si="96"/>
        <v>121</v>
      </c>
      <c r="L243" s="9">
        <f t="shared" si="132"/>
        <v>2619200</v>
      </c>
      <c r="M243" s="3">
        <f t="shared" si="97"/>
        <v>122</v>
      </c>
      <c r="N243" s="10">
        <f t="shared" si="133"/>
        <v>4583600</v>
      </c>
      <c r="O243" s="5">
        <f t="shared" si="98"/>
        <v>124</v>
      </c>
      <c r="P243" s="9">
        <f t="shared" si="134"/>
        <v>9625560</v>
      </c>
      <c r="Q243" s="3">
        <f t="shared" si="99"/>
        <v>126</v>
      </c>
      <c r="R243" s="10">
        <f t="shared" si="135"/>
        <v>15000000</v>
      </c>
      <c r="S243" s="5">
        <f t="shared" si="100"/>
        <v>128</v>
      </c>
      <c r="T243" s="9">
        <f t="shared" si="136"/>
        <v>39191028</v>
      </c>
      <c r="U243" s="3">
        <f t="shared" si="101"/>
        <v>131</v>
      </c>
      <c r="V243" s="10">
        <f t="shared" si="137"/>
        <v>126022578</v>
      </c>
      <c r="W243" s="5">
        <f t="shared" si="102"/>
        <v>135</v>
      </c>
      <c r="X243" s="9">
        <f t="shared" si="138"/>
        <v>531862243</v>
      </c>
      <c r="Y243" s="3">
        <f t="shared" si="103"/>
        <v>137</v>
      </c>
      <c r="Z243" s="10">
        <f t="shared" si="139"/>
        <v>1276469383</v>
      </c>
      <c r="AA243" s="5">
        <f t="shared" si="104"/>
        <v>139</v>
      </c>
      <c r="AB243" s="9">
        <f t="shared" si="140"/>
        <v>3191173457</v>
      </c>
      <c r="AC243" s="3">
        <f t="shared" si="105"/>
        <v>141</v>
      </c>
      <c r="AD243" s="10">
        <f t="shared" si="141"/>
        <v>8935285681</v>
      </c>
      <c r="AE243" s="5">
        <f t="shared" si="106"/>
        <v>144</v>
      </c>
      <c r="AF243" s="9">
        <f t="shared" si="142"/>
        <v>28592914179</v>
      </c>
      <c r="AG243" s="3">
        <f t="shared" si="107"/>
        <v>147</v>
      </c>
      <c r="AH243" s="10">
        <f t="shared" si="143"/>
        <v>108653073880</v>
      </c>
    </row>
    <row r="244" hidden="1">
      <c r="A244" s="2">
        <v>283</v>
      </c>
      <c r="B244" s="2" t="s">
        <v>394</v>
      </c>
      <c r="C244" s="2" t="s">
        <v>228</v>
      </c>
      <c r="D244" s="2" t="s">
        <v>45</v>
      </c>
      <c r="E244" s="2">
        <v>120</v>
      </c>
      <c r="F244" s="2" t="s">
        <v>71</v>
      </c>
      <c r="G244" s="2" t="s">
        <v>395</v>
      </c>
      <c r="H244" s="2">
        <v>30</v>
      </c>
      <c r="I244" s="3">
        <v>120</v>
      </c>
      <c r="J244" s="6">
        <v>1900000</v>
      </c>
      <c r="K244" s="5">
        <f t="shared" si="96"/>
        <v>121</v>
      </c>
      <c r="L244" s="9">
        <f t="shared" si="132"/>
        <v>2488240</v>
      </c>
      <c r="M244" s="3">
        <f t="shared" si="97"/>
        <v>122</v>
      </c>
      <c r="N244" s="10">
        <f t="shared" si="133"/>
        <v>4354420</v>
      </c>
      <c r="O244" s="5">
        <f t="shared" si="98"/>
        <v>124</v>
      </c>
      <c r="P244" s="9">
        <f t="shared" si="134"/>
        <v>9144282</v>
      </c>
      <c r="Q244" s="3">
        <f t="shared" si="99"/>
        <v>126</v>
      </c>
      <c r="R244" s="10">
        <f t="shared" si="135"/>
        <v>14250000</v>
      </c>
      <c r="S244" s="5">
        <f t="shared" si="100"/>
        <v>128</v>
      </c>
      <c r="T244" s="9">
        <f t="shared" si="136"/>
        <v>37231476</v>
      </c>
      <c r="U244" s="3">
        <f t="shared" si="101"/>
        <v>131</v>
      </c>
      <c r="V244" s="10">
        <f t="shared" si="137"/>
        <v>119721449</v>
      </c>
      <c r="W244" s="5">
        <f t="shared" si="102"/>
        <v>135</v>
      </c>
      <c r="X244" s="9">
        <f t="shared" si="138"/>
        <v>505269131</v>
      </c>
      <c r="Y244" s="3">
        <f t="shared" si="103"/>
        <v>137</v>
      </c>
      <c r="Z244" s="10">
        <f t="shared" si="139"/>
        <v>1212645914</v>
      </c>
      <c r="AA244" s="5">
        <f t="shared" si="104"/>
        <v>139</v>
      </c>
      <c r="AB244" s="9">
        <f t="shared" si="140"/>
        <v>3031614785</v>
      </c>
      <c r="AC244" s="3">
        <f t="shared" si="105"/>
        <v>141</v>
      </c>
      <c r="AD244" s="10">
        <f t="shared" si="141"/>
        <v>8488521397</v>
      </c>
      <c r="AE244" s="5">
        <f t="shared" si="106"/>
        <v>144</v>
      </c>
      <c r="AF244" s="9">
        <f t="shared" si="142"/>
        <v>27163268470</v>
      </c>
      <c r="AG244" s="3">
        <f t="shared" si="107"/>
        <v>147</v>
      </c>
      <c r="AH244" s="10">
        <f t="shared" si="143"/>
        <v>103220420186</v>
      </c>
    </row>
    <row r="245" hidden="1">
      <c r="A245" s="2">
        <v>303</v>
      </c>
      <c r="B245" s="2" t="s">
        <v>396</v>
      </c>
      <c r="C245" s="2" t="s">
        <v>228</v>
      </c>
      <c r="D245" s="2" t="s">
        <v>102</v>
      </c>
      <c r="E245" s="2">
        <v>120</v>
      </c>
      <c r="F245" s="2" t="s">
        <v>54</v>
      </c>
      <c r="G245" s="2" t="s">
        <v>397</v>
      </c>
      <c r="H245" s="2">
        <v>30</v>
      </c>
      <c r="I245" s="3">
        <v>120</v>
      </c>
      <c r="J245" s="6">
        <v>2400000</v>
      </c>
      <c r="K245" s="5">
        <f t="shared" si="96"/>
        <v>121</v>
      </c>
      <c r="L245" s="9">
        <f t="shared" si="132"/>
        <v>3143040</v>
      </c>
      <c r="M245" s="3">
        <f t="shared" si="97"/>
        <v>122</v>
      </c>
      <c r="N245" s="10">
        <f t="shared" si="133"/>
        <v>5500320</v>
      </c>
      <c r="O245" s="5">
        <f t="shared" si="98"/>
        <v>124</v>
      </c>
      <c r="P245" s="9">
        <f t="shared" si="134"/>
        <v>11550672</v>
      </c>
      <c r="Q245" s="3">
        <f t="shared" si="99"/>
        <v>126</v>
      </c>
      <c r="R245" s="10">
        <f t="shared" si="135"/>
        <v>18000000</v>
      </c>
      <c r="S245" s="5">
        <f t="shared" si="100"/>
        <v>128</v>
      </c>
      <c r="T245" s="9">
        <f t="shared" si="136"/>
        <v>47029233</v>
      </c>
      <c r="U245" s="3">
        <f t="shared" si="101"/>
        <v>131</v>
      </c>
      <c r="V245" s="10">
        <f t="shared" si="137"/>
        <v>151227094</v>
      </c>
      <c r="W245" s="5">
        <f t="shared" si="102"/>
        <v>135</v>
      </c>
      <c r="X245" s="9">
        <f t="shared" si="138"/>
        <v>638234691</v>
      </c>
      <c r="Y245" s="3">
        <f t="shared" si="103"/>
        <v>137</v>
      </c>
      <c r="Z245" s="10">
        <f t="shared" si="139"/>
        <v>1531763260</v>
      </c>
      <c r="AA245" s="5">
        <f t="shared" si="104"/>
        <v>139</v>
      </c>
      <c r="AB245" s="9">
        <f t="shared" si="140"/>
        <v>3829408149</v>
      </c>
      <c r="AC245" s="3">
        <f t="shared" si="105"/>
        <v>141</v>
      </c>
      <c r="AD245" s="10">
        <f t="shared" si="141"/>
        <v>10722342817</v>
      </c>
      <c r="AE245" s="5">
        <f t="shared" si="106"/>
        <v>144</v>
      </c>
      <c r="AF245" s="9">
        <f t="shared" si="142"/>
        <v>34311497015</v>
      </c>
      <c r="AG245" s="3">
        <f t="shared" si="107"/>
        <v>147</v>
      </c>
      <c r="AH245" s="10">
        <f t="shared" si="143"/>
        <v>130383688656</v>
      </c>
    </row>
    <row r="246" hidden="1">
      <c r="A246" s="2">
        <v>263</v>
      </c>
      <c r="B246" s="2" t="s">
        <v>398</v>
      </c>
      <c r="C246" s="2" t="s">
        <v>228</v>
      </c>
      <c r="D246" s="2" t="s">
        <v>40</v>
      </c>
      <c r="E246" s="2">
        <v>120</v>
      </c>
      <c r="F246" s="2" t="s">
        <v>71</v>
      </c>
      <c r="G246" s="2" t="s">
        <v>399</v>
      </c>
      <c r="H246" s="2">
        <v>29</v>
      </c>
      <c r="I246" s="3">
        <v>120</v>
      </c>
      <c r="J246" s="4">
        <v>2000000</v>
      </c>
      <c r="K246" s="5">
        <f t="shared" si="96"/>
        <v>121</v>
      </c>
      <c r="L246" s="9">
        <f t="shared" si="132"/>
        <v>2619200</v>
      </c>
      <c r="M246" s="3">
        <f t="shared" si="97"/>
        <v>122</v>
      </c>
      <c r="N246" s="10">
        <f t="shared" si="133"/>
        <v>4583600</v>
      </c>
      <c r="O246" s="5">
        <f t="shared" si="98"/>
        <v>124</v>
      </c>
      <c r="P246" s="9">
        <f t="shared" si="134"/>
        <v>9625560</v>
      </c>
      <c r="Q246" s="3">
        <f t="shared" si="99"/>
        <v>126</v>
      </c>
      <c r="R246" s="10">
        <f t="shared" si="135"/>
        <v>15000000</v>
      </c>
      <c r="S246" s="5">
        <f t="shared" si="100"/>
        <v>128</v>
      </c>
      <c r="T246" s="9">
        <f t="shared" si="136"/>
        <v>39191028</v>
      </c>
      <c r="U246" s="3">
        <f t="shared" si="101"/>
        <v>131</v>
      </c>
      <c r="V246" s="10">
        <f t="shared" si="137"/>
        <v>126022578</v>
      </c>
      <c r="W246" s="5">
        <f t="shared" si="102"/>
        <v>135</v>
      </c>
      <c r="X246" s="9">
        <f t="shared" si="138"/>
        <v>531862243</v>
      </c>
      <c r="Y246" s="3">
        <f t="shared" si="103"/>
        <v>137</v>
      </c>
      <c r="Z246" s="10">
        <f t="shared" si="139"/>
        <v>1276469383</v>
      </c>
      <c r="AA246" s="5">
        <f t="shared" si="104"/>
        <v>139</v>
      </c>
      <c r="AB246" s="9">
        <f t="shared" si="140"/>
        <v>3191173457</v>
      </c>
      <c r="AC246" s="3">
        <f t="shared" si="105"/>
        <v>141</v>
      </c>
      <c r="AD246" s="10">
        <f t="shared" si="141"/>
        <v>8935285681</v>
      </c>
      <c r="AE246" s="5">
        <f t="shared" si="106"/>
        <v>144</v>
      </c>
      <c r="AF246" s="9">
        <f t="shared" si="142"/>
        <v>28592914179</v>
      </c>
      <c r="AG246" s="3">
        <f t="shared" si="107"/>
        <v>147</v>
      </c>
      <c r="AH246" s="10">
        <f t="shared" si="143"/>
        <v>108653073880</v>
      </c>
    </row>
    <row r="247" hidden="1">
      <c r="A247" s="2">
        <v>291</v>
      </c>
      <c r="B247" s="2" t="s">
        <v>400</v>
      </c>
      <c r="C247" s="2" t="s">
        <v>228</v>
      </c>
      <c r="D247" s="2" t="s">
        <v>25</v>
      </c>
      <c r="E247" s="2">
        <v>120</v>
      </c>
      <c r="F247" s="2" t="s">
        <v>401</v>
      </c>
      <c r="G247" s="2" t="s">
        <v>254</v>
      </c>
      <c r="H247" s="2">
        <v>30</v>
      </c>
      <c r="I247" s="3">
        <v>120</v>
      </c>
      <c r="J247" s="6">
        <v>2800000</v>
      </c>
      <c r="K247" s="5">
        <f t="shared" si="96"/>
        <v>121</v>
      </c>
      <c r="L247" s="9">
        <f t="shared" si="132"/>
        <v>3666880</v>
      </c>
      <c r="M247" s="3">
        <f t="shared" si="97"/>
        <v>122</v>
      </c>
      <c r="N247" s="10">
        <f t="shared" si="133"/>
        <v>6417040</v>
      </c>
      <c r="O247" s="5">
        <f t="shared" si="98"/>
        <v>124</v>
      </c>
      <c r="P247" s="9">
        <f t="shared" si="134"/>
        <v>13475784</v>
      </c>
      <c r="Q247" s="3">
        <f t="shared" si="99"/>
        <v>126</v>
      </c>
      <c r="R247" s="10">
        <f t="shared" si="135"/>
        <v>21000000</v>
      </c>
      <c r="S247" s="5">
        <f t="shared" si="100"/>
        <v>128</v>
      </c>
      <c r="T247" s="9">
        <f t="shared" si="136"/>
        <v>54867439</v>
      </c>
      <c r="U247" s="3">
        <f t="shared" si="101"/>
        <v>131</v>
      </c>
      <c r="V247" s="10">
        <f t="shared" si="137"/>
        <v>176431610</v>
      </c>
      <c r="W247" s="5">
        <f t="shared" si="102"/>
        <v>135</v>
      </c>
      <c r="X247" s="9">
        <f t="shared" si="138"/>
        <v>744607140</v>
      </c>
      <c r="Y247" s="3">
        <f t="shared" si="103"/>
        <v>137</v>
      </c>
      <c r="Z247" s="10">
        <f t="shared" si="139"/>
        <v>1787057136</v>
      </c>
      <c r="AA247" s="5">
        <f t="shared" si="104"/>
        <v>139</v>
      </c>
      <c r="AB247" s="9">
        <f t="shared" si="140"/>
        <v>4467642840</v>
      </c>
      <c r="AC247" s="3">
        <f t="shared" si="105"/>
        <v>141</v>
      </c>
      <c r="AD247" s="10">
        <f t="shared" si="141"/>
        <v>12509399953</v>
      </c>
      <c r="AE247" s="5">
        <f t="shared" si="106"/>
        <v>144</v>
      </c>
      <c r="AF247" s="9">
        <f t="shared" si="142"/>
        <v>40030079851</v>
      </c>
      <c r="AG247" s="3">
        <f t="shared" si="107"/>
        <v>147</v>
      </c>
      <c r="AH247" s="10">
        <f t="shared" si="143"/>
        <v>152114303432</v>
      </c>
    </row>
    <row r="248" hidden="1">
      <c r="A248" s="2">
        <v>265</v>
      </c>
      <c r="B248" s="2" t="s">
        <v>402</v>
      </c>
      <c r="C248" s="2" t="s">
        <v>228</v>
      </c>
      <c r="D248" s="2" t="s">
        <v>40</v>
      </c>
      <c r="E248" s="2">
        <v>120</v>
      </c>
      <c r="F248" s="2" t="s">
        <v>56</v>
      </c>
      <c r="G248" s="2" t="s">
        <v>403</v>
      </c>
      <c r="H248" s="2">
        <v>30</v>
      </c>
      <c r="I248" s="3">
        <v>120</v>
      </c>
      <c r="J248" s="4">
        <v>2000000</v>
      </c>
      <c r="K248" s="5">
        <f t="shared" si="96"/>
        <v>121</v>
      </c>
      <c r="L248" s="9">
        <f t="shared" si="132"/>
        <v>2619200</v>
      </c>
      <c r="M248" s="3">
        <f t="shared" si="97"/>
        <v>122</v>
      </c>
      <c r="N248" s="10">
        <f t="shared" si="133"/>
        <v>4583600</v>
      </c>
      <c r="O248" s="5">
        <f t="shared" si="98"/>
        <v>124</v>
      </c>
      <c r="P248" s="9">
        <f t="shared" si="134"/>
        <v>9625560</v>
      </c>
      <c r="Q248" s="3">
        <f t="shared" si="99"/>
        <v>126</v>
      </c>
      <c r="R248" s="10">
        <f t="shared" si="135"/>
        <v>15000000</v>
      </c>
      <c r="S248" s="5">
        <f t="shared" si="100"/>
        <v>128</v>
      </c>
      <c r="T248" s="9">
        <f t="shared" si="136"/>
        <v>39191028</v>
      </c>
      <c r="U248" s="3">
        <f t="shared" si="101"/>
        <v>131</v>
      </c>
      <c r="V248" s="10">
        <f t="shared" si="137"/>
        <v>126022578</v>
      </c>
      <c r="W248" s="5">
        <f t="shared" si="102"/>
        <v>135</v>
      </c>
      <c r="X248" s="9">
        <f t="shared" si="138"/>
        <v>531862243</v>
      </c>
      <c r="Y248" s="3">
        <f t="shared" si="103"/>
        <v>137</v>
      </c>
      <c r="Z248" s="10">
        <f t="shared" si="139"/>
        <v>1276469383</v>
      </c>
      <c r="AA248" s="5">
        <f t="shared" si="104"/>
        <v>139</v>
      </c>
      <c r="AB248" s="9">
        <f t="shared" si="140"/>
        <v>3191173457</v>
      </c>
      <c r="AC248" s="3">
        <f t="shared" si="105"/>
        <v>141</v>
      </c>
      <c r="AD248" s="10">
        <f t="shared" si="141"/>
        <v>8935285681</v>
      </c>
      <c r="AE248" s="5">
        <f t="shared" si="106"/>
        <v>144</v>
      </c>
      <c r="AF248" s="9">
        <f t="shared" si="142"/>
        <v>28592914179</v>
      </c>
      <c r="AG248" s="3">
        <f t="shared" si="107"/>
        <v>147</v>
      </c>
      <c r="AH248" s="10">
        <f t="shared" si="143"/>
        <v>108653073880</v>
      </c>
    </row>
    <row r="249" hidden="1">
      <c r="A249" s="2">
        <v>264</v>
      </c>
      <c r="B249" s="2" t="s">
        <v>404</v>
      </c>
      <c r="C249" s="2" t="s">
        <v>228</v>
      </c>
      <c r="D249" s="2" t="s">
        <v>40</v>
      </c>
      <c r="E249" s="2">
        <v>120</v>
      </c>
      <c r="F249" s="2" t="s">
        <v>54</v>
      </c>
      <c r="G249" s="2" t="s">
        <v>382</v>
      </c>
      <c r="H249" s="2">
        <v>30</v>
      </c>
      <c r="I249" s="3">
        <v>120</v>
      </c>
      <c r="J249" s="4">
        <v>2010000</v>
      </c>
      <c r="K249" s="5">
        <f t="shared" si="96"/>
        <v>121</v>
      </c>
      <c r="L249" s="9">
        <f t="shared" si="132"/>
        <v>2632296</v>
      </c>
      <c r="M249" s="3">
        <f t="shared" si="97"/>
        <v>122</v>
      </c>
      <c r="N249" s="10">
        <f t="shared" si="133"/>
        <v>4606518</v>
      </c>
      <c r="O249" s="5">
        <f t="shared" si="98"/>
        <v>124</v>
      </c>
      <c r="P249" s="9">
        <f t="shared" si="134"/>
        <v>9673688</v>
      </c>
      <c r="Q249" s="3">
        <f t="shared" si="99"/>
        <v>126</v>
      </c>
      <c r="R249" s="10">
        <f t="shared" si="135"/>
        <v>15075000</v>
      </c>
      <c r="S249" s="5">
        <f t="shared" si="100"/>
        <v>128</v>
      </c>
      <c r="T249" s="9">
        <f t="shared" si="136"/>
        <v>39386983</v>
      </c>
      <c r="U249" s="3">
        <f t="shared" si="101"/>
        <v>131</v>
      </c>
      <c r="V249" s="10">
        <f t="shared" si="137"/>
        <v>126652691</v>
      </c>
      <c r="W249" s="5">
        <f t="shared" si="102"/>
        <v>135</v>
      </c>
      <c r="X249" s="9">
        <f t="shared" si="138"/>
        <v>534521554</v>
      </c>
      <c r="Y249" s="3">
        <f t="shared" si="103"/>
        <v>137</v>
      </c>
      <c r="Z249" s="10">
        <f t="shared" si="139"/>
        <v>1282851730</v>
      </c>
      <c r="AA249" s="5">
        <f t="shared" si="104"/>
        <v>139</v>
      </c>
      <c r="AB249" s="9">
        <f t="shared" si="140"/>
        <v>3207129325</v>
      </c>
      <c r="AC249" s="3">
        <f t="shared" si="105"/>
        <v>141</v>
      </c>
      <c r="AD249" s="10">
        <f t="shared" si="141"/>
        <v>8979962109</v>
      </c>
      <c r="AE249" s="5">
        <f t="shared" si="106"/>
        <v>144</v>
      </c>
      <c r="AF249" s="9">
        <f t="shared" si="142"/>
        <v>28735878750</v>
      </c>
      <c r="AG249" s="3">
        <f t="shared" si="107"/>
        <v>147</v>
      </c>
      <c r="AH249" s="10">
        <f t="shared" si="143"/>
        <v>109196339249</v>
      </c>
    </row>
    <row r="250" hidden="1">
      <c r="A250" s="2">
        <v>290</v>
      </c>
      <c r="B250" s="2" t="s">
        <v>405</v>
      </c>
      <c r="C250" s="2" t="s">
        <v>228</v>
      </c>
      <c r="D250" s="2" t="s">
        <v>25</v>
      </c>
      <c r="E250" s="2">
        <v>120</v>
      </c>
      <c r="F250" s="2" t="s">
        <v>30</v>
      </c>
      <c r="G250" s="2" t="s">
        <v>406</v>
      </c>
      <c r="H250" s="2">
        <v>30</v>
      </c>
      <c r="I250" s="3">
        <v>120</v>
      </c>
      <c r="J250" s="6">
        <v>3000000</v>
      </c>
      <c r="K250" s="5">
        <f t="shared" si="96"/>
        <v>121</v>
      </c>
      <c r="L250" s="9">
        <f t="shared" si="132"/>
        <v>3928800</v>
      </c>
      <c r="M250" s="3">
        <f t="shared" si="97"/>
        <v>122</v>
      </c>
      <c r="N250" s="10">
        <f t="shared" si="133"/>
        <v>6875400</v>
      </c>
      <c r="O250" s="5">
        <f t="shared" si="98"/>
        <v>124</v>
      </c>
      <c r="P250" s="9">
        <f t="shared" si="134"/>
        <v>14438340</v>
      </c>
      <c r="Q250" s="3">
        <f t="shared" si="99"/>
        <v>126</v>
      </c>
      <c r="R250" s="10">
        <f t="shared" si="135"/>
        <v>22500000</v>
      </c>
      <c r="S250" s="5">
        <f t="shared" si="100"/>
        <v>128</v>
      </c>
      <c r="T250" s="9">
        <f t="shared" si="136"/>
        <v>58786542</v>
      </c>
      <c r="U250" s="3">
        <f t="shared" si="101"/>
        <v>131</v>
      </c>
      <c r="V250" s="10">
        <f t="shared" si="137"/>
        <v>189033867</v>
      </c>
      <c r="W250" s="5">
        <f t="shared" si="102"/>
        <v>135</v>
      </c>
      <c r="X250" s="9">
        <f t="shared" si="138"/>
        <v>797793364</v>
      </c>
      <c r="Y250" s="3">
        <f t="shared" si="103"/>
        <v>137</v>
      </c>
      <c r="Z250" s="10">
        <f t="shared" si="139"/>
        <v>1914704074</v>
      </c>
      <c r="AA250" s="5">
        <f t="shared" si="104"/>
        <v>139</v>
      </c>
      <c r="AB250" s="9">
        <f t="shared" si="140"/>
        <v>4786760186</v>
      </c>
      <c r="AC250" s="3">
        <f t="shared" si="105"/>
        <v>141</v>
      </c>
      <c r="AD250" s="10">
        <f t="shared" si="141"/>
        <v>13402928521</v>
      </c>
      <c r="AE250" s="5">
        <f t="shared" si="106"/>
        <v>144</v>
      </c>
      <c r="AF250" s="9">
        <f t="shared" si="142"/>
        <v>42889371268</v>
      </c>
      <c r="AG250" s="3">
        <f t="shared" si="107"/>
        <v>147</v>
      </c>
      <c r="AH250" s="10">
        <f t="shared" si="143"/>
        <v>162979610820</v>
      </c>
    </row>
    <row r="251" hidden="1">
      <c r="A251" s="2">
        <v>313</v>
      </c>
      <c r="B251" s="2" t="s">
        <v>407</v>
      </c>
      <c r="C251" s="2" t="s">
        <v>228</v>
      </c>
      <c r="D251" s="2" t="s">
        <v>33</v>
      </c>
      <c r="E251" s="2">
        <v>120</v>
      </c>
      <c r="F251" s="2" t="s">
        <v>353</v>
      </c>
      <c r="G251" s="2" t="s">
        <v>354</v>
      </c>
      <c r="H251" s="2">
        <v>29</v>
      </c>
      <c r="I251" s="3">
        <v>120</v>
      </c>
      <c r="J251" s="6">
        <v>2700000</v>
      </c>
      <c r="K251" s="5">
        <f t="shared" si="96"/>
        <v>121</v>
      </c>
      <c r="L251" s="9">
        <f t="shared" si="132"/>
        <v>3535920</v>
      </c>
      <c r="M251" s="3">
        <f t="shared" si="97"/>
        <v>122</v>
      </c>
      <c r="N251" s="10">
        <f t="shared" si="133"/>
        <v>6187860</v>
      </c>
      <c r="O251" s="5">
        <f t="shared" si="98"/>
        <v>124</v>
      </c>
      <c r="P251" s="9">
        <f t="shared" si="134"/>
        <v>12994506</v>
      </c>
      <c r="Q251" s="3">
        <f t="shared" si="99"/>
        <v>126</v>
      </c>
      <c r="R251" s="10">
        <f t="shared" si="135"/>
        <v>20250000</v>
      </c>
      <c r="S251" s="5">
        <f t="shared" si="100"/>
        <v>128</v>
      </c>
      <c r="T251" s="9">
        <f t="shared" si="136"/>
        <v>52907888</v>
      </c>
      <c r="U251" s="3">
        <f t="shared" si="101"/>
        <v>131</v>
      </c>
      <c r="V251" s="10">
        <f t="shared" si="137"/>
        <v>170130481</v>
      </c>
      <c r="W251" s="5">
        <f t="shared" si="102"/>
        <v>135</v>
      </c>
      <c r="X251" s="9">
        <f t="shared" si="138"/>
        <v>718014028</v>
      </c>
      <c r="Y251" s="3">
        <f t="shared" si="103"/>
        <v>137</v>
      </c>
      <c r="Z251" s="10">
        <f t="shared" si="139"/>
        <v>1723233667</v>
      </c>
      <c r="AA251" s="5">
        <f t="shared" si="104"/>
        <v>139</v>
      </c>
      <c r="AB251" s="9">
        <f t="shared" si="140"/>
        <v>4308084168</v>
      </c>
      <c r="AC251" s="3">
        <f t="shared" si="105"/>
        <v>141</v>
      </c>
      <c r="AD251" s="10">
        <f t="shared" si="141"/>
        <v>12062635669</v>
      </c>
      <c r="AE251" s="5">
        <f t="shared" si="106"/>
        <v>144</v>
      </c>
      <c r="AF251" s="9">
        <f t="shared" si="142"/>
        <v>38600434142</v>
      </c>
      <c r="AG251" s="3">
        <f t="shared" si="107"/>
        <v>147</v>
      </c>
      <c r="AH251" s="10">
        <f t="shared" si="143"/>
        <v>146681649738</v>
      </c>
    </row>
    <row r="252" hidden="1">
      <c r="A252" s="2">
        <v>319</v>
      </c>
      <c r="B252" s="2" t="s">
        <v>408</v>
      </c>
      <c r="C252" s="2" t="s">
        <v>228</v>
      </c>
      <c r="D252" s="2" t="s">
        <v>33</v>
      </c>
      <c r="E252" s="2">
        <v>120</v>
      </c>
      <c r="F252" s="2" t="s">
        <v>42</v>
      </c>
      <c r="G252" s="2" t="s">
        <v>261</v>
      </c>
      <c r="H252" s="2">
        <v>30</v>
      </c>
      <c r="I252" s="3">
        <v>120</v>
      </c>
      <c r="J252" s="6">
        <v>2700000</v>
      </c>
      <c r="K252" s="5">
        <f t="shared" si="96"/>
        <v>121</v>
      </c>
      <c r="L252" s="9">
        <f t="shared" si="132"/>
        <v>3535920</v>
      </c>
      <c r="M252" s="3">
        <f t="shared" si="97"/>
        <v>122</v>
      </c>
      <c r="N252" s="10">
        <f t="shared" si="133"/>
        <v>6187860</v>
      </c>
      <c r="O252" s="5">
        <f t="shared" si="98"/>
        <v>124</v>
      </c>
      <c r="P252" s="9">
        <f t="shared" si="134"/>
        <v>12994506</v>
      </c>
      <c r="Q252" s="3">
        <f t="shared" si="99"/>
        <v>126</v>
      </c>
      <c r="R252" s="10">
        <f t="shared" si="135"/>
        <v>20250000</v>
      </c>
      <c r="S252" s="5">
        <f t="shared" si="100"/>
        <v>128</v>
      </c>
      <c r="T252" s="9">
        <f t="shared" si="136"/>
        <v>52907888</v>
      </c>
      <c r="U252" s="3">
        <f t="shared" si="101"/>
        <v>131</v>
      </c>
      <c r="V252" s="10">
        <f t="shared" si="137"/>
        <v>170130481</v>
      </c>
      <c r="W252" s="5">
        <f t="shared" si="102"/>
        <v>135</v>
      </c>
      <c r="X252" s="9">
        <f t="shared" si="138"/>
        <v>718014028</v>
      </c>
      <c r="Y252" s="3">
        <f t="shared" si="103"/>
        <v>137</v>
      </c>
      <c r="Z252" s="10">
        <f t="shared" si="139"/>
        <v>1723233667</v>
      </c>
      <c r="AA252" s="5">
        <f t="shared" si="104"/>
        <v>139</v>
      </c>
      <c r="AB252" s="9">
        <f t="shared" si="140"/>
        <v>4308084168</v>
      </c>
      <c r="AC252" s="3">
        <f t="shared" si="105"/>
        <v>141</v>
      </c>
      <c r="AD252" s="10">
        <f t="shared" si="141"/>
        <v>12062635669</v>
      </c>
      <c r="AE252" s="5">
        <f t="shared" si="106"/>
        <v>144</v>
      </c>
      <c r="AF252" s="9">
        <f t="shared" si="142"/>
        <v>38600434142</v>
      </c>
      <c r="AG252" s="3">
        <f t="shared" si="107"/>
        <v>147</v>
      </c>
      <c r="AH252" s="10">
        <f t="shared" si="143"/>
        <v>146681649738</v>
      </c>
    </row>
    <row r="253" hidden="1">
      <c r="A253" s="2">
        <v>288</v>
      </c>
      <c r="B253" s="2" t="s">
        <v>409</v>
      </c>
      <c r="C253" s="2" t="s">
        <v>228</v>
      </c>
      <c r="D253" s="2" t="s">
        <v>25</v>
      </c>
      <c r="E253" s="2">
        <v>120</v>
      </c>
      <c r="F253" s="2" t="s">
        <v>410</v>
      </c>
      <c r="G253" s="2" t="s">
        <v>411</v>
      </c>
      <c r="H253" s="2">
        <v>31</v>
      </c>
      <c r="I253" s="3">
        <v>120</v>
      </c>
      <c r="J253" s="6">
        <v>2700000</v>
      </c>
      <c r="K253" s="5">
        <f t="shared" si="96"/>
        <v>121</v>
      </c>
      <c r="L253" s="9">
        <f t="shared" si="132"/>
        <v>3535920</v>
      </c>
      <c r="M253" s="3">
        <f t="shared" si="97"/>
        <v>122</v>
      </c>
      <c r="N253" s="10">
        <f t="shared" si="133"/>
        <v>6187860</v>
      </c>
      <c r="O253" s="5">
        <f t="shared" si="98"/>
        <v>124</v>
      </c>
      <c r="P253" s="9">
        <f t="shared" si="134"/>
        <v>12994506</v>
      </c>
      <c r="Q253" s="3">
        <f t="shared" si="99"/>
        <v>126</v>
      </c>
      <c r="R253" s="10">
        <f t="shared" si="135"/>
        <v>20250000</v>
      </c>
      <c r="S253" s="5">
        <f t="shared" si="100"/>
        <v>128</v>
      </c>
      <c r="T253" s="9">
        <f t="shared" si="136"/>
        <v>52907888</v>
      </c>
      <c r="U253" s="3">
        <f t="shared" si="101"/>
        <v>131</v>
      </c>
      <c r="V253" s="10">
        <f t="shared" si="137"/>
        <v>170130481</v>
      </c>
      <c r="W253" s="5">
        <f t="shared" si="102"/>
        <v>135</v>
      </c>
      <c r="X253" s="9">
        <f t="shared" si="138"/>
        <v>718014028</v>
      </c>
      <c r="Y253" s="3">
        <f t="shared" si="103"/>
        <v>137</v>
      </c>
      <c r="Z253" s="10">
        <f t="shared" si="139"/>
        <v>1723233667</v>
      </c>
      <c r="AA253" s="5">
        <f t="shared" si="104"/>
        <v>139</v>
      </c>
      <c r="AB253" s="9">
        <f t="shared" si="140"/>
        <v>4308084168</v>
      </c>
      <c r="AC253" s="3">
        <f t="shared" si="105"/>
        <v>141</v>
      </c>
      <c r="AD253" s="10">
        <f t="shared" si="141"/>
        <v>12062635669</v>
      </c>
      <c r="AE253" s="5">
        <f t="shared" si="106"/>
        <v>144</v>
      </c>
      <c r="AF253" s="9">
        <f t="shared" si="142"/>
        <v>38600434142</v>
      </c>
      <c r="AG253" s="3">
        <f t="shared" si="107"/>
        <v>147</v>
      </c>
      <c r="AH253" s="10">
        <f t="shared" si="143"/>
        <v>146681649738</v>
      </c>
    </row>
    <row r="254" hidden="1">
      <c r="A254" s="2">
        <v>321</v>
      </c>
      <c r="B254" s="2" t="s">
        <v>412</v>
      </c>
      <c r="C254" s="2" t="s">
        <v>228</v>
      </c>
      <c r="D254" s="2" t="s">
        <v>33</v>
      </c>
      <c r="E254" s="2">
        <v>120</v>
      </c>
      <c r="F254" s="2" t="s">
        <v>413</v>
      </c>
      <c r="G254" s="2" t="s">
        <v>374</v>
      </c>
      <c r="H254" s="2">
        <v>31</v>
      </c>
      <c r="I254" s="3">
        <v>120</v>
      </c>
      <c r="J254" s="6">
        <v>2700000</v>
      </c>
      <c r="K254" s="5">
        <f t="shared" si="96"/>
        <v>121</v>
      </c>
      <c r="L254" s="9" t="n">
        <f>ROUND($J254*1.637*1,0)</f>
        <v>4419900</v>
      </c>
      <c r="M254" s="3">
        <f t="shared" si="97"/>
        <v>122</v>
      </c>
      <c r="N254" s="10" t="n">
        <f>ROUND($J254*1.637*1.75*1,0)</f>
        <v>7734825</v>
      </c>
      <c r="O254" s="5">
        <f t="shared" si="98"/>
        <v>124</v>
      </c>
      <c r="P254" s="9" t="n">
        <f>ROUND($J254*1.637*1.75*2.1*1,0)</f>
        <v>16243133</v>
      </c>
      <c r="Q254" s="3">
        <f t="shared" si="99"/>
        <v>126</v>
      </c>
      <c r="R254" s="10" t="n">
        <f>ROUND($J254*1.637*1.75*2.1*2.3*1,0)</f>
        <v>37359205</v>
      </c>
      <c r="S254" s="5">
        <f t="shared" si="100"/>
        <v>128</v>
      </c>
      <c r="T254" s="9" t="n">
        <f>ROUND($J254*1.637*1.75*2.1*2.3*2.6*1,0)</f>
        <v>97133932</v>
      </c>
      <c r="U254" s="3">
        <f t="shared" si="101"/>
        <v>131</v>
      </c>
      <c r="V254" s="10" t="n">
        <f>ROUND($J254*1.637*1.75*2.1*2.3*2.6*3.2*1,0)</f>
        <v>310828584</v>
      </c>
      <c r="W254" s="5">
        <f t="shared" si="102"/>
        <v>135</v>
      </c>
      <c r="X254" s="9" t="n">
        <f>ROUND($J254*1.637*1.75*2.1*2.3*2.6*3.2*4.2*1,0)</f>
        <v>1305480051</v>
      </c>
      <c r="Y254" s="3">
        <f t="shared" si="103"/>
        <v>137</v>
      </c>
      <c r="Z254" s="10" t="n">
        <f>ROUND($J254*1.637*1.75*2.1*2.3*2.6*3.2*4.2*2.4*1,0)</f>
        <v>3133152122</v>
      </c>
      <c r="AA254" s="5">
        <f t="shared" si="104"/>
        <v>139</v>
      </c>
      <c r="AB254" s="9" t="n">
        <f>ROUND($J254*1.637*1.75*2.1*2.3*2.6*3.2*4.2*2.4*2.5*1,0)</f>
        <v>7832880305</v>
      </c>
      <c r="AC254" s="3">
        <f t="shared" si="105"/>
        <v>141</v>
      </c>
      <c r="AD254" s="10" t="n">
        <f>ROUND($J254*1.637*1.75*2.1*2.3*2.6*3.2*4.2*2.4*2.5*2.8*1,0)</f>
        <v>21932064853</v>
      </c>
      <c r="AE254" s="5">
        <f t="shared" si="106"/>
        <v>144</v>
      </c>
      <c r="AF254" s="9" t="n">
        <f>ROUND($J254*1.637*1.75*2.1*2.3*2.6*3.2*4.2*2.4*2.5*2.8*3.2*1,0)</f>
        <v>70182607530</v>
      </c>
      <c r="AG254" s="3">
        <f t="shared" si="107"/>
        <v>147</v>
      </c>
      <c r="AH254" s="10" t="n">
        <f>ROUND($J254*1.637*1.75*2.1*2.3*2.6*3.2*4.2*2.4*2.5*2.8*3.2*3.8*1,0)</f>
        <v>266693908615</v>
      </c>
    </row>
    <row r="255" hidden="1">
      <c r="A255" s="2">
        <v>286</v>
      </c>
      <c r="B255" s="2" t="s">
        <v>414</v>
      </c>
      <c r="C255" s="2" t="s">
        <v>228</v>
      </c>
      <c r="D255" s="2" t="s">
        <v>45</v>
      </c>
      <c r="E255" s="2">
        <v>120</v>
      </c>
      <c r="F255" s="2" t="s">
        <v>225</v>
      </c>
      <c r="G255" s="2" t="s">
        <v>415</v>
      </c>
      <c r="H255" s="2">
        <v>30</v>
      </c>
      <c r="I255" s="3">
        <v>120</v>
      </c>
      <c r="J255" s="6">
        <v>2700000</v>
      </c>
      <c r="K255" s="5">
        <f t="shared" si="96"/>
        <v>121</v>
      </c>
      <c r="L255" s="9" t="n">
        <f t="shared" ref="L255:L262" si="144">ROUND($J255*1.637*0.8,0)</f>
        <v>3535920</v>
      </c>
      <c r="M255" s="3">
        <f t="shared" si="97"/>
        <v>122</v>
      </c>
      <c r="N255" s="10" t="n">
        <f t="shared" ref="N255:N262" si="145">ROUND($J255*1.637*1.75*0.8,0)</f>
        <v>6187860</v>
      </c>
      <c r="O255" s="5">
        <f t="shared" si="98"/>
        <v>124</v>
      </c>
      <c r="P255" s="9" t="n">
        <f t="shared" ref="P255:P262" si="146">ROUND($J255*1.637*1.75*2.1*0.8,0)</f>
        <v>12994506</v>
      </c>
      <c r="Q255" s="3">
        <f t="shared" si="99"/>
        <v>126</v>
      </c>
      <c r="R255" s="10" t="n">
        <f t="shared" ref="R255:R262" si="147">ROUND($J255*1.637*1.75*2.1*2.3*0.542035092435954,0)</f>
        <v>20250000</v>
      </c>
      <c r="S255" s="5">
        <f t="shared" si="100"/>
        <v>128</v>
      </c>
      <c r="T255" s="9" t="n">
        <f t="shared" ref="T255:T262" si="148">ROUND($J255*1.637*1.75*2.1*2.3*2.6*0.544690061623969,0)</f>
        <v>52907888</v>
      </c>
      <c r="U255" s="3">
        <f t="shared" si="101"/>
        <v>131</v>
      </c>
      <c r="V255" s="10" t="n">
        <f t="shared" ref="V255:V262" si="149">ROUND($J255*1.637*1.75*2.1*2.3*2.6*3.2*0.547345030811984,0)</f>
        <v>170130481</v>
      </c>
      <c r="W255" s="5">
        <f t="shared" si="102"/>
        <v>135</v>
      </c>
      <c r="X255" s="9" t="n">
        <f t="shared" ref="X255:X262" si="150">ROUND($J255*1.637*1.75*2.1*2.3*2.6*3.2*4.2*0.55,0)</f>
        <v>718014028</v>
      </c>
      <c r="Y255" s="3">
        <f t="shared" si="103"/>
        <v>137</v>
      </c>
      <c r="Z255" s="10" t="n">
        <f t="shared" ref="Z255:Z262" si="151">ROUND($J255*1.637*1.75*2.1*2.3*2.6*3.2*4.2*2.4*0.55,0)</f>
        <v>1723233667</v>
      </c>
      <c r="AA255" s="5">
        <f t="shared" si="104"/>
        <v>139</v>
      </c>
      <c r="AB255" s="9" t="n">
        <f t="shared" ref="AB255:AB262" si="152">ROUND($J255*1.637*1.75*2.1*2.3*2.6*3.2*4.2*2.4*2.5*0.55,0)</f>
        <v>4308084168</v>
      </c>
      <c r="AC255" s="3">
        <f t="shared" si="105"/>
        <v>141</v>
      </c>
      <c r="AD255" s="10" t="n">
        <f t="shared" ref="AD255:AD262" si="153">ROUND($J255*1.637*1.75*2.1*2.3*2.6*3.2*4.2*2.4*2.5*2.8*0.55,0)</f>
        <v>12062635669</v>
      </c>
      <c r="AE255" s="5">
        <f t="shared" si="106"/>
        <v>144</v>
      </c>
      <c r="AF255" s="9" t="n">
        <f t="shared" ref="AF255:AF262" si="154">ROUND($J255*1.637*1.75*2.1*2.3*2.6*3.2*4.2*2.4*2.5*2.8*3.2*0.55,0)</f>
        <v>38600434142</v>
      </c>
      <c r="AG255" s="3">
        <f t="shared" si="107"/>
        <v>147</v>
      </c>
      <c r="AH255" s="10" t="n">
        <f t="shared" ref="AH255:AH262" si="155">ROUND($J255*1.637*1.75*2.1*2.3*2.6*3.2*4.2*2.4*2.5*2.8*3.2*3.8*0.55,0)</f>
        <v>146681649738</v>
      </c>
    </row>
    <row r="256" hidden="1">
      <c r="A256" s="2">
        <v>285</v>
      </c>
      <c r="B256" s="2" t="s">
        <v>416</v>
      </c>
      <c r="C256" s="2" t="s">
        <v>228</v>
      </c>
      <c r="D256" s="2" t="s">
        <v>45</v>
      </c>
      <c r="E256" s="2">
        <v>120</v>
      </c>
      <c r="F256" s="2" t="s">
        <v>413</v>
      </c>
      <c r="G256" s="2" t="s">
        <v>417</v>
      </c>
      <c r="H256" s="2">
        <v>29</v>
      </c>
      <c r="I256" s="3">
        <v>120</v>
      </c>
      <c r="J256" s="6">
        <v>2700000</v>
      </c>
      <c r="K256" s="5">
        <f t="shared" si="96"/>
        <v>121</v>
      </c>
      <c r="L256" s="9">
        <f t="shared" si="144"/>
        <v>3535920</v>
      </c>
      <c r="M256" s="3">
        <f t="shared" si="97"/>
        <v>122</v>
      </c>
      <c r="N256" s="10">
        <f t="shared" si="145"/>
        <v>6187860</v>
      </c>
      <c r="O256" s="5">
        <f t="shared" si="98"/>
        <v>124</v>
      </c>
      <c r="P256" s="9">
        <f t="shared" si="146"/>
        <v>12994506</v>
      </c>
      <c r="Q256" s="3">
        <f t="shared" si="99"/>
        <v>126</v>
      </c>
      <c r="R256" s="10">
        <f t="shared" si="147"/>
        <v>20250000</v>
      </c>
      <c r="S256" s="5">
        <f t="shared" si="100"/>
        <v>128</v>
      </c>
      <c r="T256" s="9">
        <f t="shared" si="148"/>
        <v>52907888</v>
      </c>
      <c r="U256" s="3">
        <f t="shared" si="101"/>
        <v>131</v>
      </c>
      <c r="V256" s="10">
        <f t="shared" si="149"/>
        <v>170130481</v>
      </c>
      <c r="W256" s="5">
        <f t="shared" si="102"/>
        <v>135</v>
      </c>
      <c r="X256" s="9">
        <f t="shared" si="150"/>
        <v>718014028</v>
      </c>
      <c r="Y256" s="3">
        <f t="shared" si="103"/>
        <v>137</v>
      </c>
      <c r="Z256" s="10">
        <f t="shared" si="151"/>
        <v>1723233667</v>
      </c>
      <c r="AA256" s="5">
        <f t="shared" si="104"/>
        <v>139</v>
      </c>
      <c r="AB256" s="9">
        <f t="shared" si="152"/>
        <v>4308084168</v>
      </c>
      <c r="AC256" s="3">
        <f t="shared" si="105"/>
        <v>141</v>
      </c>
      <c r="AD256" s="10">
        <f t="shared" si="153"/>
        <v>12062635669</v>
      </c>
      <c r="AE256" s="5">
        <f t="shared" si="106"/>
        <v>144</v>
      </c>
      <c r="AF256" s="9">
        <f t="shared" si="154"/>
        <v>38600434142</v>
      </c>
      <c r="AG256" s="3">
        <f t="shared" si="107"/>
        <v>147</v>
      </c>
      <c r="AH256" s="10">
        <f t="shared" si="155"/>
        <v>146681649738</v>
      </c>
    </row>
    <row r="257" hidden="1">
      <c r="A257" s="2">
        <v>302</v>
      </c>
      <c r="B257" s="2" t="s">
        <v>418</v>
      </c>
      <c r="C257" s="2" t="s">
        <v>228</v>
      </c>
      <c r="D257" s="2" t="s">
        <v>93</v>
      </c>
      <c r="E257" s="2">
        <v>120</v>
      </c>
      <c r="F257" s="2" t="s">
        <v>54</v>
      </c>
      <c r="G257" s="2" t="s">
        <v>417</v>
      </c>
      <c r="H257" s="2">
        <v>30</v>
      </c>
      <c r="I257" s="3">
        <v>120</v>
      </c>
      <c r="J257" s="6">
        <v>2300000</v>
      </c>
      <c r="K257" s="5">
        <f t="shared" si="96"/>
        <v>121</v>
      </c>
      <c r="L257" s="9">
        <f t="shared" si="144"/>
        <v>3012080</v>
      </c>
      <c r="M257" s="3">
        <f t="shared" si="97"/>
        <v>122</v>
      </c>
      <c r="N257" s="10">
        <f t="shared" si="145"/>
        <v>5271140</v>
      </c>
      <c r="O257" s="5">
        <f t="shared" si="98"/>
        <v>124</v>
      </c>
      <c r="P257" s="9">
        <f t="shared" si="146"/>
        <v>11069394</v>
      </c>
      <c r="Q257" s="3">
        <f t="shared" si="99"/>
        <v>126</v>
      </c>
      <c r="R257" s="10">
        <f t="shared" si="147"/>
        <v>17250000</v>
      </c>
      <c r="S257" s="5">
        <f t="shared" si="100"/>
        <v>128</v>
      </c>
      <c r="T257" s="9">
        <f t="shared" si="148"/>
        <v>45069682</v>
      </c>
      <c r="U257" s="3">
        <f t="shared" si="101"/>
        <v>131</v>
      </c>
      <c r="V257" s="10">
        <f t="shared" si="149"/>
        <v>144925965</v>
      </c>
      <c r="W257" s="5">
        <f t="shared" si="102"/>
        <v>135</v>
      </c>
      <c r="X257" s="9">
        <f t="shared" si="150"/>
        <v>611641579</v>
      </c>
      <c r="Y257" s="3">
        <f t="shared" si="103"/>
        <v>137</v>
      </c>
      <c r="Z257" s="10">
        <f t="shared" si="151"/>
        <v>1467939790</v>
      </c>
      <c r="AA257" s="5">
        <f t="shared" si="104"/>
        <v>139</v>
      </c>
      <c r="AB257" s="9">
        <f t="shared" si="152"/>
        <v>3669849476</v>
      </c>
      <c r="AC257" s="3">
        <f t="shared" si="105"/>
        <v>141</v>
      </c>
      <c r="AD257" s="10">
        <f t="shared" si="153"/>
        <v>10275578533</v>
      </c>
      <c r="AE257" s="5">
        <f t="shared" si="106"/>
        <v>144</v>
      </c>
      <c r="AF257" s="9">
        <f t="shared" si="154"/>
        <v>32881851306</v>
      </c>
      <c r="AG257" s="3">
        <f t="shared" si="107"/>
        <v>147</v>
      </c>
      <c r="AH257" s="10">
        <f t="shared" si="155"/>
        <v>124951034962</v>
      </c>
    </row>
    <row r="258" hidden="1">
      <c r="A258" s="2">
        <v>320</v>
      </c>
      <c r="B258" s="2" t="s">
        <v>419</v>
      </c>
      <c r="C258" s="2" t="s">
        <v>228</v>
      </c>
      <c r="D258" s="2" t="s">
        <v>33</v>
      </c>
      <c r="E258" s="2">
        <v>120</v>
      </c>
      <c r="F258" s="2" t="s">
        <v>413</v>
      </c>
      <c r="G258" s="2" t="s">
        <v>337</v>
      </c>
      <c r="H258" s="2">
        <v>29</v>
      </c>
      <c r="I258" s="3">
        <v>120</v>
      </c>
      <c r="J258" s="6">
        <v>2300000</v>
      </c>
      <c r="K258" s="5">
        <f t="shared" si="96"/>
        <v>121</v>
      </c>
      <c r="L258" s="9">
        <f t="shared" si="144"/>
        <v>3012080</v>
      </c>
      <c r="M258" s="3">
        <f t="shared" si="97"/>
        <v>122</v>
      </c>
      <c r="N258" s="10">
        <f t="shared" si="145"/>
        <v>5271140</v>
      </c>
      <c r="O258" s="5">
        <f t="shared" si="98"/>
        <v>124</v>
      </c>
      <c r="P258" s="9">
        <f t="shared" si="146"/>
        <v>11069394</v>
      </c>
      <c r="Q258" s="3">
        <f t="shared" si="99"/>
        <v>126</v>
      </c>
      <c r="R258" s="10">
        <f t="shared" si="147"/>
        <v>17250000</v>
      </c>
      <c r="S258" s="5">
        <f t="shared" si="100"/>
        <v>128</v>
      </c>
      <c r="T258" s="9">
        <f t="shared" si="148"/>
        <v>45069682</v>
      </c>
      <c r="U258" s="3">
        <f t="shared" si="101"/>
        <v>131</v>
      </c>
      <c r="V258" s="10">
        <f t="shared" si="149"/>
        <v>144925965</v>
      </c>
      <c r="W258" s="5">
        <f t="shared" si="102"/>
        <v>135</v>
      </c>
      <c r="X258" s="9">
        <f t="shared" si="150"/>
        <v>611641579</v>
      </c>
      <c r="Y258" s="3">
        <f t="shared" si="103"/>
        <v>137</v>
      </c>
      <c r="Z258" s="10">
        <f t="shared" si="151"/>
        <v>1467939790</v>
      </c>
      <c r="AA258" s="5">
        <f t="shared" si="104"/>
        <v>139</v>
      </c>
      <c r="AB258" s="9">
        <f t="shared" si="152"/>
        <v>3669849476</v>
      </c>
      <c r="AC258" s="3">
        <f t="shared" si="105"/>
        <v>141</v>
      </c>
      <c r="AD258" s="10">
        <f t="shared" si="153"/>
        <v>10275578533</v>
      </c>
      <c r="AE258" s="5">
        <f t="shared" si="106"/>
        <v>144</v>
      </c>
      <c r="AF258" s="9">
        <f t="shared" si="154"/>
        <v>32881851306</v>
      </c>
      <c r="AG258" s="3">
        <f t="shared" si="107"/>
        <v>147</v>
      </c>
      <c r="AH258" s="10">
        <f t="shared" si="155"/>
        <v>124951034962</v>
      </c>
    </row>
    <row r="259" hidden="1">
      <c r="A259" s="2">
        <v>304</v>
      </c>
      <c r="B259" s="2" t="s">
        <v>420</v>
      </c>
      <c r="C259" s="2" t="s">
        <v>228</v>
      </c>
      <c r="D259" s="2" t="s">
        <v>102</v>
      </c>
      <c r="E259" s="2">
        <v>120</v>
      </c>
      <c r="F259" s="2" t="s">
        <v>26</v>
      </c>
      <c r="G259" s="2" t="s">
        <v>247</v>
      </c>
      <c r="H259" s="2">
        <v>29</v>
      </c>
      <c r="I259" s="3">
        <v>120</v>
      </c>
      <c r="J259" s="6">
        <v>2300000</v>
      </c>
      <c r="K259" s="5" t="n">
        <f t="shared" ref="K259:K312" si="156">$E259+1</f>
        <v>121</v>
      </c>
      <c r="L259" s="9">
        <f t="shared" si="144"/>
        <v>3012080</v>
      </c>
      <c r="M259" s="3" t="n">
        <f t="shared" ref="M259:M312" si="157">$E259+2</f>
        <v>122</v>
      </c>
      <c r="N259" s="10">
        <f t="shared" si="145"/>
        <v>5271140</v>
      </c>
      <c r="O259" s="5" t="n">
        <f t="shared" ref="O259:O312" si="158">$E259+4</f>
        <v>124</v>
      </c>
      <c r="P259" s="9">
        <f t="shared" si="146"/>
        <v>11069394</v>
      </c>
      <c r="Q259" s="3" t="n">
        <f t="shared" ref="Q259:Q312" si="159">$E259+6</f>
        <v>126</v>
      </c>
      <c r="R259" s="10">
        <f t="shared" si="147"/>
        <v>17250000</v>
      </c>
      <c r="S259" s="5" t="n">
        <f t="shared" ref="S259:S312" si="160">$E259+8</f>
        <v>128</v>
      </c>
      <c r="T259" s="9">
        <f t="shared" si="148"/>
        <v>45069682</v>
      </c>
      <c r="U259" s="3" t="n">
        <f t="shared" ref="U259:U312" si="161">$E259+11</f>
        <v>131</v>
      </c>
      <c r="V259" s="10">
        <f t="shared" si="149"/>
        <v>144925965</v>
      </c>
      <c r="W259" s="5" t="n">
        <f t="shared" ref="W259:W312" si="162">$E259+15</f>
        <v>135</v>
      </c>
      <c r="X259" s="9">
        <f t="shared" si="150"/>
        <v>611641579</v>
      </c>
      <c r="Y259" s="3" t="n">
        <f t="shared" ref="Y259:Y312" si="163">$E259+17</f>
        <v>137</v>
      </c>
      <c r="Z259" s="10">
        <f t="shared" si="151"/>
        <v>1467939790</v>
      </c>
      <c r="AA259" s="5" t="n">
        <f t="shared" ref="AA259:AA312" si="164">$E259+19</f>
        <v>139</v>
      </c>
      <c r="AB259" s="9">
        <f t="shared" si="152"/>
        <v>3669849476</v>
      </c>
      <c r="AC259" s="3" t="n">
        <f t="shared" ref="AC259:AC312" si="165">$E259+21</f>
        <v>141</v>
      </c>
      <c r="AD259" s="10">
        <f t="shared" si="153"/>
        <v>10275578533</v>
      </c>
      <c r="AE259" s="5" t="n">
        <f t="shared" ref="AE259:AE312" si="166">$E259+24</f>
        <v>144</v>
      </c>
      <c r="AF259" s="9">
        <f t="shared" si="154"/>
        <v>32881851306</v>
      </c>
      <c r="AG259" s="3" t="n">
        <f t="shared" ref="AG259:AG312" si="167">$E259+27</f>
        <v>147</v>
      </c>
      <c r="AH259" s="10">
        <f t="shared" si="155"/>
        <v>124951034962</v>
      </c>
    </row>
    <row r="260" hidden="1">
      <c r="A260" s="2">
        <v>316</v>
      </c>
      <c r="B260" s="2" t="s">
        <v>421</v>
      </c>
      <c r="C260" s="2" t="s">
        <v>228</v>
      </c>
      <c r="D260" s="2" t="s">
        <v>33</v>
      </c>
      <c r="E260" s="2">
        <v>120</v>
      </c>
      <c r="F260" s="2" t="s">
        <v>54</v>
      </c>
      <c r="G260" s="2" t="s">
        <v>252</v>
      </c>
      <c r="H260" s="2">
        <v>29</v>
      </c>
      <c r="I260" s="3">
        <v>120</v>
      </c>
      <c r="J260" s="6">
        <v>2300000</v>
      </c>
      <c r="K260" s="5">
        <f t="shared" si="156"/>
        <v>121</v>
      </c>
      <c r="L260" s="9">
        <f t="shared" si="144"/>
        <v>3012080</v>
      </c>
      <c r="M260" s="3">
        <f t="shared" si="157"/>
        <v>122</v>
      </c>
      <c r="N260" s="10">
        <f t="shared" si="145"/>
        <v>5271140</v>
      </c>
      <c r="O260" s="5">
        <f t="shared" si="158"/>
        <v>124</v>
      </c>
      <c r="P260" s="9">
        <f t="shared" si="146"/>
        <v>11069394</v>
      </c>
      <c r="Q260" s="3">
        <f t="shared" si="159"/>
        <v>126</v>
      </c>
      <c r="R260" s="10">
        <f t="shared" si="147"/>
        <v>17250000</v>
      </c>
      <c r="S260" s="5">
        <f t="shared" si="160"/>
        <v>128</v>
      </c>
      <c r="T260" s="9">
        <f t="shared" si="148"/>
        <v>45069682</v>
      </c>
      <c r="U260" s="3">
        <f t="shared" si="161"/>
        <v>131</v>
      </c>
      <c r="V260" s="10">
        <f t="shared" si="149"/>
        <v>144925965</v>
      </c>
      <c r="W260" s="5">
        <f t="shared" si="162"/>
        <v>135</v>
      </c>
      <c r="X260" s="9">
        <f t="shared" si="150"/>
        <v>611641579</v>
      </c>
      <c r="Y260" s="3">
        <f t="shared" si="163"/>
        <v>137</v>
      </c>
      <c r="Z260" s="10">
        <f t="shared" si="151"/>
        <v>1467939790</v>
      </c>
      <c r="AA260" s="5">
        <f t="shared" si="164"/>
        <v>139</v>
      </c>
      <c r="AB260" s="9">
        <f t="shared" si="152"/>
        <v>3669849476</v>
      </c>
      <c r="AC260" s="3">
        <f t="shared" si="165"/>
        <v>141</v>
      </c>
      <c r="AD260" s="10">
        <f t="shared" si="153"/>
        <v>10275578533</v>
      </c>
      <c r="AE260" s="5">
        <f t="shared" si="166"/>
        <v>144</v>
      </c>
      <c r="AF260" s="9">
        <f t="shared" si="154"/>
        <v>32881851306</v>
      </c>
      <c r="AG260" s="3">
        <f t="shared" si="167"/>
        <v>147</v>
      </c>
      <c r="AH260" s="10">
        <f t="shared" si="155"/>
        <v>124951034962</v>
      </c>
    </row>
    <row r="261" hidden="1">
      <c r="A261" s="2">
        <v>269</v>
      </c>
      <c r="B261" s="2" t="s">
        <v>422</v>
      </c>
      <c r="C261" s="2" t="s">
        <v>228</v>
      </c>
      <c r="D261" s="2" t="s">
        <v>79</v>
      </c>
      <c r="E261" s="2">
        <v>120</v>
      </c>
      <c r="F261" s="2" t="s">
        <v>71</v>
      </c>
      <c r="G261" s="2" t="s">
        <v>326</v>
      </c>
      <c r="H261" s="2">
        <v>30</v>
      </c>
      <c r="I261" s="3">
        <v>120</v>
      </c>
      <c r="J261" s="4">
        <v>2600000</v>
      </c>
      <c r="K261" s="5">
        <f t="shared" si="156"/>
        <v>121</v>
      </c>
      <c r="L261" s="9">
        <f t="shared" si="144"/>
        <v>3404960</v>
      </c>
      <c r="M261" s="3">
        <f t="shared" si="157"/>
        <v>122</v>
      </c>
      <c r="N261" s="10">
        <f t="shared" si="145"/>
        <v>5958680</v>
      </c>
      <c r="O261" s="5">
        <f t="shared" si="158"/>
        <v>124</v>
      </c>
      <c r="P261" s="9">
        <f t="shared" si="146"/>
        <v>12513228</v>
      </c>
      <c r="Q261" s="3">
        <f t="shared" si="159"/>
        <v>126</v>
      </c>
      <c r="R261" s="10">
        <f t="shared" si="147"/>
        <v>19500000</v>
      </c>
      <c r="S261" s="5">
        <f t="shared" si="160"/>
        <v>128</v>
      </c>
      <c r="T261" s="9">
        <f t="shared" si="148"/>
        <v>50948336</v>
      </c>
      <c r="U261" s="3">
        <f t="shared" si="161"/>
        <v>131</v>
      </c>
      <c r="V261" s="10">
        <f t="shared" si="149"/>
        <v>163829352</v>
      </c>
      <c r="W261" s="5">
        <f t="shared" si="162"/>
        <v>135</v>
      </c>
      <c r="X261" s="9">
        <f t="shared" si="150"/>
        <v>691420916</v>
      </c>
      <c r="Y261" s="3">
        <f t="shared" si="163"/>
        <v>137</v>
      </c>
      <c r="Z261" s="10">
        <f t="shared" si="151"/>
        <v>1659410198</v>
      </c>
      <c r="AA261" s="5">
        <f t="shared" si="164"/>
        <v>139</v>
      </c>
      <c r="AB261" s="9">
        <f t="shared" si="152"/>
        <v>4148525495</v>
      </c>
      <c r="AC261" s="3">
        <f t="shared" si="165"/>
        <v>141</v>
      </c>
      <c r="AD261" s="10">
        <f t="shared" si="153"/>
        <v>11615871385</v>
      </c>
      <c r="AE261" s="5">
        <f t="shared" si="166"/>
        <v>144</v>
      </c>
      <c r="AF261" s="9">
        <f t="shared" si="154"/>
        <v>37170788433</v>
      </c>
      <c r="AG261" s="3">
        <f t="shared" si="167"/>
        <v>147</v>
      </c>
      <c r="AH261" s="10">
        <f t="shared" si="155"/>
        <v>141248996044</v>
      </c>
    </row>
    <row r="262" hidden="1">
      <c r="A262" s="2">
        <v>284</v>
      </c>
      <c r="B262" s="2" t="s">
        <v>423</v>
      </c>
      <c r="C262" s="2" t="s">
        <v>228</v>
      </c>
      <c r="D262" s="2" t="s">
        <v>45</v>
      </c>
      <c r="E262" s="2">
        <v>120</v>
      </c>
      <c r="F262" s="2" t="s">
        <v>212</v>
      </c>
      <c r="G262" s="2" t="s">
        <v>424</v>
      </c>
      <c r="H262" s="2">
        <v>30</v>
      </c>
      <c r="I262" s="3">
        <v>120</v>
      </c>
      <c r="J262" s="4">
        <v>2600000</v>
      </c>
      <c r="K262" s="5">
        <f t="shared" si="156"/>
        <v>121</v>
      </c>
      <c r="L262" s="9">
        <f t="shared" si="144"/>
        <v>3404960</v>
      </c>
      <c r="M262" s="3">
        <f t="shared" si="157"/>
        <v>122</v>
      </c>
      <c r="N262" s="10">
        <f t="shared" si="145"/>
        <v>5958680</v>
      </c>
      <c r="O262" s="5">
        <f t="shared" si="158"/>
        <v>124</v>
      </c>
      <c r="P262" s="9">
        <f t="shared" si="146"/>
        <v>12513228</v>
      </c>
      <c r="Q262" s="3">
        <f t="shared" si="159"/>
        <v>126</v>
      </c>
      <c r="R262" s="10">
        <f t="shared" si="147"/>
        <v>19500000</v>
      </c>
      <c r="S262" s="5">
        <f t="shared" si="160"/>
        <v>128</v>
      </c>
      <c r="T262" s="9">
        <f t="shared" si="148"/>
        <v>50948336</v>
      </c>
      <c r="U262" s="3">
        <f t="shared" si="161"/>
        <v>131</v>
      </c>
      <c r="V262" s="10">
        <f t="shared" si="149"/>
        <v>163829352</v>
      </c>
      <c r="W262" s="5">
        <f t="shared" si="162"/>
        <v>135</v>
      </c>
      <c r="X262" s="9">
        <f t="shared" si="150"/>
        <v>691420916</v>
      </c>
      <c r="Y262" s="3">
        <f t="shared" si="163"/>
        <v>137</v>
      </c>
      <c r="Z262" s="10">
        <f t="shared" si="151"/>
        <v>1659410198</v>
      </c>
      <c r="AA262" s="5">
        <f t="shared" si="164"/>
        <v>139</v>
      </c>
      <c r="AB262" s="9">
        <f t="shared" si="152"/>
        <v>4148525495</v>
      </c>
      <c r="AC262" s="3">
        <f t="shared" si="165"/>
        <v>141</v>
      </c>
      <c r="AD262" s="10">
        <f t="shared" si="153"/>
        <v>11615871385</v>
      </c>
      <c r="AE262" s="5">
        <f t="shared" si="166"/>
        <v>144</v>
      </c>
      <c r="AF262" s="9">
        <f t="shared" si="154"/>
        <v>37170788433</v>
      </c>
      <c r="AG262" s="3">
        <f t="shared" si="167"/>
        <v>147</v>
      </c>
      <c r="AH262" s="10">
        <f t="shared" si="155"/>
        <v>141248996044</v>
      </c>
    </row>
    <row r="263" hidden="1">
      <c r="A263" s="2">
        <v>270</v>
      </c>
      <c r="B263" s="2" t="s">
        <v>425</v>
      </c>
      <c r="C263" s="2" t="s">
        <v>228</v>
      </c>
      <c r="D263" s="2" t="s">
        <v>40</v>
      </c>
      <c r="E263" s="2">
        <v>120</v>
      </c>
      <c r="F263" s="2" t="s">
        <v>341</v>
      </c>
      <c r="G263" s="2" t="s">
        <v>426</v>
      </c>
      <c r="H263" s="2">
        <v>31</v>
      </c>
      <c r="I263" s="3">
        <v>120</v>
      </c>
      <c r="J263" s="4">
        <v>2000000</v>
      </c>
      <c r="K263" s="5">
        <f t="shared" si="156"/>
        <v>121</v>
      </c>
      <c r="L263" s="9" t="n">
        <f>ROUND($J263*1.637*1,0)</f>
        <v>3274000</v>
      </c>
      <c r="M263" s="3">
        <f t="shared" si="157"/>
        <v>122</v>
      </c>
      <c r="N263" s="10" t="n">
        <f>ROUND($J263*1.637*1.75*1,0)</f>
        <v>5729500</v>
      </c>
      <c r="O263" s="5">
        <f t="shared" si="158"/>
        <v>124</v>
      </c>
      <c r="P263" s="9" t="n">
        <f>ROUND($J263*1.637*1.75*2.1*1,0)</f>
        <v>12031950</v>
      </c>
      <c r="Q263" s="3">
        <f t="shared" si="159"/>
        <v>126</v>
      </c>
      <c r="R263" s="10" t="n">
        <f>ROUND($J263*1.637*1.75*2.1*2.3*1,0)</f>
        <v>27673485</v>
      </c>
      <c r="S263" s="5">
        <f t="shared" si="160"/>
        <v>128</v>
      </c>
      <c r="T263" s="9" t="n">
        <f>ROUND($J263*1.637*1.75*2.1*2.3*2.6*1,0)</f>
        <v>71951061</v>
      </c>
      <c r="U263" s="3">
        <f t="shared" si="161"/>
        <v>131</v>
      </c>
      <c r="V263" s="10" t="n">
        <f>ROUND($J263*1.637*1.75*2.1*2.3*2.6*3.2*1,0)</f>
        <v>230243395</v>
      </c>
      <c r="W263" s="5">
        <f t="shared" si="162"/>
        <v>135</v>
      </c>
      <c r="X263" s="9" t="n">
        <f>ROUND($J263*1.637*1.75*2.1*2.3*2.6*3.2*4.2*1,0)</f>
        <v>967022260</v>
      </c>
      <c r="Y263" s="3">
        <f t="shared" si="163"/>
        <v>137</v>
      </c>
      <c r="Z263" s="10" t="n">
        <f>ROUND($J263*1.637*1.75*2.1*2.3*2.6*3.2*4.2*2.4*1,0)</f>
        <v>2320853424</v>
      </c>
      <c r="AA263" s="5">
        <f t="shared" si="164"/>
        <v>139</v>
      </c>
      <c r="AB263" s="9" t="n">
        <f>ROUND($J263*1.637*1.75*2.1*2.3*2.6*3.2*4.2*2.4*2.5*1,0)</f>
        <v>5802133559</v>
      </c>
      <c r="AC263" s="3">
        <f t="shared" si="165"/>
        <v>141</v>
      </c>
      <c r="AD263" s="10" t="n">
        <f>ROUND($J263*1.637*1.75*2.1*2.3*2.6*3.2*4.2*2.4*2.5*2.8*1,0)</f>
        <v>16245973965</v>
      </c>
      <c r="AE263" s="5">
        <f t="shared" si="166"/>
        <v>144</v>
      </c>
      <c r="AF263" s="9" t="n">
        <f>ROUND($J263*1.637*1.75*2.1*2.3*2.6*3.2*4.2*2.4*2.5*2.8*3.2*1,0)</f>
        <v>51987116689</v>
      </c>
      <c r="AG263" s="3">
        <f t="shared" si="167"/>
        <v>147</v>
      </c>
      <c r="AH263" s="10" t="n">
        <f>ROUND($J263*1.637*1.75*2.1*2.3*2.6*3.2*4.2*2.4*2.5*2.8*3.2*3.8*1,0)</f>
        <v>197551043418</v>
      </c>
    </row>
    <row r="264" hidden="1">
      <c r="A264" s="2">
        <v>292</v>
      </c>
      <c r="B264" s="2" t="s">
        <v>427</v>
      </c>
      <c r="C264" s="2" t="s">
        <v>228</v>
      </c>
      <c r="D264" s="2" t="s">
        <v>25</v>
      </c>
      <c r="E264" s="2">
        <v>120</v>
      </c>
      <c r="F264" s="2" t="s">
        <v>144</v>
      </c>
      <c r="G264" s="2" t="s">
        <v>337</v>
      </c>
      <c r="H264" s="2">
        <v>30</v>
      </c>
      <c r="I264" s="3">
        <v>120</v>
      </c>
      <c r="J264" s="4">
        <v>2000000</v>
      </c>
      <c r="K264" s="5">
        <f t="shared" si="156"/>
        <v>121</v>
      </c>
      <c r="L264" s="9" t="n">
        <f>ROUND($J264*1.637*0.8,0)</f>
        <v>2619200</v>
      </c>
      <c r="M264" s="3">
        <f t="shared" si="157"/>
        <v>122</v>
      </c>
      <c r="N264" s="10" t="n">
        <f>ROUND($J264*1.637*1.75*0.8,0)</f>
        <v>4583600</v>
      </c>
      <c r="O264" s="5">
        <f t="shared" si="158"/>
        <v>124</v>
      </c>
      <c r="P264" s="9" t="n">
        <f>ROUND($J264*1.637*1.75*2.1*0.8,0)</f>
        <v>9625560</v>
      </c>
      <c r="Q264" s="3">
        <f t="shared" si="159"/>
        <v>126</v>
      </c>
      <c r="R264" s="10" t="n">
        <f>ROUND($J264*1.637*1.75*2.1*2.3*0.542035092435954,0)</f>
        <v>15000000</v>
      </c>
      <c r="S264" s="5">
        <f t="shared" si="160"/>
        <v>128</v>
      </c>
      <c r="T264" s="9" t="n">
        <f>ROUND($J264*1.637*1.75*2.1*2.3*2.6*0.544690061623969,0)</f>
        <v>39191028</v>
      </c>
      <c r="U264" s="3">
        <f t="shared" si="161"/>
        <v>131</v>
      </c>
      <c r="V264" s="10" t="n">
        <f>ROUND($J264*1.637*1.75*2.1*2.3*2.6*3.2*0.547345030811984,0)</f>
        <v>126022578</v>
      </c>
      <c r="W264" s="5">
        <f t="shared" si="162"/>
        <v>135</v>
      </c>
      <c r="X264" s="9" t="n">
        <f>ROUND($J264*1.637*1.75*2.1*2.3*2.6*3.2*4.2*0.55,0)</f>
        <v>531862243</v>
      </c>
      <c r="Y264" s="3">
        <f t="shared" si="163"/>
        <v>137</v>
      </c>
      <c r="Z264" s="10" t="n">
        <f>ROUND($J264*1.637*1.75*2.1*2.3*2.6*3.2*4.2*2.4*0.55,0)</f>
        <v>1276469383</v>
      </c>
      <c r="AA264" s="5">
        <f t="shared" si="164"/>
        <v>139</v>
      </c>
      <c r="AB264" s="9" t="n">
        <f>ROUND($J264*1.637*1.75*2.1*2.3*2.6*3.2*4.2*2.4*2.5*0.55,0)</f>
        <v>3191173457</v>
      </c>
      <c r="AC264" s="3">
        <f t="shared" si="165"/>
        <v>141</v>
      </c>
      <c r="AD264" s="10" t="n">
        <f>ROUND($J264*1.637*1.75*2.1*2.3*2.6*3.2*4.2*2.4*2.5*2.8*0.55,0)</f>
        <v>8935285681</v>
      </c>
      <c r="AE264" s="5">
        <f t="shared" si="166"/>
        <v>144</v>
      </c>
      <c r="AF264" s="9" t="n">
        <f>ROUND($J264*1.637*1.75*2.1*2.3*2.6*3.2*4.2*2.4*2.5*2.8*3.2*0.55,0)</f>
        <v>28592914179</v>
      </c>
      <c r="AG264" s="3">
        <f t="shared" si="167"/>
        <v>147</v>
      </c>
      <c r="AH264" s="10" t="n">
        <f>ROUND($J264*1.637*1.75*2.1*2.3*2.6*3.2*4.2*2.4*2.5*2.8*3.2*3.8*0.55,0)</f>
        <v>108653073880</v>
      </c>
    </row>
    <row r="265" hidden="1">
      <c r="A265" s="2">
        <v>267</v>
      </c>
      <c r="B265" s="2" t="s">
        <v>428</v>
      </c>
      <c r="C265" s="2" t="s">
        <v>228</v>
      </c>
      <c r="D265" s="2" t="s">
        <v>40</v>
      </c>
      <c r="E265" s="2">
        <v>120</v>
      </c>
      <c r="F265" s="2" t="s">
        <v>146</v>
      </c>
      <c r="G265" s="2" t="s">
        <v>27</v>
      </c>
      <c r="H265" s="2">
        <v>30</v>
      </c>
      <c r="I265" s="3">
        <v>120</v>
      </c>
      <c r="J265" s="4">
        <v>2000000</v>
      </c>
      <c r="K265" s="5">
        <f t="shared" si="156"/>
        <v>121</v>
      </c>
      <c r="L265" s="9" t="n">
        <f>ROUND($J265*1.637*1,0)</f>
        <v>3274000</v>
      </c>
      <c r="M265" s="3">
        <f t="shared" si="157"/>
        <v>122</v>
      </c>
      <c r="N265" s="10" t="n">
        <f>ROUND($J265*1.637*1.75*1,0)</f>
        <v>5729500</v>
      </c>
      <c r="O265" s="5">
        <f t="shared" si="158"/>
        <v>124</v>
      </c>
      <c r="P265" s="9" t="n">
        <f>ROUND($J265*1.637*1.75*2.1*1,0)</f>
        <v>12031950</v>
      </c>
      <c r="Q265" s="3">
        <f t="shared" si="159"/>
        <v>126</v>
      </c>
      <c r="R265" s="10" t="n">
        <f>ROUND($J265*1.637*1.75*2.1*2.3*1,0)</f>
        <v>27673485</v>
      </c>
      <c r="S265" s="5">
        <f t="shared" si="160"/>
        <v>128</v>
      </c>
      <c r="T265" s="9" t="n">
        <f>ROUND($J265*1.637*1.75*2.1*2.3*2.6*1,0)</f>
        <v>71951061</v>
      </c>
      <c r="U265" s="3">
        <f t="shared" si="161"/>
        <v>131</v>
      </c>
      <c r="V265" s="10" t="n">
        <f>ROUND($J265*1.637*1.75*2.1*2.3*2.6*3.2*1,0)</f>
        <v>230243395</v>
      </c>
      <c r="W265" s="5">
        <f t="shared" si="162"/>
        <v>135</v>
      </c>
      <c r="X265" s="9" t="n">
        <f>ROUND($J265*1.637*1.75*2.1*2.3*2.6*3.2*4.2*1,0)</f>
        <v>967022260</v>
      </c>
      <c r="Y265" s="3">
        <f t="shared" si="163"/>
        <v>137</v>
      </c>
      <c r="Z265" s="10" t="n">
        <f>ROUND($J265*1.637*1.75*2.1*2.3*2.6*3.2*4.2*2.4*1,0)</f>
        <v>2320853424</v>
      </c>
      <c r="AA265" s="5">
        <f t="shared" si="164"/>
        <v>139</v>
      </c>
      <c r="AB265" s="9" t="n">
        <f>ROUND($J265*1.637*1.75*2.1*2.3*2.6*3.2*4.2*2.4*2.5*1,0)</f>
        <v>5802133559</v>
      </c>
      <c r="AC265" s="3">
        <f t="shared" si="165"/>
        <v>141</v>
      </c>
      <c r="AD265" s="10" t="n">
        <f>ROUND($J265*1.637*1.75*2.1*2.3*2.6*3.2*4.2*2.4*2.5*2.8*1,0)</f>
        <v>16245973965</v>
      </c>
      <c r="AE265" s="5">
        <f t="shared" si="166"/>
        <v>144</v>
      </c>
      <c r="AF265" s="9" t="n">
        <f>ROUND($J265*1.637*1.75*2.1*2.3*2.6*3.2*4.2*2.4*2.5*2.8*3.2*1,0)</f>
        <v>51987116689</v>
      </c>
      <c r="AG265" s="3">
        <f t="shared" si="167"/>
        <v>147</v>
      </c>
      <c r="AH265" s="10" t="n">
        <f>ROUND($J265*1.637*1.75*2.1*2.3*2.6*3.2*4.2*2.4*2.5*2.8*3.2*3.8*1,0)</f>
        <v>197551043418</v>
      </c>
    </row>
    <row r="266" hidden="1">
      <c r="A266" s="2">
        <v>293</v>
      </c>
      <c r="B266" s="2" t="s">
        <v>429</v>
      </c>
      <c r="C266" s="2" t="s">
        <v>228</v>
      </c>
      <c r="D266" s="2" t="s">
        <v>25</v>
      </c>
      <c r="E266" s="2">
        <v>120</v>
      </c>
      <c r="F266" s="2" t="s">
        <v>258</v>
      </c>
      <c r="G266" s="2" t="s">
        <v>430</v>
      </c>
      <c r="H266" s="2">
        <v>30</v>
      </c>
      <c r="I266" s="3">
        <v>120</v>
      </c>
      <c r="J266" s="4">
        <v>2000000</v>
      </c>
      <c r="K266" s="5">
        <f t="shared" si="156"/>
        <v>121</v>
      </c>
      <c r="L266" s="9" t="n">
        <f>ROUND($J266*1.637*0.8,0)</f>
        <v>2619200</v>
      </c>
      <c r="M266" s="3">
        <f t="shared" si="157"/>
        <v>122</v>
      </c>
      <c r="N266" s="10" t="n">
        <f>ROUND($J266*1.637*1.75*0.8,0)</f>
        <v>4583600</v>
      </c>
      <c r="O266" s="5">
        <f t="shared" si="158"/>
        <v>124</v>
      </c>
      <c r="P266" s="9" t="n">
        <f>ROUND($J266*1.637*1.75*2.1*0.8,0)</f>
        <v>9625560</v>
      </c>
      <c r="Q266" s="3">
        <f t="shared" si="159"/>
        <v>126</v>
      </c>
      <c r="R266" s="10" t="n">
        <f>ROUND($J266*1.637*1.75*2.1*2.3*0.542035092435954,0)</f>
        <v>15000000</v>
      </c>
      <c r="S266" s="5">
        <f t="shared" si="160"/>
        <v>128</v>
      </c>
      <c r="T266" s="9" t="n">
        <f>ROUND($J266*1.637*1.75*2.1*2.3*2.6*0.544690061623969,0)</f>
        <v>39191028</v>
      </c>
      <c r="U266" s="3">
        <f t="shared" si="161"/>
        <v>131</v>
      </c>
      <c r="V266" s="10" t="n">
        <f>ROUND($J266*1.637*1.75*2.1*2.3*2.6*3.2*0.547345030811984,0)</f>
        <v>126022578</v>
      </c>
      <c r="W266" s="5">
        <f t="shared" si="162"/>
        <v>135</v>
      </c>
      <c r="X266" s="9" t="n">
        <f>ROUND($J266*1.637*1.75*2.1*2.3*2.6*3.2*4.2*0.55,0)</f>
        <v>531862243</v>
      </c>
      <c r="Y266" s="3">
        <f t="shared" si="163"/>
        <v>137</v>
      </c>
      <c r="Z266" s="10" t="n">
        <f>ROUND($J266*1.637*1.75*2.1*2.3*2.6*3.2*4.2*2.4*0.55,0)</f>
        <v>1276469383</v>
      </c>
      <c r="AA266" s="5">
        <f t="shared" si="164"/>
        <v>139</v>
      </c>
      <c r="AB266" s="9" t="n">
        <f>ROUND($J266*1.637*1.75*2.1*2.3*2.6*3.2*4.2*2.4*2.5*0.55,0)</f>
        <v>3191173457</v>
      </c>
      <c r="AC266" s="3">
        <f t="shared" si="165"/>
        <v>141</v>
      </c>
      <c r="AD266" s="10" t="n">
        <f>ROUND($J266*1.637*1.75*2.1*2.3*2.6*3.2*4.2*2.4*2.5*2.8*0.55,0)</f>
        <v>8935285681</v>
      </c>
      <c r="AE266" s="5">
        <f t="shared" si="166"/>
        <v>144</v>
      </c>
      <c r="AF266" s="9" t="n">
        <f>ROUND($J266*1.637*1.75*2.1*2.3*2.6*3.2*4.2*2.4*2.5*2.8*3.2*0.55,0)</f>
        <v>28592914179</v>
      </c>
      <c r="AG266" s="3">
        <f t="shared" si="167"/>
        <v>147</v>
      </c>
      <c r="AH266" s="10" t="n">
        <f>ROUND($J266*1.637*1.75*2.1*2.3*2.6*3.2*4.2*2.4*2.5*2.8*3.2*3.8*0.55,0)</f>
        <v>108653073880</v>
      </c>
    </row>
    <row r="267" hidden="1">
      <c r="A267" s="2">
        <v>272</v>
      </c>
      <c r="B267" s="2" t="s">
        <v>431</v>
      </c>
      <c r="C267" s="2" t="s">
        <v>228</v>
      </c>
      <c r="D267" s="2" t="s">
        <v>79</v>
      </c>
      <c r="E267" s="2">
        <v>120</v>
      </c>
      <c r="F267" s="2" t="s">
        <v>432</v>
      </c>
      <c r="G267" s="2" t="s">
        <v>374</v>
      </c>
      <c r="H267" s="2">
        <v>31</v>
      </c>
      <c r="I267" s="3">
        <v>120</v>
      </c>
      <c r="J267" s="4">
        <v>2000000</v>
      </c>
      <c r="K267" s="5">
        <f t="shared" si="156"/>
        <v>121</v>
      </c>
      <c r="L267" s="9" t="n">
        <f>ROUND($J267*1.637*0.8,0)</f>
        <v>2619200</v>
      </c>
      <c r="M267" s="3">
        <f t="shared" si="157"/>
        <v>122</v>
      </c>
      <c r="N267" s="10" t="n">
        <f>ROUND($J267*1.637*1.75*0.8,0)</f>
        <v>4583600</v>
      </c>
      <c r="O267" s="5">
        <f t="shared" si="158"/>
        <v>124</v>
      </c>
      <c r="P267" s="9" t="n">
        <f>ROUND($J267*1.637*1.75*2.1*0.8,0)</f>
        <v>9625560</v>
      </c>
      <c r="Q267" s="3">
        <f t="shared" si="159"/>
        <v>126</v>
      </c>
      <c r="R267" s="10" t="n">
        <f>ROUND($J267*1.637*1.75*2.1*2.3*0.542035092435954,0)</f>
        <v>15000000</v>
      </c>
      <c r="S267" s="5">
        <f t="shared" si="160"/>
        <v>128</v>
      </c>
      <c r="T267" s="9" t="n">
        <f>ROUND($J267*1.637*1.75*2.1*2.3*2.6*0.544690061623969,0)</f>
        <v>39191028</v>
      </c>
      <c r="U267" s="3">
        <f t="shared" si="161"/>
        <v>131</v>
      </c>
      <c r="V267" s="10" t="n">
        <f>ROUND($J267*1.637*1.75*2.1*2.3*2.6*3.2*0.547345030811984,0)</f>
        <v>126022578</v>
      </c>
      <c r="W267" s="5">
        <f t="shared" si="162"/>
        <v>135</v>
      </c>
      <c r="X267" s="9" t="n">
        <f>ROUND($J267*1.637*1.75*2.1*2.3*2.6*3.2*4.2*0.55,0)</f>
        <v>531862243</v>
      </c>
      <c r="Y267" s="3">
        <f t="shared" si="163"/>
        <v>137</v>
      </c>
      <c r="Z267" s="10" t="n">
        <f>ROUND($J267*1.637*1.75*2.1*2.3*2.6*3.2*4.2*2.4*0.55,0)</f>
        <v>1276469383</v>
      </c>
      <c r="AA267" s="5">
        <f t="shared" si="164"/>
        <v>139</v>
      </c>
      <c r="AB267" s="9" t="n">
        <f>ROUND($J267*1.637*1.75*2.1*2.3*2.6*3.2*4.2*2.4*2.5*0.55,0)</f>
        <v>3191173457</v>
      </c>
      <c r="AC267" s="3">
        <f t="shared" si="165"/>
        <v>141</v>
      </c>
      <c r="AD267" s="10" t="n">
        <f>ROUND($J267*1.637*1.75*2.1*2.3*2.6*3.2*4.2*2.4*2.5*2.8*0.55,0)</f>
        <v>8935285681</v>
      </c>
      <c r="AE267" s="5">
        <f t="shared" si="166"/>
        <v>144</v>
      </c>
      <c r="AF267" s="9" t="n">
        <f>ROUND($J267*1.637*1.75*2.1*2.3*2.6*3.2*4.2*2.4*2.5*2.8*3.2*0.55,0)</f>
        <v>28592914179</v>
      </c>
      <c r="AG267" s="3">
        <f t="shared" si="167"/>
        <v>147</v>
      </c>
      <c r="AH267" s="10" t="n">
        <f>ROUND($J267*1.637*1.75*2.1*2.3*2.6*3.2*4.2*2.4*2.5*2.8*3.2*3.8*0.55,0)</f>
        <v>108653073880</v>
      </c>
    </row>
    <row r="268" hidden="1">
      <c r="A268" s="2">
        <v>274</v>
      </c>
      <c r="B268" s="2" t="s">
        <v>433</v>
      </c>
      <c r="C268" s="2" t="s">
        <v>228</v>
      </c>
      <c r="D268" s="2" t="s">
        <v>40</v>
      </c>
      <c r="E268" s="2">
        <v>120</v>
      </c>
      <c r="F268" s="2" t="s">
        <v>56</v>
      </c>
      <c r="G268" s="2" t="s">
        <v>434</v>
      </c>
      <c r="H268" s="2">
        <v>31</v>
      </c>
      <c r="I268" s="3">
        <v>120</v>
      </c>
      <c r="J268" s="4">
        <v>2000000</v>
      </c>
      <c r="K268" s="5">
        <f t="shared" si="156"/>
        <v>121</v>
      </c>
      <c r="L268" s="9" t="n">
        <f>ROUND($J268*1.637*0.8,0)</f>
        <v>2619200</v>
      </c>
      <c r="M268" s="3">
        <f t="shared" si="157"/>
        <v>122</v>
      </c>
      <c r="N268" s="10" t="n">
        <f>ROUND($J268*1.637*1.75*0.8,0)</f>
        <v>4583600</v>
      </c>
      <c r="O268" s="5">
        <f t="shared" si="158"/>
        <v>124</v>
      </c>
      <c r="P268" s="9" t="n">
        <f>ROUND($J268*1.637*1.75*2.1*0.8,0)</f>
        <v>9625560</v>
      </c>
      <c r="Q268" s="3">
        <f t="shared" si="159"/>
        <v>126</v>
      </c>
      <c r="R268" s="10" t="n">
        <f>ROUND($J268*1.637*1.75*2.1*2.3*0.542035092435954,0)</f>
        <v>15000000</v>
      </c>
      <c r="S268" s="5">
        <f t="shared" si="160"/>
        <v>128</v>
      </c>
      <c r="T268" s="9" t="n">
        <f>ROUND($J268*1.637*1.75*2.1*2.3*2.6*0.544690061623969,0)</f>
        <v>39191028</v>
      </c>
      <c r="U268" s="3">
        <f t="shared" si="161"/>
        <v>131</v>
      </c>
      <c r="V268" s="10" t="n">
        <f>ROUND($J268*1.637*1.75*2.1*2.3*2.6*3.2*0.547345030811984,0)</f>
        <v>126022578</v>
      </c>
      <c r="W268" s="5">
        <f t="shared" si="162"/>
        <v>135</v>
      </c>
      <c r="X268" s="9" t="n">
        <f>ROUND($J268*1.637*1.75*2.1*2.3*2.6*3.2*4.2*0.55,0)</f>
        <v>531862243</v>
      </c>
      <c r="Y268" s="3">
        <f t="shared" si="163"/>
        <v>137</v>
      </c>
      <c r="Z268" s="10" t="n">
        <f>ROUND($J268*1.637*1.75*2.1*2.3*2.6*3.2*4.2*2.4*0.55,0)</f>
        <v>1276469383</v>
      </c>
      <c r="AA268" s="5">
        <f t="shared" si="164"/>
        <v>139</v>
      </c>
      <c r="AB268" s="9" t="n">
        <f>ROUND($J268*1.637*1.75*2.1*2.3*2.6*3.2*4.2*2.4*2.5*0.55,0)</f>
        <v>3191173457</v>
      </c>
      <c r="AC268" s="3">
        <f t="shared" si="165"/>
        <v>141</v>
      </c>
      <c r="AD268" s="10" t="n">
        <f>ROUND($J268*1.637*1.75*2.1*2.3*2.6*3.2*4.2*2.4*2.5*2.8*0.55,0)</f>
        <v>8935285681</v>
      </c>
      <c r="AE268" s="5">
        <f t="shared" si="166"/>
        <v>144</v>
      </c>
      <c r="AF268" s="9" t="n">
        <f>ROUND($J268*1.637*1.75*2.1*2.3*2.6*3.2*4.2*2.4*2.5*2.8*3.2*0.55,0)</f>
        <v>28592914179</v>
      </c>
      <c r="AG268" s="3">
        <f t="shared" si="167"/>
        <v>147</v>
      </c>
      <c r="AH268" s="10" t="n">
        <f>ROUND($J268*1.637*1.75*2.1*2.3*2.6*3.2*4.2*2.4*2.5*2.8*3.2*3.8*0.55,0)</f>
        <v>108653073880</v>
      </c>
    </row>
    <row r="269" hidden="1">
      <c r="A269" s="2">
        <v>268</v>
      </c>
      <c r="B269" s="2" t="s">
        <v>435</v>
      </c>
      <c r="C269" s="2" t="s">
        <v>228</v>
      </c>
      <c r="D269" s="2" t="s">
        <v>40</v>
      </c>
      <c r="E269" s="2">
        <v>120</v>
      </c>
      <c r="F269" s="2" t="s">
        <v>410</v>
      </c>
      <c r="G269" s="2" t="s">
        <v>247</v>
      </c>
      <c r="H269" s="2">
        <v>30</v>
      </c>
      <c r="I269" s="3">
        <v>120</v>
      </c>
      <c r="J269" s="4">
        <v>2000000</v>
      </c>
      <c r="K269" s="5">
        <f t="shared" si="156"/>
        <v>121</v>
      </c>
      <c r="L269" s="9" t="n">
        <f>ROUND($J269*1.637*0.8,0)</f>
        <v>2619200</v>
      </c>
      <c r="M269" s="3">
        <f t="shared" si="157"/>
        <v>122</v>
      </c>
      <c r="N269" s="10" t="n">
        <f>ROUND($J269*1.637*1.75*0.8,0)</f>
        <v>4583600</v>
      </c>
      <c r="O269" s="5">
        <f t="shared" si="158"/>
        <v>124</v>
      </c>
      <c r="P269" s="9" t="n">
        <f>ROUND($J269*1.637*1.75*2.1*0.8,0)</f>
        <v>9625560</v>
      </c>
      <c r="Q269" s="3">
        <f t="shared" si="159"/>
        <v>126</v>
      </c>
      <c r="R269" s="10" t="n">
        <f>ROUND($J269*1.637*1.75*2.1*2.3*0.542035092435954,0)</f>
        <v>15000000</v>
      </c>
      <c r="S269" s="5">
        <f t="shared" si="160"/>
        <v>128</v>
      </c>
      <c r="T269" s="9" t="n">
        <f>ROUND($J269*1.637*1.75*2.1*2.3*2.6*0.544690061623969,0)</f>
        <v>39191028</v>
      </c>
      <c r="U269" s="3">
        <f t="shared" si="161"/>
        <v>131</v>
      </c>
      <c r="V269" s="10" t="n">
        <f>ROUND($J269*1.637*1.75*2.1*2.3*2.6*3.2*0.547345030811984,0)</f>
        <v>126022578</v>
      </c>
      <c r="W269" s="5">
        <f t="shared" si="162"/>
        <v>135</v>
      </c>
      <c r="X269" s="9" t="n">
        <f>ROUND($J269*1.637*1.75*2.1*2.3*2.6*3.2*4.2*0.55,0)</f>
        <v>531862243</v>
      </c>
      <c r="Y269" s="3">
        <f t="shared" si="163"/>
        <v>137</v>
      </c>
      <c r="Z269" s="10" t="n">
        <f>ROUND($J269*1.637*1.75*2.1*2.3*2.6*3.2*4.2*2.4*0.55,0)</f>
        <v>1276469383</v>
      </c>
      <c r="AA269" s="5">
        <f t="shared" si="164"/>
        <v>139</v>
      </c>
      <c r="AB269" s="9" t="n">
        <f>ROUND($J269*1.637*1.75*2.1*2.3*2.6*3.2*4.2*2.4*2.5*0.55,0)</f>
        <v>3191173457</v>
      </c>
      <c r="AC269" s="3">
        <f t="shared" si="165"/>
        <v>141</v>
      </c>
      <c r="AD269" s="10" t="n">
        <f>ROUND($J269*1.637*1.75*2.1*2.3*2.6*3.2*4.2*2.4*2.5*2.8*0.55,0)</f>
        <v>8935285681</v>
      </c>
      <c r="AE269" s="5">
        <f t="shared" si="166"/>
        <v>144</v>
      </c>
      <c r="AF269" s="9" t="n">
        <f>ROUND($J269*1.637*1.75*2.1*2.3*2.6*3.2*4.2*2.4*2.5*2.8*3.2*0.55,0)</f>
        <v>28592914179</v>
      </c>
      <c r="AG269" s="3">
        <f t="shared" si="167"/>
        <v>147</v>
      </c>
      <c r="AH269" s="10" t="n">
        <f>ROUND($J269*1.637*1.75*2.1*2.3*2.6*3.2*4.2*2.4*2.5*2.8*3.2*3.8*0.55,0)</f>
        <v>108653073880</v>
      </c>
    </row>
    <row r="270" hidden="1">
      <c r="A270" s="2">
        <v>273</v>
      </c>
      <c r="B270" s="2" t="s">
        <v>436</v>
      </c>
      <c r="C270" s="2" t="s">
        <v>228</v>
      </c>
      <c r="D270" s="2" t="s">
        <v>40</v>
      </c>
      <c r="E270" s="2">
        <v>120</v>
      </c>
      <c r="F270" s="2" t="s">
        <v>410</v>
      </c>
      <c r="G270" s="2" t="s">
        <v>60</v>
      </c>
      <c r="H270" s="2">
        <v>31</v>
      </c>
      <c r="I270" s="3">
        <v>120</v>
      </c>
      <c r="J270" s="4">
        <v>2000000</v>
      </c>
      <c r="K270" s="5">
        <f t="shared" si="156"/>
        <v>121</v>
      </c>
      <c r="L270" s="9" t="n">
        <f>ROUND($J270*1.637*0.8,0)</f>
        <v>2619200</v>
      </c>
      <c r="M270" s="3">
        <f t="shared" si="157"/>
        <v>122</v>
      </c>
      <c r="N270" s="10" t="n">
        <f>ROUND($J270*1.637*1.75*0.8,0)</f>
        <v>4583600</v>
      </c>
      <c r="O270" s="5">
        <f t="shared" si="158"/>
        <v>124</v>
      </c>
      <c r="P270" s="9" t="n">
        <f>ROUND($J270*1.637*1.75*2.1*0.8,0)</f>
        <v>9625560</v>
      </c>
      <c r="Q270" s="3">
        <f t="shared" si="159"/>
        <v>126</v>
      </c>
      <c r="R270" s="10" t="n">
        <f>ROUND($J270*1.637*1.75*2.1*2.3*0.542035092435954,0)</f>
        <v>15000000</v>
      </c>
      <c r="S270" s="5">
        <f t="shared" si="160"/>
        <v>128</v>
      </c>
      <c r="T270" s="9" t="n">
        <f>ROUND($J270*1.637*1.75*2.1*2.3*2.6*0.544690061623969,0)</f>
        <v>39191028</v>
      </c>
      <c r="U270" s="3">
        <f t="shared" si="161"/>
        <v>131</v>
      </c>
      <c r="V270" s="10" t="n">
        <f>ROUND($J270*1.637*1.75*2.1*2.3*2.6*3.2*0.547345030811984,0)</f>
        <v>126022578</v>
      </c>
      <c r="W270" s="5">
        <f t="shared" si="162"/>
        <v>135</v>
      </c>
      <c r="X270" s="9" t="n">
        <f>ROUND($J270*1.637*1.75*2.1*2.3*2.6*3.2*4.2*0.55,0)</f>
        <v>531862243</v>
      </c>
      <c r="Y270" s="3">
        <f t="shared" si="163"/>
        <v>137</v>
      </c>
      <c r="Z270" s="10" t="n">
        <f>ROUND($J270*1.637*1.75*2.1*2.3*2.6*3.2*4.2*2.4*0.55,0)</f>
        <v>1276469383</v>
      </c>
      <c r="AA270" s="5">
        <f t="shared" si="164"/>
        <v>139</v>
      </c>
      <c r="AB270" s="9" t="n">
        <f>ROUND($J270*1.637*1.75*2.1*2.3*2.6*3.2*4.2*2.4*2.5*0.55,0)</f>
        <v>3191173457</v>
      </c>
      <c r="AC270" s="3">
        <f t="shared" si="165"/>
        <v>141</v>
      </c>
      <c r="AD270" s="10" t="n">
        <f>ROUND($J270*1.637*1.75*2.1*2.3*2.6*3.2*4.2*2.4*2.5*2.8*0.55,0)</f>
        <v>8935285681</v>
      </c>
      <c r="AE270" s="5">
        <f t="shared" si="166"/>
        <v>144</v>
      </c>
      <c r="AF270" s="9" t="n">
        <f>ROUND($J270*1.637*1.75*2.1*2.3*2.6*3.2*4.2*2.4*2.5*2.8*3.2*0.55,0)</f>
        <v>28592914179</v>
      </c>
      <c r="AG270" s="3">
        <f t="shared" si="167"/>
        <v>147</v>
      </c>
      <c r="AH270" s="10" t="n">
        <f>ROUND($J270*1.637*1.75*2.1*2.3*2.6*3.2*4.2*2.4*2.5*2.8*3.2*3.8*0.55,0)</f>
        <v>108653073880</v>
      </c>
    </row>
    <row r="271" hidden="1">
      <c r="A271" s="2">
        <v>271</v>
      </c>
      <c r="B271" s="2" t="s">
        <v>437</v>
      </c>
      <c r="C271" s="2" t="s">
        <v>228</v>
      </c>
      <c r="D271" s="2" t="s">
        <v>79</v>
      </c>
      <c r="E271" s="2">
        <v>120</v>
      </c>
      <c r="F271" s="2" t="s">
        <v>310</v>
      </c>
      <c r="G271" s="2" t="s">
        <v>438</v>
      </c>
      <c r="H271" s="2">
        <v>31</v>
      </c>
      <c r="I271" s="3">
        <v>120</v>
      </c>
      <c r="J271" s="4">
        <v>2000000</v>
      </c>
      <c r="K271" s="5">
        <f t="shared" si="156"/>
        <v>121</v>
      </c>
      <c r="L271" s="9" t="n">
        <f>ROUND($J271*1.637*1,0)</f>
        <v>3274000</v>
      </c>
      <c r="M271" s="3">
        <f t="shared" si="157"/>
        <v>122</v>
      </c>
      <c r="N271" s="10" t="n">
        <f>ROUND($J271*1.637*1.75*1,0)</f>
        <v>5729500</v>
      </c>
      <c r="O271" s="5">
        <f t="shared" si="158"/>
        <v>124</v>
      </c>
      <c r="P271" s="9" t="n">
        <f>ROUND($J271*1.637*1.75*2.1*1,0)</f>
        <v>12031950</v>
      </c>
      <c r="Q271" s="3">
        <f t="shared" si="159"/>
        <v>126</v>
      </c>
      <c r="R271" s="10" t="n">
        <f>ROUND($J271*1.637*1.75*2.1*2.3*1,0)</f>
        <v>27673485</v>
      </c>
      <c r="S271" s="5">
        <f t="shared" si="160"/>
        <v>128</v>
      </c>
      <c r="T271" s="9" t="n">
        <f>ROUND($J271*1.637*1.75*2.1*2.3*2.6*1,0)</f>
        <v>71951061</v>
      </c>
      <c r="U271" s="3">
        <f t="shared" si="161"/>
        <v>131</v>
      </c>
      <c r="V271" s="10" t="n">
        <f>ROUND($J271*1.637*1.75*2.1*2.3*2.6*3.2*1,0)</f>
        <v>230243395</v>
      </c>
      <c r="W271" s="5">
        <f t="shared" si="162"/>
        <v>135</v>
      </c>
      <c r="X271" s="9" t="n">
        <f>ROUND($J271*1.637*1.75*2.1*2.3*2.6*3.2*4.2*1,0)</f>
        <v>967022260</v>
      </c>
      <c r="Y271" s="3">
        <f t="shared" si="163"/>
        <v>137</v>
      </c>
      <c r="Z271" s="10" t="n">
        <f>ROUND($J271*1.637*1.75*2.1*2.3*2.6*3.2*4.2*2.4*1,0)</f>
        <v>2320853424</v>
      </c>
      <c r="AA271" s="5">
        <f t="shared" si="164"/>
        <v>139</v>
      </c>
      <c r="AB271" s="9" t="n">
        <f>ROUND($J271*1.637*1.75*2.1*2.3*2.6*3.2*4.2*2.4*2.5*1,0)</f>
        <v>5802133559</v>
      </c>
      <c r="AC271" s="3">
        <f t="shared" si="165"/>
        <v>141</v>
      </c>
      <c r="AD271" s="10" t="n">
        <f>ROUND($J271*1.637*1.75*2.1*2.3*2.6*3.2*4.2*2.4*2.5*2.8*1,0)</f>
        <v>16245973965</v>
      </c>
      <c r="AE271" s="5">
        <f t="shared" si="166"/>
        <v>144</v>
      </c>
      <c r="AF271" s="9" t="n">
        <f>ROUND($J271*1.637*1.75*2.1*2.3*2.6*3.2*4.2*2.4*2.5*2.8*3.2*1,0)</f>
        <v>51987116689</v>
      </c>
      <c r="AG271" s="3">
        <f t="shared" si="167"/>
        <v>147</v>
      </c>
      <c r="AH271" s="10" t="n">
        <f>ROUND($J271*1.637*1.75*2.1*2.3*2.6*3.2*4.2*2.4*2.5*2.8*3.2*3.8*1,0)</f>
        <v>197551043418</v>
      </c>
    </row>
    <row r="272" hidden="1">
      <c r="A272" s="2">
        <v>307</v>
      </c>
      <c r="B272" s="2" t="s">
        <v>439</v>
      </c>
      <c r="C272" s="2" t="s">
        <v>228</v>
      </c>
      <c r="D272" s="2" t="s">
        <v>90</v>
      </c>
      <c r="E272" s="2">
        <v>119</v>
      </c>
      <c r="F272" s="2" t="s">
        <v>42</v>
      </c>
      <c r="G272" s="2" t="s">
        <v>440</v>
      </c>
      <c r="H272" s="2">
        <v>29</v>
      </c>
      <c r="I272" s="3">
        <v>119</v>
      </c>
      <c r="J272" s="6">
        <v>2900000</v>
      </c>
      <c r="K272" s="5">
        <f t="shared" si="156"/>
        <v>120</v>
      </c>
      <c r="L272" s="9" t="n">
        <f t="shared" ref="L272:L288" si="168">ROUND($J272*1.637*0.8,0)</f>
        <v>3797840</v>
      </c>
      <c r="M272" s="3">
        <f t="shared" si="157"/>
        <v>121</v>
      </c>
      <c r="N272" s="10" t="n">
        <f t="shared" ref="N272:N288" si="169">ROUND($J272*1.637*1.75*0.8,0)</f>
        <v>6646220</v>
      </c>
      <c r="O272" s="5">
        <f t="shared" si="158"/>
        <v>123</v>
      </c>
      <c r="P272" s="9" t="n">
        <f t="shared" ref="P272:P288" si="170">ROUND($J272*1.637*1.75*2.1*0.8,0)</f>
        <v>13957062</v>
      </c>
      <c r="Q272" s="3">
        <f t="shared" si="159"/>
        <v>125</v>
      </c>
      <c r="R272" s="10" t="n">
        <f t="shared" ref="R272:R288" si="171">ROUND($J272*1.637*1.75*2.1*2.3*0.542035092435954,0)</f>
        <v>21750000</v>
      </c>
      <c r="S272" s="5">
        <f t="shared" si="160"/>
        <v>127</v>
      </c>
      <c r="T272" s="9" t="n">
        <f t="shared" ref="T272:T288" si="172">ROUND($J272*1.637*1.75*2.1*2.3*2.6*0.544690061623969,0)</f>
        <v>56826990</v>
      </c>
      <c r="U272" s="3">
        <f t="shared" si="161"/>
        <v>130</v>
      </c>
      <c r="V272" s="10" t="n">
        <f t="shared" ref="V272:V288" si="173">ROUND($J272*1.637*1.75*2.1*2.3*2.6*3.2*0.547345030811984,0)</f>
        <v>182732738</v>
      </c>
      <c r="W272" s="5">
        <f t="shared" si="162"/>
        <v>134</v>
      </c>
      <c r="X272" s="9" t="n">
        <f t="shared" ref="X272:X288" si="174">ROUND($J272*1.637*1.75*2.1*2.3*2.6*3.2*4.2*0.55,0)</f>
        <v>771200252</v>
      </c>
      <c r="Y272" s="3">
        <f t="shared" si="163"/>
        <v>136</v>
      </c>
      <c r="Z272" s="10" t="n">
        <f t="shared" ref="Z272:Z288" si="175">ROUND($J272*1.637*1.75*2.1*2.3*2.6*3.2*4.2*2.4*0.55,0)</f>
        <v>1850880605</v>
      </c>
      <c r="AA272" s="5">
        <f t="shared" si="164"/>
        <v>138</v>
      </c>
      <c r="AB272" s="9" t="n">
        <f t="shared" ref="AB272:AB288" si="176">ROUND($J272*1.637*1.75*2.1*2.3*2.6*3.2*4.2*2.4*2.5*0.55,0)</f>
        <v>4627201513</v>
      </c>
      <c r="AC272" s="3">
        <f t="shared" si="165"/>
        <v>140</v>
      </c>
      <c r="AD272" s="10" t="n">
        <f t="shared" ref="AD272:AD288" si="177">ROUND($J272*1.637*1.75*2.1*2.3*2.6*3.2*4.2*2.4*2.5*2.8*0.55,0)</f>
        <v>12956164237</v>
      </c>
      <c r="AE272" s="5">
        <f t="shared" si="166"/>
        <v>143</v>
      </c>
      <c r="AF272" s="9" t="n">
        <f t="shared" ref="AF272:AF288" si="178">ROUND($J272*1.637*1.75*2.1*2.3*2.6*3.2*4.2*2.4*2.5*2.8*3.2*0.55,0)</f>
        <v>41459725559</v>
      </c>
      <c r="AG272" s="3">
        <f t="shared" si="167"/>
        <v>146</v>
      </c>
      <c r="AH272" s="10" t="n">
        <f t="shared" ref="AH272:AH288" si="179">ROUND($J272*1.637*1.75*2.1*2.3*2.6*3.2*4.2*2.4*2.5*2.8*3.2*3.8*0.55,0)</f>
        <v>157546957126</v>
      </c>
    </row>
    <row r="273" hidden="1">
      <c r="A273" s="2">
        <v>300</v>
      </c>
      <c r="B273" s="2" t="s">
        <v>441</v>
      </c>
      <c r="C273" s="2" t="s">
        <v>228</v>
      </c>
      <c r="D273" s="2" t="s">
        <v>102</v>
      </c>
      <c r="E273" s="2">
        <v>119</v>
      </c>
      <c r="F273" s="2" t="s">
        <v>212</v>
      </c>
      <c r="G273" s="2" t="s">
        <v>415</v>
      </c>
      <c r="H273" s="2">
        <v>29</v>
      </c>
      <c r="I273" s="3">
        <v>119</v>
      </c>
      <c r="J273" s="6">
        <v>2900000</v>
      </c>
      <c r="K273" s="5">
        <f t="shared" si="156"/>
        <v>120</v>
      </c>
      <c r="L273" s="9">
        <f t="shared" si="168"/>
        <v>3797840</v>
      </c>
      <c r="M273" s="3">
        <f t="shared" si="157"/>
        <v>121</v>
      </c>
      <c r="N273" s="10">
        <f t="shared" si="169"/>
        <v>6646220</v>
      </c>
      <c r="O273" s="5">
        <f t="shared" si="158"/>
        <v>123</v>
      </c>
      <c r="P273" s="9">
        <f t="shared" si="170"/>
        <v>13957062</v>
      </c>
      <c r="Q273" s="3">
        <f t="shared" si="159"/>
        <v>125</v>
      </c>
      <c r="R273" s="10">
        <f t="shared" si="171"/>
        <v>21750000</v>
      </c>
      <c r="S273" s="5">
        <f t="shared" si="160"/>
        <v>127</v>
      </c>
      <c r="T273" s="9">
        <f t="shared" si="172"/>
        <v>56826990</v>
      </c>
      <c r="U273" s="3">
        <f t="shared" si="161"/>
        <v>130</v>
      </c>
      <c r="V273" s="10">
        <f t="shared" si="173"/>
        <v>182732738</v>
      </c>
      <c r="W273" s="5">
        <f t="shared" si="162"/>
        <v>134</v>
      </c>
      <c r="X273" s="9">
        <f t="shared" si="174"/>
        <v>771200252</v>
      </c>
      <c r="Y273" s="3">
        <f t="shared" si="163"/>
        <v>136</v>
      </c>
      <c r="Z273" s="10">
        <f t="shared" si="175"/>
        <v>1850880605</v>
      </c>
      <c r="AA273" s="5">
        <f t="shared" si="164"/>
        <v>138</v>
      </c>
      <c r="AB273" s="9">
        <f t="shared" si="176"/>
        <v>4627201513</v>
      </c>
      <c r="AC273" s="3">
        <f t="shared" si="165"/>
        <v>140</v>
      </c>
      <c r="AD273" s="10">
        <f t="shared" si="177"/>
        <v>12956164237</v>
      </c>
      <c r="AE273" s="5">
        <f t="shared" si="166"/>
        <v>143</v>
      </c>
      <c r="AF273" s="9">
        <f t="shared" si="178"/>
        <v>41459725559</v>
      </c>
      <c r="AG273" s="3">
        <f t="shared" si="167"/>
        <v>146</v>
      </c>
      <c r="AH273" s="10">
        <f t="shared" si="179"/>
        <v>157546957126</v>
      </c>
    </row>
    <row r="274" hidden="1">
      <c r="A274" s="2">
        <v>280</v>
      </c>
      <c r="B274" s="2" t="s">
        <v>442</v>
      </c>
      <c r="C274" s="2" t="s">
        <v>228</v>
      </c>
      <c r="D274" s="2" t="s">
        <v>45</v>
      </c>
      <c r="E274" s="2">
        <v>119</v>
      </c>
      <c r="F274" s="2" t="s">
        <v>223</v>
      </c>
      <c r="G274" s="2" t="s">
        <v>60</v>
      </c>
      <c r="H274" s="2">
        <v>29</v>
      </c>
      <c r="I274" s="3">
        <v>119</v>
      </c>
      <c r="J274" s="6">
        <v>2900000</v>
      </c>
      <c r="K274" s="5">
        <f t="shared" si="156"/>
        <v>120</v>
      </c>
      <c r="L274" s="9">
        <f t="shared" si="168"/>
        <v>3797840</v>
      </c>
      <c r="M274" s="3">
        <f t="shared" si="157"/>
        <v>121</v>
      </c>
      <c r="N274" s="10">
        <f t="shared" si="169"/>
        <v>6646220</v>
      </c>
      <c r="O274" s="5">
        <f t="shared" si="158"/>
        <v>123</v>
      </c>
      <c r="P274" s="9">
        <f t="shared" si="170"/>
        <v>13957062</v>
      </c>
      <c r="Q274" s="3">
        <f t="shared" si="159"/>
        <v>125</v>
      </c>
      <c r="R274" s="10">
        <f t="shared" si="171"/>
        <v>21750000</v>
      </c>
      <c r="S274" s="5">
        <f t="shared" si="160"/>
        <v>127</v>
      </c>
      <c r="T274" s="9">
        <f t="shared" si="172"/>
        <v>56826990</v>
      </c>
      <c r="U274" s="3">
        <f t="shared" si="161"/>
        <v>130</v>
      </c>
      <c r="V274" s="10">
        <f t="shared" si="173"/>
        <v>182732738</v>
      </c>
      <c r="W274" s="5">
        <f t="shared" si="162"/>
        <v>134</v>
      </c>
      <c r="X274" s="9">
        <f t="shared" si="174"/>
        <v>771200252</v>
      </c>
      <c r="Y274" s="3">
        <f t="shared" si="163"/>
        <v>136</v>
      </c>
      <c r="Z274" s="10">
        <f t="shared" si="175"/>
        <v>1850880605</v>
      </c>
      <c r="AA274" s="5">
        <f t="shared" si="164"/>
        <v>138</v>
      </c>
      <c r="AB274" s="9">
        <f t="shared" si="176"/>
        <v>4627201513</v>
      </c>
      <c r="AC274" s="3">
        <f t="shared" si="165"/>
        <v>140</v>
      </c>
      <c r="AD274" s="10">
        <f t="shared" si="177"/>
        <v>12956164237</v>
      </c>
      <c r="AE274" s="5">
        <f t="shared" si="166"/>
        <v>143</v>
      </c>
      <c r="AF274" s="9">
        <f t="shared" si="178"/>
        <v>41459725559</v>
      </c>
      <c r="AG274" s="3">
        <f t="shared" si="167"/>
        <v>146</v>
      </c>
      <c r="AH274" s="10">
        <f t="shared" si="179"/>
        <v>157546957126</v>
      </c>
    </row>
    <row r="275" hidden="1">
      <c r="A275" s="2">
        <v>314</v>
      </c>
      <c r="B275" s="2" t="s">
        <v>443</v>
      </c>
      <c r="C275" s="2" t="s">
        <v>228</v>
      </c>
      <c r="D275" s="2" t="s">
        <v>33</v>
      </c>
      <c r="E275" s="2">
        <v>119</v>
      </c>
      <c r="F275" s="2" t="s">
        <v>30</v>
      </c>
      <c r="G275" s="2" t="s">
        <v>351</v>
      </c>
      <c r="H275" s="2">
        <v>28</v>
      </c>
      <c r="I275" s="3">
        <v>119</v>
      </c>
      <c r="J275" s="6">
        <v>2900000</v>
      </c>
      <c r="K275" s="5">
        <f t="shared" si="156"/>
        <v>120</v>
      </c>
      <c r="L275" s="9">
        <f t="shared" si="168"/>
        <v>3797840</v>
      </c>
      <c r="M275" s="3">
        <f t="shared" si="157"/>
        <v>121</v>
      </c>
      <c r="N275" s="10">
        <f t="shared" si="169"/>
        <v>6646220</v>
      </c>
      <c r="O275" s="5">
        <f t="shared" si="158"/>
        <v>123</v>
      </c>
      <c r="P275" s="9">
        <f t="shared" si="170"/>
        <v>13957062</v>
      </c>
      <c r="Q275" s="3">
        <f t="shared" si="159"/>
        <v>125</v>
      </c>
      <c r="R275" s="10">
        <f t="shared" si="171"/>
        <v>21750000</v>
      </c>
      <c r="S275" s="5">
        <f t="shared" si="160"/>
        <v>127</v>
      </c>
      <c r="T275" s="9">
        <f t="shared" si="172"/>
        <v>56826990</v>
      </c>
      <c r="U275" s="3">
        <f t="shared" si="161"/>
        <v>130</v>
      </c>
      <c r="V275" s="10">
        <f t="shared" si="173"/>
        <v>182732738</v>
      </c>
      <c r="W275" s="5">
        <f t="shared" si="162"/>
        <v>134</v>
      </c>
      <c r="X275" s="9">
        <f t="shared" si="174"/>
        <v>771200252</v>
      </c>
      <c r="Y275" s="3">
        <f t="shared" si="163"/>
        <v>136</v>
      </c>
      <c r="Z275" s="10">
        <f t="shared" si="175"/>
        <v>1850880605</v>
      </c>
      <c r="AA275" s="5">
        <f t="shared" si="164"/>
        <v>138</v>
      </c>
      <c r="AB275" s="9">
        <f t="shared" si="176"/>
        <v>4627201513</v>
      </c>
      <c r="AC275" s="3">
        <f t="shared" si="165"/>
        <v>140</v>
      </c>
      <c r="AD275" s="10">
        <f t="shared" si="177"/>
        <v>12956164237</v>
      </c>
      <c r="AE275" s="5">
        <f t="shared" si="166"/>
        <v>143</v>
      </c>
      <c r="AF275" s="9">
        <f t="shared" si="178"/>
        <v>41459725559</v>
      </c>
      <c r="AG275" s="3">
        <f t="shared" si="167"/>
        <v>146</v>
      </c>
      <c r="AH275" s="10">
        <f t="shared" si="179"/>
        <v>157546957126</v>
      </c>
    </row>
    <row r="276" hidden="1">
      <c r="A276" s="2">
        <v>299</v>
      </c>
      <c r="B276" s="2" t="s">
        <v>444</v>
      </c>
      <c r="C276" s="2" t="s">
        <v>228</v>
      </c>
      <c r="D276" s="2" t="s">
        <v>47</v>
      </c>
      <c r="E276" s="2">
        <v>119</v>
      </c>
      <c r="F276" s="2" t="s">
        <v>445</v>
      </c>
      <c r="G276" s="2" t="s">
        <v>446</v>
      </c>
      <c r="H276" s="2">
        <v>27</v>
      </c>
      <c r="I276" s="3">
        <v>119</v>
      </c>
      <c r="J276" s="6">
        <v>2900000</v>
      </c>
      <c r="K276" s="5">
        <f t="shared" si="156"/>
        <v>120</v>
      </c>
      <c r="L276" s="9">
        <f t="shared" si="168"/>
        <v>3797840</v>
      </c>
      <c r="M276" s="3">
        <f t="shared" si="157"/>
        <v>121</v>
      </c>
      <c r="N276" s="10">
        <f t="shared" si="169"/>
        <v>6646220</v>
      </c>
      <c r="O276" s="5">
        <f t="shared" si="158"/>
        <v>123</v>
      </c>
      <c r="P276" s="9">
        <f t="shared" si="170"/>
        <v>13957062</v>
      </c>
      <c r="Q276" s="3">
        <f t="shared" si="159"/>
        <v>125</v>
      </c>
      <c r="R276" s="10">
        <f t="shared" si="171"/>
        <v>21750000</v>
      </c>
      <c r="S276" s="5">
        <f t="shared" si="160"/>
        <v>127</v>
      </c>
      <c r="T276" s="9">
        <f t="shared" si="172"/>
        <v>56826990</v>
      </c>
      <c r="U276" s="3">
        <f t="shared" si="161"/>
        <v>130</v>
      </c>
      <c r="V276" s="10">
        <f t="shared" si="173"/>
        <v>182732738</v>
      </c>
      <c r="W276" s="5">
        <f t="shared" si="162"/>
        <v>134</v>
      </c>
      <c r="X276" s="9">
        <f t="shared" si="174"/>
        <v>771200252</v>
      </c>
      <c r="Y276" s="3">
        <f t="shared" si="163"/>
        <v>136</v>
      </c>
      <c r="Z276" s="10">
        <f t="shared" si="175"/>
        <v>1850880605</v>
      </c>
      <c r="AA276" s="5">
        <f t="shared" si="164"/>
        <v>138</v>
      </c>
      <c r="AB276" s="9">
        <f t="shared" si="176"/>
        <v>4627201513</v>
      </c>
      <c r="AC276" s="3">
        <f t="shared" si="165"/>
        <v>140</v>
      </c>
      <c r="AD276" s="10">
        <f t="shared" si="177"/>
        <v>12956164237</v>
      </c>
      <c r="AE276" s="5">
        <f t="shared" si="166"/>
        <v>143</v>
      </c>
      <c r="AF276" s="9">
        <f t="shared" si="178"/>
        <v>41459725559</v>
      </c>
      <c r="AG276" s="3">
        <f t="shared" si="167"/>
        <v>146</v>
      </c>
      <c r="AH276" s="10">
        <f t="shared" si="179"/>
        <v>157546957126</v>
      </c>
    </row>
    <row r="277" hidden="1">
      <c r="A277" s="2">
        <v>298</v>
      </c>
      <c r="B277" s="2" t="s">
        <v>447</v>
      </c>
      <c r="C277" s="2" t="s">
        <v>228</v>
      </c>
      <c r="D277" s="2" t="s">
        <v>47</v>
      </c>
      <c r="E277" s="2">
        <v>119</v>
      </c>
      <c r="F277" s="2" t="s">
        <v>34</v>
      </c>
      <c r="G277" s="2" t="s">
        <v>380</v>
      </c>
      <c r="H277" s="2">
        <v>27</v>
      </c>
      <c r="I277" s="3">
        <v>119</v>
      </c>
      <c r="J277" s="6">
        <v>2900000</v>
      </c>
      <c r="K277" s="5">
        <f t="shared" si="156"/>
        <v>120</v>
      </c>
      <c r="L277" s="9">
        <f t="shared" si="168"/>
        <v>3797840</v>
      </c>
      <c r="M277" s="3">
        <f t="shared" si="157"/>
        <v>121</v>
      </c>
      <c r="N277" s="10">
        <f t="shared" si="169"/>
        <v>6646220</v>
      </c>
      <c r="O277" s="5">
        <f t="shared" si="158"/>
        <v>123</v>
      </c>
      <c r="P277" s="9">
        <f t="shared" si="170"/>
        <v>13957062</v>
      </c>
      <c r="Q277" s="3">
        <f t="shared" si="159"/>
        <v>125</v>
      </c>
      <c r="R277" s="10">
        <f t="shared" si="171"/>
        <v>21750000</v>
      </c>
      <c r="S277" s="5">
        <f t="shared" si="160"/>
        <v>127</v>
      </c>
      <c r="T277" s="9">
        <f t="shared" si="172"/>
        <v>56826990</v>
      </c>
      <c r="U277" s="3">
        <f t="shared" si="161"/>
        <v>130</v>
      </c>
      <c r="V277" s="10">
        <f t="shared" si="173"/>
        <v>182732738</v>
      </c>
      <c r="W277" s="5">
        <f t="shared" si="162"/>
        <v>134</v>
      </c>
      <c r="X277" s="9">
        <f t="shared" si="174"/>
        <v>771200252</v>
      </c>
      <c r="Y277" s="3">
        <f t="shared" si="163"/>
        <v>136</v>
      </c>
      <c r="Z277" s="10">
        <f t="shared" si="175"/>
        <v>1850880605</v>
      </c>
      <c r="AA277" s="5">
        <f t="shared" si="164"/>
        <v>138</v>
      </c>
      <c r="AB277" s="9">
        <f t="shared" si="176"/>
        <v>4627201513</v>
      </c>
      <c r="AC277" s="3">
        <f t="shared" si="165"/>
        <v>140</v>
      </c>
      <c r="AD277" s="10">
        <f t="shared" si="177"/>
        <v>12956164237</v>
      </c>
      <c r="AE277" s="5">
        <f t="shared" si="166"/>
        <v>143</v>
      </c>
      <c r="AF277" s="9">
        <f t="shared" si="178"/>
        <v>41459725559</v>
      </c>
      <c r="AG277" s="3">
        <f t="shared" si="167"/>
        <v>146</v>
      </c>
      <c r="AH277" s="10">
        <f t="shared" si="179"/>
        <v>157546957126</v>
      </c>
    </row>
    <row r="278" hidden="1">
      <c r="A278" s="2">
        <v>297</v>
      </c>
      <c r="B278" s="2" t="s">
        <v>448</v>
      </c>
      <c r="C278" s="2" t="s">
        <v>228</v>
      </c>
      <c r="D278" s="2" t="s">
        <v>47</v>
      </c>
      <c r="E278" s="2">
        <v>119</v>
      </c>
      <c r="F278" s="2" t="s">
        <v>42</v>
      </c>
      <c r="G278" s="2" t="s">
        <v>449</v>
      </c>
      <c r="H278" s="2">
        <v>27</v>
      </c>
      <c r="I278" s="3">
        <v>119</v>
      </c>
      <c r="J278" s="6">
        <v>2900000</v>
      </c>
      <c r="K278" s="5">
        <f t="shared" si="156"/>
        <v>120</v>
      </c>
      <c r="L278" s="9">
        <f t="shared" si="168"/>
        <v>3797840</v>
      </c>
      <c r="M278" s="3">
        <f t="shared" si="157"/>
        <v>121</v>
      </c>
      <c r="N278" s="10">
        <f t="shared" si="169"/>
        <v>6646220</v>
      </c>
      <c r="O278" s="5">
        <f t="shared" si="158"/>
        <v>123</v>
      </c>
      <c r="P278" s="9">
        <f t="shared" si="170"/>
        <v>13957062</v>
      </c>
      <c r="Q278" s="3">
        <f t="shared" si="159"/>
        <v>125</v>
      </c>
      <c r="R278" s="10">
        <f t="shared" si="171"/>
        <v>21750000</v>
      </c>
      <c r="S278" s="5">
        <f t="shared" si="160"/>
        <v>127</v>
      </c>
      <c r="T278" s="9">
        <f t="shared" si="172"/>
        <v>56826990</v>
      </c>
      <c r="U278" s="3">
        <f t="shared" si="161"/>
        <v>130</v>
      </c>
      <c r="V278" s="10">
        <f t="shared" si="173"/>
        <v>182732738</v>
      </c>
      <c r="W278" s="5">
        <f t="shared" si="162"/>
        <v>134</v>
      </c>
      <c r="X278" s="9">
        <f t="shared" si="174"/>
        <v>771200252</v>
      </c>
      <c r="Y278" s="3">
        <f t="shared" si="163"/>
        <v>136</v>
      </c>
      <c r="Z278" s="10">
        <f t="shared" si="175"/>
        <v>1850880605</v>
      </c>
      <c r="AA278" s="5">
        <f t="shared" si="164"/>
        <v>138</v>
      </c>
      <c r="AB278" s="9">
        <f t="shared" si="176"/>
        <v>4627201513</v>
      </c>
      <c r="AC278" s="3">
        <f t="shared" si="165"/>
        <v>140</v>
      </c>
      <c r="AD278" s="10">
        <f t="shared" si="177"/>
        <v>12956164237</v>
      </c>
      <c r="AE278" s="5">
        <f t="shared" si="166"/>
        <v>143</v>
      </c>
      <c r="AF278" s="9">
        <f t="shared" si="178"/>
        <v>41459725559</v>
      </c>
      <c r="AG278" s="3">
        <f t="shared" si="167"/>
        <v>146</v>
      </c>
      <c r="AH278" s="10">
        <f t="shared" si="179"/>
        <v>157546957126</v>
      </c>
    </row>
    <row r="279" hidden="1">
      <c r="A279" s="2">
        <v>281</v>
      </c>
      <c r="B279" s="2" t="s">
        <v>450</v>
      </c>
      <c r="C279" s="2" t="s">
        <v>228</v>
      </c>
      <c r="D279" s="2" t="s">
        <v>45</v>
      </c>
      <c r="E279" s="2">
        <v>119</v>
      </c>
      <c r="F279" s="2" t="s">
        <v>451</v>
      </c>
      <c r="G279" s="2" t="s">
        <v>452</v>
      </c>
      <c r="H279" s="2">
        <v>30</v>
      </c>
      <c r="I279" s="3">
        <v>119</v>
      </c>
      <c r="J279" s="6">
        <v>2900000</v>
      </c>
      <c r="K279" s="5">
        <f t="shared" si="156"/>
        <v>120</v>
      </c>
      <c r="L279" s="9">
        <f t="shared" si="168"/>
        <v>3797840</v>
      </c>
      <c r="M279" s="3">
        <f t="shared" si="157"/>
        <v>121</v>
      </c>
      <c r="N279" s="10">
        <f t="shared" si="169"/>
        <v>6646220</v>
      </c>
      <c r="O279" s="5">
        <f t="shared" si="158"/>
        <v>123</v>
      </c>
      <c r="P279" s="9">
        <f t="shared" si="170"/>
        <v>13957062</v>
      </c>
      <c r="Q279" s="3">
        <f t="shared" si="159"/>
        <v>125</v>
      </c>
      <c r="R279" s="10">
        <f t="shared" si="171"/>
        <v>21750000</v>
      </c>
      <c r="S279" s="5">
        <f t="shared" si="160"/>
        <v>127</v>
      </c>
      <c r="T279" s="9">
        <f t="shared" si="172"/>
        <v>56826990</v>
      </c>
      <c r="U279" s="3">
        <f t="shared" si="161"/>
        <v>130</v>
      </c>
      <c r="V279" s="10">
        <f t="shared" si="173"/>
        <v>182732738</v>
      </c>
      <c r="W279" s="5">
        <f t="shared" si="162"/>
        <v>134</v>
      </c>
      <c r="X279" s="9">
        <f t="shared" si="174"/>
        <v>771200252</v>
      </c>
      <c r="Y279" s="3">
        <f t="shared" si="163"/>
        <v>136</v>
      </c>
      <c r="Z279" s="10">
        <f t="shared" si="175"/>
        <v>1850880605</v>
      </c>
      <c r="AA279" s="5">
        <f t="shared" si="164"/>
        <v>138</v>
      </c>
      <c r="AB279" s="9">
        <f t="shared" si="176"/>
        <v>4627201513</v>
      </c>
      <c r="AC279" s="3">
        <f t="shared" si="165"/>
        <v>140</v>
      </c>
      <c r="AD279" s="10">
        <f t="shared" si="177"/>
        <v>12956164237</v>
      </c>
      <c r="AE279" s="5">
        <f t="shared" si="166"/>
        <v>143</v>
      </c>
      <c r="AF279" s="9">
        <f t="shared" si="178"/>
        <v>41459725559</v>
      </c>
      <c r="AG279" s="3">
        <f t="shared" si="167"/>
        <v>146</v>
      </c>
      <c r="AH279" s="10">
        <f t="shared" si="179"/>
        <v>157546957126</v>
      </c>
    </row>
    <row r="280" hidden="1">
      <c r="A280" s="2">
        <v>315</v>
      </c>
      <c r="B280" s="2" t="s">
        <v>453</v>
      </c>
      <c r="C280" s="2" t="s">
        <v>228</v>
      </c>
      <c r="D280" s="2" t="s">
        <v>33</v>
      </c>
      <c r="E280" s="2">
        <v>119</v>
      </c>
      <c r="F280" s="2" t="s">
        <v>225</v>
      </c>
      <c r="G280" s="2" t="s">
        <v>393</v>
      </c>
      <c r="H280" s="2">
        <v>29</v>
      </c>
      <c r="I280" s="3">
        <v>119</v>
      </c>
      <c r="J280" s="6">
        <v>2900000</v>
      </c>
      <c r="K280" s="5">
        <f t="shared" si="156"/>
        <v>120</v>
      </c>
      <c r="L280" s="9">
        <f t="shared" si="168"/>
        <v>3797840</v>
      </c>
      <c r="M280" s="3">
        <f t="shared" si="157"/>
        <v>121</v>
      </c>
      <c r="N280" s="10">
        <f t="shared" si="169"/>
        <v>6646220</v>
      </c>
      <c r="O280" s="5">
        <f t="shared" si="158"/>
        <v>123</v>
      </c>
      <c r="P280" s="9">
        <f t="shared" si="170"/>
        <v>13957062</v>
      </c>
      <c r="Q280" s="3">
        <f t="shared" si="159"/>
        <v>125</v>
      </c>
      <c r="R280" s="10">
        <f t="shared" si="171"/>
        <v>21750000</v>
      </c>
      <c r="S280" s="5">
        <f t="shared" si="160"/>
        <v>127</v>
      </c>
      <c r="T280" s="9">
        <f t="shared" si="172"/>
        <v>56826990</v>
      </c>
      <c r="U280" s="3">
        <f t="shared" si="161"/>
        <v>130</v>
      </c>
      <c r="V280" s="10">
        <f t="shared" si="173"/>
        <v>182732738</v>
      </c>
      <c r="W280" s="5">
        <f t="shared" si="162"/>
        <v>134</v>
      </c>
      <c r="X280" s="9">
        <f t="shared" si="174"/>
        <v>771200252</v>
      </c>
      <c r="Y280" s="3">
        <f t="shared" si="163"/>
        <v>136</v>
      </c>
      <c r="Z280" s="10">
        <f t="shared" si="175"/>
        <v>1850880605</v>
      </c>
      <c r="AA280" s="5">
        <f t="shared" si="164"/>
        <v>138</v>
      </c>
      <c r="AB280" s="9">
        <f t="shared" si="176"/>
        <v>4627201513</v>
      </c>
      <c r="AC280" s="3">
        <f t="shared" si="165"/>
        <v>140</v>
      </c>
      <c r="AD280" s="10">
        <f t="shared" si="177"/>
        <v>12956164237</v>
      </c>
      <c r="AE280" s="5">
        <f t="shared" si="166"/>
        <v>143</v>
      </c>
      <c r="AF280" s="9">
        <f t="shared" si="178"/>
        <v>41459725559</v>
      </c>
      <c r="AG280" s="3">
        <f t="shared" si="167"/>
        <v>146</v>
      </c>
      <c r="AH280" s="10">
        <f t="shared" si="179"/>
        <v>157546957126</v>
      </c>
    </row>
    <row r="281" hidden="1">
      <c r="A281" s="2">
        <v>282</v>
      </c>
      <c r="B281" s="2" t="s">
        <v>454</v>
      </c>
      <c r="C281" s="2" t="s">
        <v>228</v>
      </c>
      <c r="D281" s="2" t="s">
        <v>45</v>
      </c>
      <c r="E281" s="2">
        <v>119</v>
      </c>
      <c r="F281" s="2" t="s">
        <v>146</v>
      </c>
      <c r="G281" s="2" t="s">
        <v>354</v>
      </c>
      <c r="H281" s="2">
        <v>30</v>
      </c>
      <c r="I281" s="3">
        <v>119</v>
      </c>
      <c r="J281" s="6">
        <v>2900000</v>
      </c>
      <c r="K281" s="5">
        <f t="shared" si="156"/>
        <v>120</v>
      </c>
      <c r="L281" s="9">
        <f t="shared" si="168"/>
        <v>3797840</v>
      </c>
      <c r="M281" s="3">
        <f t="shared" si="157"/>
        <v>121</v>
      </c>
      <c r="N281" s="10">
        <f t="shared" si="169"/>
        <v>6646220</v>
      </c>
      <c r="O281" s="5">
        <f t="shared" si="158"/>
        <v>123</v>
      </c>
      <c r="P281" s="9">
        <f t="shared" si="170"/>
        <v>13957062</v>
      </c>
      <c r="Q281" s="3">
        <f t="shared" si="159"/>
        <v>125</v>
      </c>
      <c r="R281" s="10">
        <f t="shared" si="171"/>
        <v>21750000</v>
      </c>
      <c r="S281" s="5">
        <f t="shared" si="160"/>
        <v>127</v>
      </c>
      <c r="T281" s="9">
        <f t="shared" si="172"/>
        <v>56826990</v>
      </c>
      <c r="U281" s="3">
        <f t="shared" si="161"/>
        <v>130</v>
      </c>
      <c r="V281" s="10">
        <f t="shared" si="173"/>
        <v>182732738</v>
      </c>
      <c r="W281" s="5">
        <f t="shared" si="162"/>
        <v>134</v>
      </c>
      <c r="X281" s="9">
        <f t="shared" si="174"/>
        <v>771200252</v>
      </c>
      <c r="Y281" s="3">
        <f t="shared" si="163"/>
        <v>136</v>
      </c>
      <c r="Z281" s="10">
        <f t="shared" si="175"/>
        <v>1850880605</v>
      </c>
      <c r="AA281" s="5">
        <f t="shared" si="164"/>
        <v>138</v>
      </c>
      <c r="AB281" s="9">
        <f t="shared" si="176"/>
        <v>4627201513</v>
      </c>
      <c r="AC281" s="3">
        <f t="shared" si="165"/>
        <v>140</v>
      </c>
      <c r="AD281" s="10">
        <f t="shared" si="177"/>
        <v>12956164237</v>
      </c>
      <c r="AE281" s="5">
        <f t="shared" si="166"/>
        <v>143</v>
      </c>
      <c r="AF281" s="9">
        <f t="shared" si="178"/>
        <v>41459725559</v>
      </c>
      <c r="AG281" s="3">
        <f t="shared" si="167"/>
        <v>146</v>
      </c>
      <c r="AH281" s="10">
        <f t="shared" si="179"/>
        <v>157546957126</v>
      </c>
    </row>
    <row r="282" hidden="1">
      <c r="A282" s="2">
        <v>262</v>
      </c>
      <c r="B282" s="2" t="s">
        <v>455</v>
      </c>
      <c r="C282" s="2" t="s">
        <v>228</v>
      </c>
      <c r="D282" s="2" t="s">
        <v>40</v>
      </c>
      <c r="E282" s="2">
        <v>119</v>
      </c>
      <c r="F282" s="2" t="s">
        <v>303</v>
      </c>
      <c r="G282" s="2" t="s">
        <v>456</v>
      </c>
      <c r="H282" s="2">
        <v>29</v>
      </c>
      <c r="I282" s="3">
        <v>119</v>
      </c>
      <c r="J282" s="4">
        <v>1620000</v>
      </c>
      <c r="K282" s="5">
        <f t="shared" si="156"/>
        <v>120</v>
      </c>
      <c r="L282" s="9">
        <f t="shared" si="168"/>
        <v>2121552</v>
      </c>
      <c r="M282" s="3">
        <f t="shared" si="157"/>
        <v>121</v>
      </c>
      <c r="N282" s="10">
        <f t="shared" si="169"/>
        <v>3712716</v>
      </c>
      <c r="O282" s="5">
        <f t="shared" si="158"/>
        <v>123</v>
      </c>
      <c r="P282" s="9">
        <f t="shared" si="170"/>
        <v>7796704</v>
      </c>
      <c r="Q282" s="3">
        <f t="shared" si="159"/>
        <v>125</v>
      </c>
      <c r="R282" s="10">
        <f t="shared" si="171"/>
        <v>12150000</v>
      </c>
      <c r="S282" s="5">
        <f t="shared" si="160"/>
        <v>127</v>
      </c>
      <c r="T282" s="9">
        <f t="shared" si="172"/>
        <v>31744733</v>
      </c>
      <c r="U282" s="3">
        <f t="shared" si="161"/>
        <v>130</v>
      </c>
      <c r="V282" s="10">
        <f t="shared" si="173"/>
        <v>102078288</v>
      </c>
      <c r="W282" s="5">
        <f t="shared" si="162"/>
        <v>134</v>
      </c>
      <c r="X282" s="9">
        <f t="shared" si="174"/>
        <v>430808417</v>
      </c>
      <c r="Y282" s="3">
        <f t="shared" si="163"/>
        <v>136</v>
      </c>
      <c r="Z282" s="10">
        <f t="shared" si="175"/>
        <v>1033940200</v>
      </c>
      <c r="AA282" s="5">
        <f t="shared" si="164"/>
        <v>138</v>
      </c>
      <c r="AB282" s="9">
        <f t="shared" si="176"/>
        <v>2584850501</v>
      </c>
      <c r="AC282" s="3">
        <f t="shared" si="165"/>
        <v>140</v>
      </c>
      <c r="AD282" s="10">
        <f t="shared" si="177"/>
        <v>7237581402</v>
      </c>
      <c r="AE282" s="5">
        <f t="shared" si="166"/>
        <v>143</v>
      </c>
      <c r="AF282" s="9">
        <f t="shared" si="178"/>
        <v>23160260485</v>
      </c>
      <c r="AG282" s="3">
        <f t="shared" si="167"/>
        <v>146</v>
      </c>
      <c r="AH282" s="10">
        <f t="shared" si="179"/>
        <v>88008989843</v>
      </c>
    </row>
    <row r="283" hidden="1">
      <c r="A283" s="2">
        <v>308</v>
      </c>
      <c r="B283" s="2" t="s">
        <v>457</v>
      </c>
      <c r="C283" s="2" t="s">
        <v>228</v>
      </c>
      <c r="D283" s="2" t="s">
        <v>90</v>
      </c>
      <c r="E283" s="2">
        <v>118</v>
      </c>
      <c r="F283" s="2" t="s">
        <v>458</v>
      </c>
      <c r="G283" s="2" t="s">
        <v>434</v>
      </c>
      <c r="H283" s="2">
        <v>29</v>
      </c>
      <c r="I283" s="3">
        <v>118</v>
      </c>
      <c r="J283" s="4">
        <v>1620000</v>
      </c>
      <c r="K283" s="5">
        <f t="shared" si="156"/>
        <v>119</v>
      </c>
      <c r="L283" s="9">
        <f t="shared" si="168"/>
        <v>2121552</v>
      </c>
      <c r="M283" s="3">
        <f t="shared" si="157"/>
        <v>120</v>
      </c>
      <c r="N283" s="10">
        <f t="shared" si="169"/>
        <v>3712716</v>
      </c>
      <c r="O283" s="5">
        <f t="shared" si="158"/>
        <v>122</v>
      </c>
      <c r="P283" s="9">
        <f t="shared" si="170"/>
        <v>7796704</v>
      </c>
      <c r="Q283" s="3">
        <f t="shared" si="159"/>
        <v>124</v>
      </c>
      <c r="R283" s="10">
        <f t="shared" si="171"/>
        <v>12150000</v>
      </c>
      <c r="S283" s="5">
        <f t="shared" si="160"/>
        <v>126</v>
      </c>
      <c r="T283" s="9">
        <f t="shared" si="172"/>
        <v>31744733</v>
      </c>
      <c r="U283" s="3">
        <f t="shared" si="161"/>
        <v>129</v>
      </c>
      <c r="V283" s="10">
        <f t="shared" si="173"/>
        <v>102078288</v>
      </c>
      <c r="W283" s="5">
        <f t="shared" si="162"/>
        <v>133</v>
      </c>
      <c r="X283" s="9">
        <f t="shared" si="174"/>
        <v>430808417</v>
      </c>
      <c r="Y283" s="3">
        <f t="shared" si="163"/>
        <v>135</v>
      </c>
      <c r="Z283" s="10">
        <f t="shared" si="175"/>
        <v>1033940200</v>
      </c>
      <c r="AA283" s="5">
        <f t="shared" si="164"/>
        <v>137</v>
      </c>
      <c r="AB283" s="9">
        <f t="shared" si="176"/>
        <v>2584850501</v>
      </c>
      <c r="AC283" s="3">
        <f t="shared" si="165"/>
        <v>139</v>
      </c>
      <c r="AD283" s="10">
        <f t="shared" si="177"/>
        <v>7237581402</v>
      </c>
      <c r="AE283" s="5">
        <f t="shared" si="166"/>
        <v>142</v>
      </c>
      <c r="AF283" s="9">
        <f t="shared" si="178"/>
        <v>23160260485</v>
      </c>
      <c r="AG283" s="3">
        <f t="shared" si="167"/>
        <v>145</v>
      </c>
      <c r="AH283" s="10">
        <f t="shared" si="179"/>
        <v>88008989843</v>
      </c>
    </row>
    <row r="284" hidden="1">
      <c r="A284" s="2">
        <v>279</v>
      </c>
      <c r="B284" s="2" t="s">
        <v>459</v>
      </c>
      <c r="C284" s="2" t="s">
        <v>228</v>
      </c>
      <c r="D284" s="2" t="s">
        <v>45</v>
      </c>
      <c r="E284" s="2">
        <v>118</v>
      </c>
      <c r="F284" s="2" t="s">
        <v>451</v>
      </c>
      <c r="G284" s="2" t="s">
        <v>460</v>
      </c>
      <c r="H284" s="2">
        <v>29</v>
      </c>
      <c r="I284" s="3">
        <v>118</v>
      </c>
      <c r="J284" s="4">
        <v>1620000</v>
      </c>
      <c r="K284" s="5">
        <f t="shared" si="156"/>
        <v>119</v>
      </c>
      <c r="L284" s="9">
        <f t="shared" si="168"/>
        <v>2121552</v>
      </c>
      <c r="M284" s="3">
        <f t="shared" si="157"/>
        <v>120</v>
      </c>
      <c r="N284" s="10">
        <f t="shared" si="169"/>
        <v>3712716</v>
      </c>
      <c r="O284" s="5">
        <f t="shared" si="158"/>
        <v>122</v>
      </c>
      <c r="P284" s="9">
        <f t="shared" si="170"/>
        <v>7796704</v>
      </c>
      <c r="Q284" s="3">
        <f t="shared" si="159"/>
        <v>124</v>
      </c>
      <c r="R284" s="10">
        <f t="shared" si="171"/>
        <v>12150000</v>
      </c>
      <c r="S284" s="5">
        <f t="shared" si="160"/>
        <v>126</v>
      </c>
      <c r="T284" s="9">
        <f t="shared" si="172"/>
        <v>31744733</v>
      </c>
      <c r="U284" s="3">
        <f t="shared" si="161"/>
        <v>129</v>
      </c>
      <c r="V284" s="10">
        <f t="shared" si="173"/>
        <v>102078288</v>
      </c>
      <c r="W284" s="5">
        <f t="shared" si="162"/>
        <v>133</v>
      </c>
      <c r="X284" s="9">
        <f t="shared" si="174"/>
        <v>430808417</v>
      </c>
      <c r="Y284" s="3">
        <f t="shared" si="163"/>
        <v>135</v>
      </c>
      <c r="Z284" s="10">
        <f t="shared" si="175"/>
        <v>1033940200</v>
      </c>
      <c r="AA284" s="5">
        <f t="shared" si="164"/>
        <v>137</v>
      </c>
      <c r="AB284" s="9">
        <f t="shared" si="176"/>
        <v>2584850501</v>
      </c>
      <c r="AC284" s="3">
        <f t="shared" si="165"/>
        <v>139</v>
      </c>
      <c r="AD284" s="10">
        <f t="shared" si="177"/>
        <v>7237581402</v>
      </c>
      <c r="AE284" s="5">
        <f t="shared" si="166"/>
        <v>142</v>
      </c>
      <c r="AF284" s="9">
        <f t="shared" si="178"/>
        <v>23160260485</v>
      </c>
      <c r="AG284" s="3">
        <f t="shared" si="167"/>
        <v>145</v>
      </c>
      <c r="AH284" s="10">
        <f t="shared" si="179"/>
        <v>88008989843</v>
      </c>
    </row>
    <row r="285" hidden="1">
      <c r="A285" s="2">
        <v>296</v>
      </c>
      <c r="B285" s="2" t="s">
        <v>461</v>
      </c>
      <c r="C285" s="2" t="s">
        <v>228</v>
      </c>
      <c r="D285" s="2" t="s">
        <v>47</v>
      </c>
      <c r="E285" s="2">
        <v>118</v>
      </c>
      <c r="F285" s="2" t="s">
        <v>462</v>
      </c>
      <c r="G285" s="2" t="s">
        <v>270</v>
      </c>
      <c r="H285" s="2">
        <v>26</v>
      </c>
      <c r="I285" s="3">
        <v>118</v>
      </c>
      <c r="J285" s="4">
        <v>1620000</v>
      </c>
      <c r="K285" s="5">
        <f t="shared" si="156"/>
        <v>119</v>
      </c>
      <c r="L285" s="9">
        <f t="shared" si="168"/>
        <v>2121552</v>
      </c>
      <c r="M285" s="3">
        <f t="shared" si="157"/>
        <v>120</v>
      </c>
      <c r="N285" s="10">
        <f t="shared" si="169"/>
        <v>3712716</v>
      </c>
      <c r="O285" s="5">
        <f t="shared" si="158"/>
        <v>122</v>
      </c>
      <c r="P285" s="9">
        <f t="shared" si="170"/>
        <v>7796704</v>
      </c>
      <c r="Q285" s="3">
        <f t="shared" si="159"/>
        <v>124</v>
      </c>
      <c r="R285" s="10">
        <f t="shared" si="171"/>
        <v>12150000</v>
      </c>
      <c r="S285" s="5">
        <f t="shared" si="160"/>
        <v>126</v>
      </c>
      <c r="T285" s="9">
        <f t="shared" si="172"/>
        <v>31744733</v>
      </c>
      <c r="U285" s="3">
        <f t="shared" si="161"/>
        <v>129</v>
      </c>
      <c r="V285" s="10">
        <f t="shared" si="173"/>
        <v>102078288</v>
      </c>
      <c r="W285" s="5">
        <f t="shared" si="162"/>
        <v>133</v>
      </c>
      <c r="X285" s="9">
        <f t="shared" si="174"/>
        <v>430808417</v>
      </c>
      <c r="Y285" s="3">
        <f t="shared" si="163"/>
        <v>135</v>
      </c>
      <c r="Z285" s="10">
        <f t="shared" si="175"/>
        <v>1033940200</v>
      </c>
      <c r="AA285" s="5">
        <f t="shared" si="164"/>
        <v>137</v>
      </c>
      <c r="AB285" s="9">
        <f t="shared" si="176"/>
        <v>2584850501</v>
      </c>
      <c r="AC285" s="3">
        <f t="shared" si="165"/>
        <v>139</v>
      </c>
      <c r="AD285" s="10">
        <f t="shared" si="177"/>
        <v>7237581402</v>
      </c>
      <c r="AE285" s="5">
        <f t="shared" si="166"/>
        <v>142</v>
      </c>
      <c r="AF285" s="9">
        <f t="shared" si="178"/>
        <v>23160260485</v>
      </c>
      <c r="AG285" s="3">
        <f t="shared" si="167"/>
        <v>145</v>
      </c>
      <c r="AH285" s="10">
        <f t="shared" si="179"/>
        <v>88008989843</v>
      </c>
    </row>
    <row r="286" hidden="1">
      <c r="A286" s="2">
        <v>318</v>
      </c>
      <c r="B286" s="2" t="s">
        <v>463</v>
      </c>
      <c r="C286" s="2" t="s">
        <v>228</v>
      </c>
      <c r="D286" s="2" t="s">
        <v>33</v>
      </c>
      <c r="E286" s="2">
        <v>118</v>
      </c>
      <c r="F286" s="2" t="s">
        <v>223</v>
      </c>
      <c r="G286" s="2" t="s">
        <v>464</v>
      </c>
      <c r="H286" s="2">
        <v>29</v>
      </c>
      <c r="I286" s="3">
        <v>118</v>
      </c>
      <c r="J286" s="4">
        <v>1620000</v>
      </c>
      <c r="K286" s="5">
        <f t="shared" si="156"/>
        <v>119</v>
      </c>
      <c r="L286" s="9">
        <f t="shared" si="168"/>
        <v>2121552</v>
      </c>
      <c r="M286" s="3">
        <f t="shared" si="157"/>
        <v>120</v>
      </c>
      <c r="N286" s="10">
        <f t="shared" si="169"/>
        <v>3712716</v>
      </c>
      <c r="O286" s="5">
        <f t="shared" si="158"/>
        <v>122</v>
      </c>
      <c r="P286" s="9">
        <f t="shared" si="170"/>
        <v>7796704</v>
      </c>
      <c r="Q286" s="3">
        <f t="shared" si="159"/>
        <v>124</v>
      </c>
      <c r="R286" s="10">
        <f t="shared" si="171"/>
        <v>12150000</v>
      </c>
      <c r="S286" s="5">
        <f t="shared" si="160"/>
        <v>126</v>
      </c>
      <c r="T286" s="9">
        <f t="shared" si="172"/>
        <v>31744733</v>
      </c>
      <c r="U286" s="3">
        <f t="shared" si="161"/>
        <v>129</v>
      </c>
      <c r="V286" s="10">
        <f t="shared" si="173"/>
        <v>102078288</v>
      </c>
      <c r="W286" s="5">
        <f t="shared" si="162"/>
        <v>133</v>
      </c>
      <c r="X286" s="9">
        <f t="shared" si="174"/>
        <v>430808417</v>
      </c>
      <c r="Y286" s="3">
        <f t="shared" si="163"/>
        <v>135</v>
      </c>
      <c r="Z286" s="10">
        <f t="shared" si="175"/>
        <v>1033940200</v>
      </c>
      <c r="AA286" s="5">
        <f t="shared" si="164"/>
        <v>137</v>
      </c>
      <c r="AB286" s="9">
        <f t="shared" si="176"/>
        <v>2584850501</v>
      </c>
      <c r="AC286" s="3">
        <f t="shared" si="165"/>
        <v>139</v>
      </c>
      <c r="AD286" s="10">
        <f t="shared" si="177"/>
        <v>7237581402</v>
      </c>
      <c r="AE286" s="5">
        <f t="shared" si="166"/>
        <v>142</v>
      </c>
      <c r="AF286" s="9">
        <f t="shared" si="178"/>
        <v>23160260485</v>
      </c>
      <c r="AG286" s="3">
        <f t="shared" si="167"/>
        <v>145</v>
      </c>
      <c r="AH286" s="10">
        <f t="shared" si="179"/>
        <v>88008989843</v>
      </c>
    </row>
    <row r="287" hidden="1">
      <c r="A287" s="2">
        <v>295</v>
      </c>
      <c r="B287" s="2" t="s">
        <v>465</v>
      </c>
      <c r="C287" s="2" t="s">
        <v>228</v>
      </c>
      <c r="D287" s="2" t="s">
        <v>47</v>
      </c>
      <c r="E287" s="2">
        <v>118</v>
      </c>
      <c r="F287" s="2" t="s">
        <v>30</v>
      </c>
      <c r="G287" s="2" t="s">
        <v>466</v>
      </c>
      <c r="H287" s="2">
        <v>26</v>
      </c>
      <c r="I287" s="3">
        <v>118</v>
      </c>
      <c r="J287" s="4">
        <v>1620000</v>
      </c>
      <c r="K287" s="5">
        <f t="shared" si="156"/>
        <v>119</v>
      </c>
      <c r="L287" s="9">
        <f t="shared" si="168"/>
        <v>2121552</v>
      </c>
      <c r="M287" s="3">
        <f t="shared" si="157"/>
        <v>120</v>
      </c>
      <c r="N287" s="10">
        <f t="shared" si="169"/>
        <v>3712716</v>
      </c>
      <c r="O287" s="5">
        <f t="shared" si="158"/>
        <v>122</v>
      </c>
      <c r="P287" s="9">
        <f t="shared" si="170"/>
        <v>7796704</v>
      </c>
      <c r="Q287" s="3">
        <f t="shared" si="159"/>
        <v>124</v>
      </c>
      <c r="R287" s="10">
        <f t="shared" si="171"/>
        <v>12150000</v>
      </c>
      <c r="S287" s="5">
        <f t="shared" si="160"/>
        <v>126</v>
      </c>
      <c r="T287" s="9">
        <f t="shared" si="172"/>
        <v>31744733</v>
      </c>
      <c r="U287" s="3">
        <f t="shared" si="161"/>
        <v>129</v>
      </c>
      <c r="V287" s="10">
        <f t="shared" si="173"/>
        <v>102078288</v>
      </c>
      <c r="W287" s="5">
        <f t="shared" si="162"/>
        <v>133</v>
      </c>
      <c r="X287" s="9">
        <f t="shared" si="174"/>
        <v>430808417</v>
      </c>
      <c r="Y287" s="3">
        <f t="shared" si="163"/>
        <v>135</v>
      </c>
      <c r="Z287" s="10">
        <f t="shared" si="175"/>
        <v>1033940200</v>
      </c>
      <c r="AA287" s="5">
        <f t="shared" si="164"/>
        <v>137</v>
      </c>
      <c r="AB287" s="9">
        <f t="shared" si="176"/>
        <v>2584850501</v>
      </c>
      <c r="AC287" s="3">
        <f t="shared" si="165"/>
        <v>139</v>
      </c>
      <c r="AD287" s="10">
        <f t="shared" si="177"/>
        <v>7237581402</v>
      </c>
      <c r="AE287" s="5">
        <f t="shared" si="166"/>
        <v>142</v>
      </c>
      <c r="AF287" s="9">
        <f t="shared" si="178"/>
        <v>23160260485</v>
      </c>
      <c r="AG287" s="3">
        <f t="shared" si="167"/>
        <v>145</v>
      </c>
      <c r="AH287" s="10">
        <f t="shared" si="179"/>
        <v>88008989843</v>
      </c>
    </row>
    <row r="288" hidden="1">
      <c r="A288" s="2">
        <v>317</v>
      </c>
      <c r="B288" s="2" t="s">
        <v>467</v>
      </c>
      <c r="C288" s="2" t="s">
        <v>228</v>
      </c>
      <c r="D288" s="2" t="s">
        <v>33</v>
      </c>
      <c r="E288" s="2">
        <v>118</v>
      </c>
      <c r="F288" s="2" t="s">
        <v>384</v>
      </c>
      <c r="G288" s="2" t="s">
        <v>452</v>
      </c>
      <c r="H288" s="2">
        <v>29</v>
      </c>
      <c r="I288" s="3">
        <v>118</v>
      </c>
      <c r="J288" s="4">
        <v>1620000</v>
      </c>
      <c r="K288" s="5">
        <f t="shared" si="156"/>
        <v>119</v>
      </c>
      <c r="L288" s="9">
        <f t="shared" si="168"/>
        <v>2121552</v>
      </c>
      <c r="M288" s="3">
        <f t="shared" si="157"/>
        <v>120</v>
      </c>
      <c r="N288" s="10">
        <f t="shared" si="169"/>
        <v>3712716</v>
      </c>
      <c r="O288" s="5">
        <f t="shared" si="158"/>
        <v>122</v>
      </c>
      <c r="P288" s="9">
        <f t="shared" si="170"/>
        <v>7796704</v>
      </c>
      <c r="Q288" s="3">
        <f t="shared" si="159"/>
        <v>124</v>
      </c>
      <c r="R288" s="10">
        <f t="shared" si="171"/>
        <v>12150000</v>
      </c>
      <c r="S288" s="5">
        <f t="shared" si="160"/>
        <v>126</v>
      </c>
      <c r="T288" s="9">
        <f t="shared" si="172"/>
        <v>31744733</v>
      </c>
      <c r="U288" s="3">
        <f t="shared" si="161"/>
        <v>129</v>
      </c>
      <c r="V288" s="10">
        <f t="shared" si="173"/>
        <v>102078288</v>
      </c>
      <c r="W288" s="5">
        <f t="shared" si="162"/>
        <v>133</v>
      </c>
      <c r="X288" s="9">
        <f t="shared" si="174"/>
        <v>430808417</v>
      </c>
      <c r="Y288" s="3">
        <f t="shared" si="163"/>
        <v>135</v>
      </c>
      <c r="Z288" s="10">
        <f t="shared" si="175"/>
        <v>1033940200</v>
      </c>
      <c r="AA288" s="5">
        <f t="shared" si="164"/>
        <v>137</v>
      </c>
      <c r="AB288" s="9">
        <f t="shared" si="176"/>
        <v>2584850501</v>
      </c>
      <c r="AC288" s="3">
        <f t="shared" si="165"/>
        <v>139</v>
      </c>
      <c r="AD288" s="10">
        <f t="shared" si="177"/>
        <v>7237581402</v>
      </c>
      <c r="AE288" s="5">
        <f t="shared" si="166"/>
        <v>142</v>
      </c>
      <c r="AF288" s="9">
        <f t="shared" si="178"/>
        <v>23160260485</v>
      </c>
      <c r="AG288" s="3">
        <f t="shared" si="167"/>
        <v>145</v>
      </c>
      <c r="AH288" s="10">
        <f t="shared" si="179"/>
        <v>88008989843</v>
      </c>
    </row>
    <row r="289" hidden="1">
      <c r="A289" s="2">
        <v>235</v>
      </c>
      <c r="B289" s="2" t="s">
        <v>251</v>
      </c>
      <c r="C289" s="2" t="s">
        <v>468</v>
      </c>
      <c r="D289" s="2" t="s">
        <v>64</v>
      </c>
      <c r="E289" s="2">
        <v>119</v>
      </c>
      <c r="F289" s="2" t="s">
        <v>59</v>
      </c>
      <c r="G289" s="2" t="s">
        <v>252</v>
      </c>
      <c r="H289" s="2">
        <v>32</v>
      </c>
      <c r="I289" s="3">
        <v>119</v>
      </c>
      <c r="J289" s="4">
        <v>12800000</v>
      </c>
      <c r="K289" s="5">
        <f t="shared" si="156"/>
        <v>120</v>
      </c>
      <c r="L289" s="9" t="n">
        <f t="shared" ref="L289:L305" si="180">ROUND($J289*1.637*1,0)</f>
        <v>20953600</v>
      </c>
      <c r="M289" s="3">
        <f t="shared" si="157"/>
        <v>121</v>
      </c>
      <c r="N289" s="10" t="n">
        <f t="shared" ref="N289:N305" si="181">ROUND($J289*1.637*1.75*1,0)</f>
        <v>36668800</v>
      </c>
      <c r="O289" s="5">
        <f t="shared" si="158"/>
        <v>123</v>
      </c>
      <c r="P289" s="9" t="n">
        <f t="shared" ref="P289:P305" si="182">ROUND($J289*1.637*1.75*2.1*1,0)</f>
        <v>77004480</v>
      </c>
      <c r="Q289" s="3">
        <f t="shared" si="159"/>
        <v>125</v>
      </c>
      <c r="R289" s="10" t="n">
        <f>ROUND($J289*1.637*1.75*2.1*2.3*1.25,0)</f>
        <v>221387880</v>
      </c>
      <c r="S289" s="5">
        <f t="shared" si="160"/>
        <v>127</v>
      </c>
      <c r="T289" s="9" t="n">
        <f>ROUND($J289*1.637*1.75*2.1*2.3*2.6*1.25,0)</f>
        <v>575608488</v>
      </c>
      <c r="U289" s="3">
        <f t="shared" si="161"/>
        <v>130</v>
      </c>
      <c r="V289" s="10" t="n">
        <f>ROUND($J289*1.637*1.75*2.1*2.3*2.6*3.2*1.25,0)</f>
        <v>1841947162</v>
      </c>
      <c r="W289" s="5">
        <f t="shared" si="162"/>
        <v>134</v>
      </c>
      <c r="X289" s="9" t="n">
        <f>ROUND($J289*1.637*1.75*2.1*2.3*2.6*3.2*4.2*1.25,0)</f>
        <v>7736178079</v>
      </c>
      <c r="Y289" s="3">
        <f t="shared" si="163"/>
        <v>136</v>
      </c>
      <c r="Z289" s="10" t="n">
        <f>ROUND($J289*1.637*1.75*2.1*2.3*2.6*3.2*4.2*2.4*1.25,0)</f>
        <v>18566827389</v>
      </c>
      <c r="AA289" s="5">
        <f t="shared" si="164"/>
        <v>138</v>
      </c>
      <c r="AB289" s="9" t="n">
        <f>ROUND($J289*1.637*1.75*2.1*2.3*2.6*3.2*4.2*2.4*2.5*1.25,0)</f>
        <v>46417068472</v>
      </c>
      <c r="AC289" s="3">
        <f t="shared" si="165"/>
        <v>140</v>
      </c>
      <c r="AD289" s="10" t="n">
        <f>ROUND($J289*1.637*1.75*2.1*2.3*2.6*3.2*4.2*2.4*2.5*2.8*1.25,0)</f>
        <v>129967791722</v>
      </c>
      <c r="AE289" s="5">
        <f t="shared" si="166"/>
        <v>143</v>
      </c>
      <c r="AF289" s="9" t="n">
        <f>ROUND($J289*1.637*1.75*2.1*2.3*2.6*3.2*4.2*2.4*2.5*2.8*3.2*1.25,0)</f>
        <v>415896933512</v>
      </c>
      <c r="AG289" s="3">
        <f t="shared" si="167"/>
        <v>146</v>
      </c>
      <c r="AH289" s="10" t="n">
        <f>ROUND($J289*1.637*1.75*2.1*2.3*2.6*3.2*4.2*2.4*2.5*2.8*3.2*3.8*1.25,0)</f>
        <v>1580408347346</v>
      </c>
    </row>
    <row r="290" hidden="1">
      <c r="A290" s="2">
        <v>234</v>
      </c>
      <c r="B290" s="2" t="s">
        <v>87</v>
      </c>
      <c r="C290" s="2" t="s">
        <v>468</v>
      </c>
      <c r="D290" s="2" t="s">
        <v>40</v>
      </c>
      <c r="E290" s="2">
        <v>118</v>
      </c>
      <c r="F290" s="2" t="s">
        <v>88</v>
      </c>
      <c r="G290" s="2" t="s">
        <v>51</v>
      </c>
      <c r="H290" s="2">
        <v>31</v>
      </c>
      <c r="I290" s="3">
        <v>118</v>
      </c>
      <c r="J290" s="4">
        <v>1010000</v>
      </c>
      <c r="K290" s="5">
        <f t="shared" si="156"/>
        <v>119</v>
      </c>
      <c r="L290" s="9">
        <f t="shared" si="180"/>
        <v>1653370</v>
      </c>
      <c r="M290" s="3">
        <f t="shared" si="157"/>
        <v>120</v>
      </c>
      <c r="N290" s="10">
        <f t="shared" si="181"/>
        <v>2893398</v>
      </c>
      <c r="O290" s="5">
        <f t="shared" si="158"/>
        <v>122</v>
      </c>
      <c r="P290" s="9">
        <f t="shared" si="182"/>
        <v>6076135</v>
      </c>
      <c r="Q290" s="3">
        <f t="shared" si="159"/>
        <v>124</v>
      </c>
      <c r="R290" s="10" t="n">
        <f>ROUND($J290*1.637*1.75*2.1*2.3*1.25,0)</f>
        <v>17468887</v>
      </c>
      <c r="S290" s="5">
        <f t="shared" si="160"/>
        <v>126</v>
      </c>
      <c r="T290" s="9" t="n">
        <f>ROUND($J290*1.637*1.75*2.1*2.3*2.6*1.25,0)</f>
        <v>45419107</v>
      </c>
      <c r="U290" s="3">
        <f t="shared" si="161"/>
        <v>129</v>
      </c>
      <c r="V290" s="10" t="n">
        <f>ROUND($J290*1.637*1.75*2.1*2.3*2.6*3.2*1.25,0)</f>
        <v>145341143</v>
      </c>
      <c r="W290" s="5">
        <f t="shared" si="162"/>
        <v>133</v>
      </c>
      <c r="X290" s="9" t="n">
        <f>ROUND($J290*1.637*1.75*2.1*2.3*2.6*3.2*4.2*1.25,0)</f>
        <v>610432802</v>
      </c>
      <c r="Y290" s="3">
        <f t="shared" si="163"/>
        <v>135</v>
      </c>
      <c r="Z290" s="10" t="n">
        <f>ROUND($J290*1.637*1.75*2.1*2.3*2.6*3.2*4.2*2.4*1.25,0)</f>
        <v>1465038724</v>
      </c>
      <c r="AA290" s="5">
        <f t="shared" si="164"/>
        <v>137</v>
      </c>
      <c r="AB290" s="9" t="n">
        <f>ROUND($J290*1.637*1.75*2.1*2.3*2.6*3.2*4.2*2.4*2.5*1.25,0)</f>
        <v>3662596809</v>
      </c>
      <c r="AC290" s="3">
        <f t="shared" si="165"/>
        <v>139</v>
      </c>
      <c r="AD290" s="10" t="n">
        <f>ROUND($J290*1.637*1.75*2.1*2.3*2.6*3.2*4.2*2.4*2.5*2.8*1.25,0)</f>
        <v>10255271066</v>
      </c>
      <c r="AE290" s="5">
        <f t="shared" si="166"/>
        <v>142</v>
      </c>
      <c r="AF290" s="9" t="n">
        <f>ROUND($J290*1.637*1.75*2.1*2.3*2.6*3.2*4.2*2.4*2.5*2.8*3.2*1.25,0)</f>
        <v>32816867410</v>
      </c>
      <c r="AG290" s="3">
        <f t="shared" si="167"/>
        <v>145</v>
      </c>
      <c r="AH290" s="10" t="n">
        <f>ROUND($J290*1.637*1.75*2.1*2.3*2.6*3.2*4.2*2.4*2.5*2.8*3.2*3.8*1.25,0)</f>
        <v>124704096158</v>
      </c>
    </row>
    <row r="291" hidden="1">
      <c r="A291" s="2">
        <v>232</v>
      </c>
      <c r="B291" s="2" t="s">
        <v>63</v>
      </c>
      <c r="C291" s="2" t="s">
        <v>468</v>
      </c>
      <c r="D291" s="2" t="s">
        <v>64</v>
      </c>
      <c r="E291" s="2">
        <v>118</v>
      </c>
      <c r="F291" s="2" t="s">
        <v>65</v>
      </c>
      <c r="G291" s="2" t="s">
        <v>57</v>
      </c>
      <c r="H291" s="2">
        <v>30</v>
      </c>
      <c r="I291" s="3">
        <v>118</v>
      </c>
      <c r="J291" s="4">
        <v>990000</v>
      </c>
      <c r="K291" s="5">
        <f t="shared" si="156"/>
        <v>119</v>
      </c>
      <c r="L291" s="9">
        <f t="shared" si="180"/>
        <v>1620630</v>
      </c>
      <c r="M291" s="3">
        <f t="shared" si="157"/>
        <v>120</v>
      </c>
      <c r="N291" s="10">
        <f t="shared" si="181"/>
        <v>2836103</v>
      </c>
      <c r="O291" s="5">
        <f t="shared" si="158"/>
        <v>122</v>
      </c>
      <c r="P291" s="9">
        <f t="shared" si="182"/>
        <v>5955815</v>
      </c>
      <c r="Q291" s="3">
        <f t="shared" si="159"/>
        <v>124</v>
      </c>
      <c r="R291" s="10" t="n">
        <f>ROUND($J291*1.637*1.75*2.1*2.3*1.25,0)</f>
        <v>17122969</v>
      </c>
      <c r="S291" s="5">
        <f t="shared" si="160"/>
        <v>126</v>
      </c>
      <c r="T291" s="9" t="n">
        <f>ROUND($J291*1.637*1.75*2.1*2.3*2.6*1.25,0)</f>
        <v>44519719</v>
      </c>
      <c r="U291" s="3">
        <f t="shared" si="161"/>
        <v>129</v>
      </c>
      <c r="V291" s="10" t="n">
        <f>ROUND($J291*1.637*1.75*2.1*2.3*2.6*3.2*1.25,0)</f>
        <v>142463101</v>
      </c>
      <c r="W291" s="5">
        <f t="shared" si="162"/>
        <v>133</v>
      </c>
      <c r="X291" s="9" t="n">
        <f>ROUND($J291*1.637*1.75*2.1*2.3*2.6*3.2*4.2*1.25,0)</f>
        <v>598345023</v>
      </c>
      <c r="Y291" s="3">
        <f t="shared" si="163"/>
        <v>135</v>
      </c>
      <c r="Z291" s="10" t="n">
        <f>ROUND($J291*1.637*1.75*2.1*2.3*2.6*3.2*4.2*2.4*1.25,0)</f>
        <v>1436028056</v>
      </c>
      <c r="AA291" s="5">
        <f t="shared" si="164"/>
        <v>137</v>
      </c>
      <c r="AB291" s="9" t="n">
        <f>ROUND($J291*1.637*1.75*2.1*2.3*2.6*3.2*4.2*2.4*2.5*1.25,0)</f>
        <v>3590070140</v>
      </c>
      <c r="AC291" s="3">
        <f t="shared" si="165"/>
        <v>139</v>
      </c>
      <c r="AD291" s="10" t="n">
        <f>ROUND($J291*1.637*1.75*2.1*2.3*2.6*3.2*4.2*2.4*2.5*2.8*1.25,0)</f>
        <v>10052196391</v>
      </c>
      <c r="AE291" s="5">
        <f t="shared" si="166"/>
        <v>142</v>
      </c>
      <c r="AF291" s="9" t="n">
        <f>ROUND($J291*1.637*1.75*2.1*2.3*2.6*3.2*4.2*2.4*2.5*2.8*3.2*1.25,0)</f>
        <v>32167028451</v>
      </c>
      <c r="AG291" s="3">
        <f t="shared" si="167"/>
        <v>145</v>
      </c>
      <c r="AH291" s="10" t="n">
        <f>ROUND($J291*1.637*1.75*2.1*2.3*2.6*3.2*4.2*2.4*2.5*2.8*3.2*3.8*1.25,0)</f>
        <v>122234708115</v>
      </c>
    </row>
    <row r="292" hidden="1">
      <c r="A292" s="2">
        <v>233</v>
      </c>
      <c r="B292" s="2" t="s">
        <v>110</v>
      </c>
      <c r="C292" s="2" t="s">
        <v>468</v>
      </c>
      <c r="D292" s="2" t="s">
        <v>64</v>
      </c>
      <c r="E292" s="2">
        <v>118</v>
      </c>
      <c r="F292" s="2" t="s">
        <v>59</v>
      </c>
      <c r="G292" s="2" t="s">
        <v>72</v>
      </c>
      <c r="H292" s="2">
        <v>31</v>
      </c>
      <c r="I292" s="3">
        <v>118</v>
      </c>
      <c r="J292" s="4">
        <v>1270000</v>
      </c>
      <c r="K292" s="5">
        <f t="shared" si="156"/>
        <v>119</v>
      </c>
      <c r="L292" s="9">
        <f t="shared" si="180"/>
        <v>2078990</v>
      </c>
      <c r="M292" s="3">
        <f t="shared" si="157"/>
        <v>120</v>
      </c>
      <c r="N292" s="10">
        <f t="shared" si="181"/>
        <v>3638233</v>
      </c>
      <c r="O292" s="5">
        <f t="shared" si="158"/>
        <v>122</v>
      </c>
      <c r="P292" s="9">
        <f t="shared" si="182"/>
        <v>7640288</v>
      </c>
      <c r="Q292" s="3">
        <f t="shared" si="159"/>
        <v>124</v>
      </c>
      <c r="R292" s="10" t="n">
        <f>ROUND($J292*1.637*1.75*2.1*2.3*1.25,0)</f>
        <v>21965829</v>
      </c>
      <c r="S292" s="5">
        <f t="shared" si="160"/>
        <v>126</v>
      </c>
      <c r="T292" s="9" t="n">
        <f>ROUND($J292*1.637*1.75*2.1*2.3*2.6*1.25,0)</f>
        <v>57111155</v>
      </c>
      <c r="U292" s="3">
        <f t="shared" si="161"/>
        <v>129</v>
      </c>
      <c r="V292" s="10" t="n">
        <f>ROUND($J292*1.637*1.75*2.1*2.3*2.6*3.2*1.25,0)</f>
        <v>182755695</v>
      </c>
      <c r="W292" s="5">
        <f t="shared" si="162"/>
        <v>133</v>
      </c>
      <c r="X292" s="9" t="n">
        <f>ROUND($J292*1.637*1.75*2.1*2.3*2.6*3.2*4.2*1.25,0)</f>
        <v>767573919</v>
      </c>
      <c r="Y292" s="3">
        <f t="shared" si="163"/>
        <v>135</v>
      </c>
      <c r="Z292" s="10" t="n">
        <f>ROUND($J292*1.637*1.75*2.1*2.3*2.6*3.2*4.2*2.4*1.25,0)</f>
        <v>1842177405</v>
      </c>
      <c r="AA292" s="5">
        <f t="shared" si="164"/>
        <v>137</v>
      </c>
      <c r="AB292" s="9" t="n">
        <f>ROUND($J292*1.637*1.75*2.1*2.3*2.6*3.2*4.2*2.4*2.5*1.25,0)</f>
        <v>4605443512</v>
      </c>
      <c r="AC292" s="3">
        <f t="shared" si="165"/>
        <v>139</v>
      </c>
      <c r="AD292" s="10" t="n">
        <f>ROUND($J292*1.637*1.75*2.1*2.3*2.6*3.2*4.2*2.4*2.5*2.8*1.25,0)</f>
        <v>12895241835</v>
      </c>
      <c r="AE292" s="5">
        <f t="shared" si="166"/>
        <v>142</v>
      </c>
      <c r="AF292" s="9" t="n">
        <f>ROUND($J292*1.637*1.75*2.1*2.3*2.6*3.2*4.2*2.4*2.5*2.8*3.2*1.25,0)</f>
        <v>41264773872</v>
      </c>
      <c r="AG292" s="3">
        <f t="shared" si="167"/>
        <v>145</v>
      </c>
      <c r="AH292" s="10" t="n">
        <f>ROUND($J292*1.637*1.75*2.1*2.3*2.6*3.2*4.2*2.4*2.5*2.8*3.2*3.8*1.25,0)</f>
        <v>156806140713</v>
      </c>
    </row>
    <row r="293" hidden="1">
      <c r="A293" s="2">
        <v>224</v>
      </c>
      <c r="B293" s="2" t="s">
        <v>469</v>
      </c>
      <c r="C293" s="2" t="s">
        <v>468</v>
      </c>
      <c r="D293" s="2" t="s">
        <v>64</v>
      </c>
      <c r="E293" s="2">
        <v>117</v>
      </c>
      <c r="F293" s="2" t="s">
        <v>56</v>
      </c>
      <c r="G293" s="2" t="s">
        <v>95</v>
      </c>
      <c r="H293" s="2">
        <v>29</v>
      </c>
      <c r="I293" s="3">
        <v>117</v>
      </c>
      <c r="J293" s="4">
        <v>943000</v>
      </c>
      <c r="K293" s="5">
        <f t="shared" si="156"/>
        <v>118</v>
      </c>
      <c r="L293" s="9">
        <f t="shared" si="180"/>
        <v>1543691</v>
      </c>
      <c r="M293" s="3">
        <f t="shared" si="157"/>
        <v>119</v>
      </c>
      <c r="N293" s="10">
        <f t="shared" si="181"/>
        <v>2701459</v>
      </c>
      <c r="O293" s="5">
        <f t="shared" si="158"/>
        <v>121</v>
      </c>
      <c r="P293" s="9">
        <f t="shared" si="182"/>
        <v>5673064</v>
      </c>
      <c r="Q293" s="3">
        <f t="shared" si="159"/>
        <v>123</v>
      </c>
      <c r="R293" s="10" t="n">
        <f>ROUND($J293*1.637*1.75*2.1*2.3*1,0)</f>
        <v>13048048</v>
      </c>
      <c r="S293" s="5">
        <f t="shared" si="160"/>
        <v>125</v>
      </c>
      <c r="T293" s="9" t="n">
        <f>ROUND($J293*1.637*1.75*2.1*2.3*2.6*1,0)</f>
        <v>33924925</v>
      </c>
      <c r="U293" s="3">
        <f t="shared" si="161"/>
        <v>128</v>
      </c>
      <c r="V293" s="10" t="n">
        <f>ROUND($J293*1.637*1.75*2.1*2.3*2.6*3.2*1,0)</f>
        <v>108559761</v>
      </c>
      <c r="W293" s="5">
        <f t="shared" si="162"/>
        <v>132</v>
      </c>
      <c r="X293" s="9" t="n">
        <f>ROUND($J293*1.637*1.75*2.1*2.3*2.6*3.2*4.2*1,0)</f>
        <v>455950996</v>
      </c>
      <c r="Y293" s="3">
        <f t="shared" si="163"/>
        <v>134</v>
      </c>
      <c r="Z293" s="10" t="n">
        <f>ROUND($J293*1.637*1.75*2.1*2.3*2.6*3.2*4.2*2.4*1,0)</f>
        <v>1094282389</v>
      </c>
      <c r="AA293" s="5">
        <f t="shared" si="164"/>
        <v>136</v>
      </c>
      <c r="AB293" s="9" t="n">
        <f>ROUND($J293*1.637*1.75*2.1*2.3*2.6*3.2*4.2*2.4*2.5*1,0)</f>
        <v>2735705973</v>
      </c>
      <c r="AC293" s="3">
        <f t="shared" si="165"/>
        <v>138</v>
      </c>
      <c r="AD293" s="10" t="n">
        <f>ROUND($J293*1.637*1.75*2.1*2.3*2.6*3.2*4.2*2.4*2.5*2.8*1,0)</f>
        <v>7659976725</v>
      </c>
      <c r="AE293" s="5">
        <f t="shared" si="166"/>
        <v>141</v>
      </c>
      <c r="AF293" s="9" t="n">
        <f>ROUND($J293*1.637*1.75*2.1*2.3*2.6*3.2*4.2*2.4*2.5*2.8*3.2*1,0)</f>
        <v>24511925519</v>
      </c>
      <c r="AG293" s="3">
        <f t="shared" si="167"/>
        <v>144</v>
      </c>
      <c r="AH293" s="10" t="n">
        <f>ROUND($J293*1.637*1.75*2.1*2.3*2.6*3.2*4.2*2.4*2.5*2.8*3.2*3.8*1,0)</f>
        <v>93145316972</v>
      </c>
    </row>
    <row r="294" hidden="1">
      <c r="A294" s="2">
        <v>221</v>
      </c>
      <c r="B294" s="2" t="s">
        <v>92</v>
      </c>
      <c r="C294" s="2" t="s">
        <v>468</v>
      </c>
      <c r="D294" s="2" t="s">
        <v>93</v>
      </c>
      <c r="E294" s="2">
        <v>117</v>
      </c>
      <c r="F294" s="2" t="s">
        <v>56</v>
      </c>
      <c r="G294" s="2" t="s">
        <v>57</v>
      </c>
      <c r="H294" s="2">
        <v>29</v>
      </c>
      <c r="I294" s="3">
        <v>117</v>
      </c>
      <c r="J294" s="4">
        <v>997000</v>
      </c>
      <c r="K294" s="5">
        <f t="shared" si="156"/>
        <v>118</v>
      </c>
      <c r="L294" s="9">
        <f t="shared" si="180"/>
        <v>1632089</v>
      </c>
      <c r="M294" s="3">
        <f t="shared" si="157"/>
        <v>119</v>
      </c>
      <c r="N294" s="10">
        <f t="shared" si="181"/>
        <v>2856156</v>
      </c>
      <c r="O294" s="5">
        <f t="shared" si="158"/>
        <v>121</v>
      </c>
      <c r="P294" s="9">
        <f t="shared" si="182"/>
        <v>5997927</v>
      </c>
      <c r="Q294" s="3">
        <f t="shared" si="159"/>
        <v>123</v>
      </c>
      <c r="R294" s="10" t="n">
        <f>ROUND($J294*1.637*1.75*2.1*2.3*1.25,0)</f>
        <v>17244040</v>
      </c>
      <c r="S294" s="5">
        <f t="shared" si="160"/>
        <v>125</v>
      </c>
      <c r="T294" s="9" t="n">
        <f>ROUND($J294*1.637*1.75*2.1*2.3*2.6*1.25,0)</f>
        <v>44834505</v>
      </c>
      <c r="U294" s="3">
        <f t="shared" si="161"/>
        <v>128</v>
      </c>
      <c r="V294" s="10" t="n">
        <f>ROUND($J294*1.637*1.75*2.1*2.3*2.6*3.2*1.25,0)</f>
        <v>143470416</v>
      </c>
      <c r="W294" s="5">
        <f t="shared" si="162"/>
        <v>132</v>
      </c>
      <c r="X294" s="9" t="n">
        <f>ROUND($J294*1.637*1.75*2.1*2.3*2.6*3.2*4.2*1.25,0)</f>
        <v>602575746</v>
      </c>
      <c r="Y294" s="3">
        <f t="shared" si="163"/>
        <v>134</v>
      </c>
      <c r="Z294" s="10" t="n">
        <f>ROUND($J294*1.637*1.75*2.1*2.3*2.6*3.2*4.2*2.4*1.25,0)</f>
        <v>1446181790</v>
      </c>
      <c r="AA294" s="5">
        <f t="shared" si="164"/>
        <v>136</v>
      </c>
      <c r="AB294" s="9" t="n">
        <f>ROUND($J294*1.637*1.75*2.1*2.3*2.6*3.2*4.2*2.4*2.5*1.25,0)</f>
        <v>3615454474</v>
      </c>
      <c r="AC294" s="3">
        <f t="shared" si="165"/>
        <v>138</v>
      </c>
      <c r="AD294" s="10" t="n">
        <f>ROUND($J294*1.637*1.75*2.1*2.3*2.6*3.2*4.2*2.4*2.5*2.8*1.25,0)</f>
        <v>10123272527</v>
      </c>
      <c r="AE294" s="5">
        <f t="shared" si="166"/>
        <v>141</v>
      </c>
      <c r="AF294" s="9" t="n">
        <f>ROUND($J294*1.637*1.75*2.1*2.3*2.6*3.2*4.2*2.4*2.5*2.8*3.2*1.25,0)</f>
        <v>32394472087</v>
      </c>
      <c r="AG294" s="3">
        <f t="shared" si="167"/>
        <v>144</v>
      </c>
      <c r="AH294" s="10" t="n">
        <f>ROUND($J294*1.637*1.75*2.1*2.3*2.6*3.2*4.2*2.4*2.5*2.8*3.2*3.8*1.25,0)</f>
        <v>123098993930</v>
      </c>
    </row>
    <row r="295" hidden="1">
      <c r="A295" s="2">
        <v>227</v>
      </c>
      <c r="B295" s="2" t="s">
        <v>470</v>
      </c>
      <c r="C295" s="2" t="s">
        <v>468</v>
      </c>
      <c r="D295" s="2" t="s">
        <v>40</v>
      </c>
      <c r="E295" s="2">
        <v>117</v>
      </c>
      <c r="F295" s="2" t="s">
        <v>258</v>
      </c>
      <c r="G295" s="2" t="s">
        <v>206</v>
      </c>
      <c r="H295" s="2">
        <v>30</v>
      </c>
      <c r="I295" s="3">
        <v>117</v>
      </c>
      <c r="J295" s="4">
        <v>966000</v>
      </c>
      <c r="K295" s="5">
        <f t="shared" si="156"/>
        <v>118</v>
      </c>
      <c r="L295" s="9">
        <f t="shared" si="180"/>
        <v>1581342</v>
      </c>
      <c r="M295" s="3">
        <f t="shared" si="157"/>
        <v>119</v>
      </c>
      <c r="N295" s="10">
        <f t="shared" si="181"/>
        <v>2767349</v>
      </c>
      <c r="O295" s="5">
        <f t="shared" si="158"/>
        <v>121</v>
      </c>
      <c r="P295" s="9">
        <f t="shared" si="182"/>
        <v>5811432</v>
      </c>
      <c r="Q295" s="3">
        <f t="shared" si="159"/>
        <v>123</v>
      </c>
      <c r="R295" s="10" t="n">
        <f>ROUND($J295*1.637*1.75*2.1*2.3*1.25,0)</f>
        <v>16707867</v>
      </c>
      <c r="S295" s="5">
        <f t="shared" si="160"/>
        <v>125</v>
      </c>
      <c r="T295" s="9" t="n">
        <f>ROUND($J295*1.637*1.75*2.1*2.3*2.6*1.25,0)</f>
        <v>43440453</v>
      </c>
      <c r="U295" s="3">
        <f t="shared" si="161"/>
        <v>128</v>
      </c>
      <c r="V295" s="10" t="n">
        <f>ROUND($J295*1.637*1.75*2.1*2.3*2.6*3.2*1.25,0)</f>
        <v>139009450</v>
      </c>
      <c r="W295" s="5">
        <f t="shared" si="162"/>
        <v>132</v>
      </c>
      <c r="X295" s="9" t="n">
        <f>ROUND($J295*1.637*1.75*2.1*2.3*2.6*3.2*4.2*1.25,0)</f>
        <v>583839689</v>
      </c>
      <c r="Y295" s="3">
        <f t="shared" si="163"/>
        <v>134</v>
      </c>
      <c r="Z295" s="10" t="n">
        <f>ROUND($J295*1.637*1.75*2.1*2.3*2.6*3.2*4.2*2.4*1.25,0)</f>
        <v>1401215255</v>
      </c>
      <c r="AA295" s="5">
        <f t="shared" si="164"/>
        <v>136</v>
      </c>
      <c r="AB295" s="9" t="n">
        <f>ROUND($J295*1.637*1.75*2.1*2.3*2.6*3.2*4.2*2.4*2.5*1.25,0)</f>
        <v>3503038136</v>
      </c>
      <c r="AC295" s="3">
        <f t="shared" si="165"/>
        <v>138</v>
      </c>
      <c r="AD295" s="10" t="n">
        <f>ROUND($J295*1.637*1.75*2.1*2.3*2.6*3.2*4.2*2.4*2.5*2.8*1.25,0)</f>
        <v>9808506782</v>
      </c>
      <c r="AE295" s="5">
        <f t="shared" si="166"/>
        <v>141</v>
      </c>
      <c r="AF295" s="9" t="n">
        <f>ROUND($J295*1.637*1.75*2.1*2.3*2.6*3.2*4.2*2.4*2.5*2.8*3.2*1.25,0)</f>
        <v>31387221701</v>
      </c>
      <c r="AG295" s="3">
        <f t="shared" si="167"/>
        <v>144</v>
      </c>
      <c r="AH295" s="10" t="n">
        <f>ROUND($J295*1.637*1.75*2.1*2.3*2.6*3.2*4.2*2.4*2.5*2.8*3.2*3.8*1.25,0)</f>
        <v>119271442464</v>
      </c>
    </row>
    <row r="296" hidden="1">
      <c r="A296" s="2">
        <v>230</v>
      </c>
      <c r="B296" s="2" t="s">
        <v>471</v>
      </c>
      <c r="C296" s="2" t="s">
        <v>468</v>
      </c>
      <c r="D296" s="2" t="s">
        <v>29</v>
      </c>
      <c r="E296" s="2">
        <v>117</v>
      </c>
      <c r="F296" s="2" t="s">
        <v>71</v>
      </c>
      <c r="G296" s="2" t="s">
        <v>38</v>
      </c>
      <c r="H296" s="2">
        <v>30</v>
      </c>
      <c r="I296" s="3">
        <v>117</v>
      </c>
      <c r="J296" s="4">
        <v>964000</v>
      </c>
      <c r="K296" s="5">
        <f t="shared" si="156"/>
        <v>118</v>
      </c>
      <c r="L296" s="9">
        <f t="shared" si="180"/>
        <v>1578068</v>
      </c>
      <c r="M296" s="3">
        <f t="shared" si="157"/>
        <v>119</v>
      </c>
      <c r="N296" s="10">
        <f t="shared" si="181"/>
        <v>2761619</v>
      </c>
      <c r="O296" s="5">
        <f t="shared" si="158"/>
        <v>121</v>
      </c>
      <c r="P296" s="9">
        <f t="shared" si="182"/>
        <v>5799400</v>
      </c>
      <c r="Q296" s="3">
        <f t="shared" si="159"/>
        <v>123</v>
      </c>
      <c r="R296" s="10" t="n">
        <f>ROUND($J296*1.637*1.75*2.1*2.3*1,0)</f>
        <v>13338620</v>
      </c>
      <c r="S296" s="5">
        <f t="shared" si="160"/>
        <v>125</v>
      </c>
      <c r="T296" s="9" t="n">
        <f>ROUND($J296*1.637*1.75*2.1*2.3*2.6*1,0)</f>
        <v>34680411</v>
      </c>
      <c r="U296" s="3">
        <f t="shared" si="161"/>
        <v>128</v>
      </c>
      <c r="V296" s="10" t="n">
        <f>ROUND($J296*1.637*1.75*2.1*2.3*2.6*3.2*1,0)</f>
        <v>110977316</v>
      </c>
      <c r="W296" s="5">
        <f t="shared" si="162"/>
        <v>132</v>
      </c>
      <c r="X296" s="9" t="n">
        <f>ROUND($J296*1.637*1.75*2.1*2.3*2.6*3.2*4.2*1,0)</f>
        <v>466104729</v>
      </c>
      <c r="Y296" s="3">
        <f t="shared" si="163"/>
        <v>134</v>
      </c>
      <c r="Z296" s="10" t="n">
        <f>ROUND($J296*1.637*1.75*2.1*2.3*2.6*3.2*4.2*2.4*1,0)</f>
        <v>1118651350</v>
      </c>
      <c r="AA296" s="5">
        <f t="shared" si="164"/>
        <v>136</v>
      </c>
      <c r="AB296" s="9" t="n">
        <f>ROUND($J296*1.637*1.75*2.1*2.3*2.6*3.2*4.2*2.4*2.5*1,0)</f>
        <v>2796628375</v>
      </c>
      <c r="AC296" s="3">
        <f t="shared" si="165"/>
        <v>138</v>
      </c>
      <c r="AD296" s="10" t="n">
        <f>ROUND($J296*1.637*1.75*2.1*2.3*2.6*3.2*4.2*2.4*2.5*2.8*1,0)</f>
        <v>7830559451</v>
      </c>
      <c r="AE296" s="5">
        <f t="shared" si="166"/>
        <v>141</v>
      </c>
      <c r="AF296" s="9" t="n">
        <f>ROUND($J296*1.637*1.75*2.1*2.3*2.6*3.2*4.2*2.4*2.5*2.8*3.2*1,0)</f>
        <v>25057790244</v>
      </c>
      <c r="AG296" s="3">
        <f t="shared" si="167"/>
        <v>144</v>
      </c>
      <c r="AH296" s="10" t="n">
        <f>ROUND($J296*1.637*1.75*2.1*2.3*2.6*3.2*4.2*2.4*2.5*2.8*3.2*3.8*1,0)</f>
        <v>95219602928</v>
      </c>
    </row>
    <row r="297" hidden="1">
      <c r="A297" s="2">
        <v>229</v>
      </c>
      <c r="B297" s="2" t="s">
        <v>99</v>
      </c>
      <c r="C297" s="2" t="s">
        <v>468</v>
      </c>
      <c r="D297" s="2" t="s">
        <v>29</v>
      </c>
      <c r="E297" s="2">
        <v>117</v>
      </c>
      <c r="F297" s="2" t="s">
        <v>54</v>
      </c>
      <c r="G297" s="2" t="s">
        <v>57</v>
      </c>
      <c r="H297" s="2">
        <v>30</v>
      </c>
      <c r="I297" s="3">
        <v>117</v>
      </c>
      <c r="J297" s="4">
        <v>752000</v>
      </c>
      <c r="K297" s="5">
        <f t="shared" si="156"/>
        <v>118</v>
      </c>
      <c r="L297" s="9">
        <f t="shared" si="180"/>
        <v>1231024</v>
      </c>
      <c r="M297" s="3">
        <f t="shared" si="157"/>
        <v>119</v>
      </c>
      <c r="N297" s="10">
        <f t="shared" si="181"/>
        <v>2154292</v>
      </c>
      <c r="O297" s="5">
        <f t="shared" si="158"/>
        <v>121</v>
      </c>
      <c r="P297" s="9">
        <f t="shared" si="182"/>
        <v>4524013</v>
      </c>
      <c r="Q297" s="3">
        <f t="shared" si="159"/>
        <v>123</v>
      </c>
      <c r="R297" s="10" t="n">
        <f>ROUND($J297*1.637*1.75*2.1*2.3*1.25,0)</f>
        <v>13006538</v>
      </c>
      <c r="S297" s="5">
        <f t="shared" si="160"/>
        <v>125</v>
      </c>
      <c r="T297" s="9" t="n">
        <f>ROUND($J297*1.637*1.75*2.1*2.3*2.6*1.25,0)</f>
        <v>33816999</v>
      </c>
      <c r="U297" s="3">
        <f t="shared" si="161"/>
        <v>128</v>
      </c>
      <c r="V297" s="10" t="n">
        <f>ROUND($J297*1.637*1.75*2.1*2.3*2.6*3.2*1.25,0)</f>
        <v>108214396</v>
      </c>
      <c r="W297" s="5">
        <f t="shared" si="162"/>
        <v>132</v>
      </c>
      <c r="X297" s="9" t="n">
        <f>ROUND($J297*1.637*1.75*2.1*2.3*2.6*3.2*4.2*1.25,0)</f>
        <v>454500462</v>
      </c>
      <c r="Y297" s="3">
        <f t="shared" si="163"/>
        <v>134</v>
      </c>
      <c r="Z297" s="10" t="n">
        <f>ROUND($J297*1.637*1.75*2.1*2.3*2.6*3.2*4.2*2.4*1.25,0)</f>
        <v>1090801109</v>
      </c>
      <c r="AA297" s="5">
        <f t="shared" si="164"/>
        <v>136</v>
      </c>
      <c r="AB297" s="9" t="n">
        <f>ROUND($J297*1.637*1.75*2.1*2.3*2.6*3.2*4.2*2.4*2.5*1.25,0)</f>
        <v>2727002773</v>
      </c>
      <c r="AC297" s="3">
        <f t="shared" si="165"/>
        <v>138</v>
      </c>
      <c r="AD297" s="10" t="n">
        <f>ROUND($J297*1.637*1.75*2.1*2.3*2.6*3.2*4.2*2.4*2.5*2.8*1.25,0)</f>
        <v>7635607764</v>
      </c>
      <c r="AE297" s="5">
        <f t="shared" si="166"/>
        <v>141</v>
      </c>
      <c r="AF297" s="9" t="n">
        <f>ROUND($J297*1.637*1.75*2.1*2.3*2.6*3.2*4.2*2.4*2.5*2.8*3.2*1.25,0)</f>
        <v>24433944844</v>
      </c>
      <c r="AG297" s="3">
        <f t="shared" si="167"/>
        <v>144</v>
      </c>
      <c r="AH297" s="10" t="n">
        <f>ROUND($J297*1.637*1.75*2.1*2.3*2.6*3.2*4.2*2.4*2.5*2.8*3.2*3.8*1.25,0)</f>
        <v>92848990407</v>
      </c>
    </row>
    <row r="298" hidden="1">
      <c r="A298" s="2">
        <v>228</v>
      </c>
      <c r="B298" s="2" t="s">
        <v>161</v>
      </c>
      <c r="C298" s="2" t="s">
        <v>468</v>
      </c>
      <c r="D298" s="2" t="s">
        <v>79</v>
      </c>
      <c r="E298" s="2">
        <v>117</v>
      </c>
      <c r="F298" s="2" t="s">
        <v>54</v>
      </c>
      <c r="G298" s="2" t="s">
        <v>35</v>
      </c>
      <c r="H298" s="2">
        <v>30</v>
      </c>
      <c r="I298" s="3">
        <v>117</v>
      </c>
      <c r="J298" s="4">
        <v>971000</v>
      </c>
      <c r="K298" s="5">
        <f t="shared" si="156"/>
        <v>118</v>
      </c>
      <c r="L298" s="9">
        <f t="shared" si="180"/>
        <v>1589527</v>
      </c>
      <c r="M298" s="3">
        <f t="shared" si="157"/>
        <v>119</v>
      </c>
      <c r="N298" s="10">
        <f t="shared" si="181"/>
        <v>2781672</v>
      </c>
      <c r="O298" s="5">
        <f t="shared" si="158"/>
        <v>121</v>
      </c>
      <c r="P298" s="9">
        <f t="shared" si="182"/>
        <v>5841512</v>
      </c>
      <c r="Q298" s="3">
        <f t="shared" si="159"/>
        <v>123</v>
      </c>
      <c r="R298" s="10" t="n">
        <f>ROUND($J298*1.637*1.75*2.1*2.3*1,0)</f>
        <v>13435477</v>
      </c>
      <c r="S298" s="5">
        <f t="shared" si="160"/>
        <v>125</v>
      </c>
      <c r="T298" s="9" t="n">
        <f>ROUND($J298*1.637*1.75*2.1*2.3*2.6*1,0)</f>
        <v>34932240</v>
      </c>
      <c r="U298" s="3">
        <f t="shared" si="161"/>
        <v>128</v>
      </c>
      <c r="V298" s="10" t="n">
        <f>ROUND($J298*1.637*1.75*2.1*2.3*2.6*3.2*1,0)</f>
        <v>111783168</v>
      </c>
      <c r="W298" s="5">
        <f t="shared" si="162"/>
        <v>132</v>
      </c>
      <c r="X298" s="9" t="n">
        <f>ROUND($J298*1.637*1.75*2.1*2.3*2.6*3.2*4.2*1,0)</f>
        <v>469489307</v>
      </c>
      <c r="Y298" s="3">
        <f t="shared" si="163"/>
        <v>134</v>
      </c>
      <c r="Z298" s="10" t="n">
        <f>ROUND($J298*1.637*1.75*2.1*2.3*2.6*3.2*4.2*2.4*1,0)</f>
        <v>1126774337</v>
      </c>
      <c r="AA298" s="5">
        <f t="shared" si="164"/>
        <v>136</v>
      </c>
      <c r="AB298" s="9" t="n">
        <f>ROUND($J298*1.637*1.75*2.1*2.3*2.6*3.2*4.2*2.4*2.5*1,0)</f>
        <v>2816935843</v>
      </c>
      <c r="AC298" s="3">
        <f t="shared" si="165"/>
        <v>138</v>
      </c>
      <c r="AD298" s="10" t="n">
        <f>ROUND($J298*1.637*1.75*2.1*2.3*2.6*3.2*4.2*2.4*2.5*2.8*1,0)</f>
        <v>7887420360</v>
      </c>
      <c r="AE298" s="5">
        <f t="shared" si="166"/>
        <v>141</v>
      </c>
      <c r="AF298" s="9" t="n">
        <f>ROUND($J298*1.637*1.75*2.1*2.3*2.6*3.2*4.2*2.4*2.5*2.8*3.2*1,0)</f>
        <v>25239745153</v>
      </c>
      <c r="AG298" s="3">
        <f t="shared" si="167"/>
        <v>144</v>
      </c>
      <c r="AH298" s="10" t="n">
        <f>ROUND($J298*1.637*1.75*2.1*2.3*2.6*3.2*4.2*2.4*2.5*2.8*3.2*3.8*1,0)</f>
        <v>95911031580</v>
      </c>
    </row>
    <row r="299" hidden="1">
      <c r="A299" s="2">
        <v>231</v>
      </c>
      <c r="B299" s="2" t="s">
        <v>347</v>
      </c>
      <c r="C299" s="2" t="s">
        <v>468</v>
      </c>
      <c r="D299" s="2" t="s">
        <v>79</v>
      </c>
      <c r="E299" s="2">
        <v>117</v>
      </c>
      <c r="F299" s="2" t="s">
        <v>123</v>
      </c>
      <c r="G299" s="2" t="s">
        <v>472</v>
      </c>
      <c r="H299" s="2">
        <v>30</v>
      </c>
      <c r="I299" s="3">
        <v>117</v>
      </c>
      <c r="J299" s="4">
        <v>797000</v>
      </c>
      <c r="K299" s="5">
        <f t="shared" si="156"/>
        <v>118</v>
      </c>
      <c r="L299" s="9">
        <f t="shared" si="180"/>
        <v>1304689</v>
      </c>
      <c r="M299" s="3">
        <f t="shared" si="157"/>
        <v>119</v>
      </c>
      <c r="N299" s="10">
        <f t="shared" si="181"/>
        <v>2283206</v>
      </c>
      <c r="O299" s="5">
        <f t="shared" si="158"/>
        <v>121</v>
      </c>
      <c r="P299" s="9">
        <f t="shared" si="182"/>
        <v>4794732</v>
      </c>
      <c r="Q299" s="3">
        <f t="shared" si="159"/>
        <v>123</v>
      </c>
      <c r="R299" s="10" t="n">
        <f>ROUND($J299*1.637*1.75*2.1*2.3*1.25,0)</f>
        <v>13784855</v>
      </c>
      <c r="S299" s="5">
        <f t="shared" si="160"/>
        <v>125</v>
      </c>
      <c r="T299" s="9" t="n">
        <f>ROUND($J299*1.637*1.75*2.1*2.3*2.6*1.25,0)</f>
        <v>35840622</v>
      </c>
      <c r="U299" s="3">
        <f t="shared" si="161"/>
        <v>128</v>
      </c>
      <c r="V299" s="10" t="n">
        <f>ROUND($J299*1.637*1.75*2.1*2.3*2.6*3.2*1.25,0)</f>
        <v>114689991</v>
      </c>
      <c r="W299" s="5">
        <f t="shared" si="162"/>
        <v>132</v>
      </c>
      <c r="X299" s="9" t="n">
        <f>ROUND($J299*1.637*1.75*2.1*2.3*2.6*3.2*4.2*1.25,0)</f>
        <v>481697963</v>
      </c>
      <c r="Y299" s="3">
        <f t="shared" si="163"/>
        <v>134</v>
      </c>
      <c r="Z299" s="10" t="n">
        <f>ROUND($J299*1.637*1.75*2.1*2.3*2.6*3.2*4.2*2.4*1.25,0)</f>
        <v>1156075112</v>
      </c>
      <c r="AA299" s="5">
        <f t="shared" si="164"/>
        <v>136</v>
      </c>
      <c r="AB299" s="9" t="n">
        <f>ROUND($J299*1.637*1.75*2.1*2.3*2.6*3.2*4.2*2.4*2.5*1.25,0)</f>
        <v>2890187779</v>
      </c>
      <c r="AC299" s="3">
        <f t="shared" si="165"/>
        <v>138</v>
      </c>
      <c r="AD299" s="10" t="n">
        <f>ROUND($J299*1.637*1.75*2.1*2.3*2.6*3.2*4.2*2.4*2.5*2.8*1.25,0)</f>
        <v>8092525781</v>
      </c>
      <c r="AE299" s="5">
        <f t="shared" si="166"/>
        <v>141</v>
      </c>
      <c r="AF299" s="9" t="n">
        <f>ROUND($J299*1.637*1.75*2.1*2.3*2.6*3.2*4.2*2.4*2.5*2.8*3.2*1.25,0)</f>
        <v>25896082501</v>
      </c>
      <c r="AG299" s="3">
        <f t="shared" si="167"/>
        <v>144</v>
      </c>
      <c r="AH299" s="10" t="n">
        <f>ROUND($J299*1.637*1.75*2.1*2.3*2.6*3.2*4.2*2.4*2.5*2.8*3.2*3.8*1.25,0)</f>
        <v>98405113503</v>
      </c>
    </row>
    <row r="300" hidden="1">
      <c r="A300" s="2">
        <v>212</v>
      </c>
      <c r="B300" s="2" t="s">
        <v>73</v>
      </c>
      <c r="C300" s="2" t="s">
        <v>468</v>
      </c>
      <c r="D300" s="2" t="s">
        <v>64</v>
      </c>
      <c r="E300" s="2">
        <v>117</v>
      </c>
      <c r="F300" s="2" t="s">
        <v>30</v>
      </c>
      <c r="G300" s="2" t="s">
        <v>69</v>
      </c>
      <c r="H300" s="2">
        <v>30</v>
      </c>
      <c r="I300" s="3">
        <v>117</v>
      </c>
      <c r="J300" s="4">
        <v>992000</v>
      </c>
      <c r="K300" s="5">
        <f t="shared" si="156"/>
        <v>118</v>
      </c>
      <c r="L300" s="9">
        <f t="shared" si="180"/>
        <v>1623904</v>
      </c>
      <c r="M300" s="3">
        <f t="shared" si="157"/>
        <v>119</v>
      </c>
      <c r="N300" s="10">
        <f t="shared" si="181"/>
        <v>2841832</v>
      </c>
      <c r="O300" s="5">
        <f t="shared" si="158"/>
        <v>121</v>
      </c>
      <c r="P300" s="9">
        <f t="shared" si="182"/>
        <v>5967847</v>
      </c>
      <c r="Q300" s="3">
        <f t="shared" si="159"/>
        <v>123</v>
      </c>
      <c r="R300" s="10" t="n">
        <f>ROUND($J300*1.637*1.75*2.1*2.3*1.25,0)</f>
        <v>17157561</v>
      </c>
      <c r="S300" s="5">
        <f t="shared" si="160"/>
        <v>125</v>
      </c>
      <c r="T300" s="9" t="n">
        <f>ROUND($J300*1.637*1.75*2.1*2.3*2.6*1.25,0)</f>
        <v>44609658</v>
      </c>
      <c r="U300" s="3">
        <f t="shared" si="161"/>
        <v>128</v>
      </c>
      <c r="V300" s="10" t="n">
        <f>ROUND($J300*1.637*1.75*2.1*2.3*2.6*3.2*1.25,0)</f>
        <v>142750905</v>
      </c>
      <c r="W300" s="5">
        <f t="shared" si="162"/>
        <v>132</v>
      </c>
      <c r="X300" s="9" t="n">
        <f>ROUND($J300*1.637*1.75*2.1*2.3*2.6*3.2*4.2*1.25,0)</f>
        <v>599553801</v>
      </c>
      <c r="Y300" s="3">
        <f t="shared" si="163"/>
        <v>134</v>
      </c>
      <c r="Z300" s="10" t="n">
        <f>ROUND($J300*1.637*1.75*2.1*2.3*2.6*3.2*4.2*2.4*1.25,0)</f>
        <v>1438929123</v>
      </c>
      <c r="AA300" s="5">
        <f t="shared" si="164"/>
        <v>136</v>
      </c>
      <c r="AB300" s="9" t="n">
        <f>ROUND($J300*1.637*1.75*2.1*2.3*2.6*3.2*4.2*2.4*2.5*1.25,0)</f>
        <v>3597322807</v>
      </c>
      <c r="AC300" s="3">
        <f t="shared" si="165"/>
        <v>138</v>
      </c>
      <c r="AD300" s="10" t="n">
        <f>ROUND($J300*1.637*1.75*2.1*2.3*2.6*3.2*4.2*2.4*2.5*2.8*1.25,0)</f>
        <v>10072503858</v>
      </c>
      <c r="AE300" s="5">
        <f t="shared" si="166"/>
        <v>141</v>
      </c>
      <c r="AF300" s="9" t="n">
        <f>ROUND($J300*1.637*1.75*2.1*2.3*2.6*3.2*4.2*2.4*2.5*2.8*3.2*1.25,0)</f>
        <v>32232012347</v>
      </c>
      <c r="AG300" s="3">
        <f t="shared" si="167"/>
        <v>144</v>
      </c>
      <c r="AH300" s="10" t="n">
        <f>ROUND($J300*1.637*1.75*2.1*2.3*2.6*3.2*4.2*2.4*2.5*2.8*3.2*3.8*1.25,0)</f>
        <v>122481646919</v>
      </c>
    </row>
    <row r="301" hidden="1">
      <c r="A301" s="2">
        <v>225</v>
      </c>
      <c r="B301" s="2" t="s">
        <v>135</v>
      </c>
      <c r="C301" s="2" t="s">
        <v>468</v>
      </c>
      <c r="D301" s="2" t="s">
        <v>29</v>
      </c>
      <c r="E301" s="2">
        <v>117</v>
      </c>
      <c r="F301" s="2" t="s">
        <v>136</v>
      </c>
      <c r="G301" s="2" t="s">
        <v>133</v>
      </c>
      <c r="H301" s="2">
        <v>29</v>
      </c>
      <c r="I301" s="3">
        <v>117</v>
      </c>
      <c r="J301" s="4">
        <v>990000</v>
      </c>
      <c r="K301" s="5">
        <f t="shared" si="156"/>
        <v>118</v>
      </c>
      <c r="L301" s="9">
        <f t="shared" si="180"/>
        <v>1620630</v>
      </c>
      <c r="M301" s="3">
        <f t="shared" si="157"/>
        <v>119</v>
      </c>
      <c r="N301" s="10">
        <f t="shared" si="181"/>
        <v>2836103</v>
      </c>
      <c r="O301" s="5">
        <f t="shared" si="158"/>
        <v>121</v>
      </c>
      <c r="P301" s="9">
        <f t="shared" si="182"/>
        <v>5955815</v>
      </c>
      <c r="Q301" s="3">
        <f t="shared" si="159"/>
        <v>123</v>
      </c>
      <c r="R301" s="10" t="n">
        <f>ROUND($J301*1.637*1.75*2.1*2.3*1,0)</f>
        <v>13698375</v>
      </c>
      <c r="S301" s="5">
        <f t="shared" si="160"/>
        <v>125</v>
      </c>
      <c r="T301" s="9" t="n">
        <f>ROUND($J301*1.637*1.75*2.1*2.3*2.6*1,0)</f>
        <v>35615775</v>
      </c>
      <c r="U301" s="3">
        <f t="shared" si="161"/>
        <v>128</v>
      </c>
      <c r="V301" s="10" t="n">
        <f>ROUND($J301*1.637*1.75*2.1*2.3*2.6*3.2*1,0)</f>
        <v>113970481</v>
      </c>
      <c r="W301" s="5">
        <f t="shared" si="162"/>
        <v>132</v>
      </c>
      <c r="X301" s="9" t="n">
        <f>ROUND($J301*1.637*1.75*2.1*2.3*2.6*3.2*4.2*1,0)</f>
        <v>478676019</v>
      </c>
      <c r="Y301" s="3">
        <f t="shared" si="163"/>
        <v>134</v>
      </c>
      <c r="Z301" s="10" t="n">
        <f>ROUND($J301*1.637*1.75*2.1*2.3*2.6*3.2*4.2*2.4*1,0)</f>
        <v>1148822445</v>
      </c>
      <c r="AA301" s="5">
        <f t="shared" si="164"/>
        <v>136</v>
      </c>
      <c r="AB301" s="9" t="n">
        <f>ROUND($J301*1.637*1.75*2.1*2.3*2.6*3.2*4.2*2.4*2.5*1,0)</f>
        <v>2872056112</v>
      </c>
      <c r="AC301" s="3">
        <f t="shared" si="165"/>
        <v>138</v>
      </c>
      <c r="AD301" s="10" t="n">
        <f>ROUND($J301*1.637*1.75*2.1*2.3*2.6*3.2*4.2*2.4*2.5*2.8*1,0)</f>
        <v>8041757113</v>
      </c>
      <c r="AE301" s="5">
        <f t="shared" si="166"/>
        <v>141</v>
      </c>
      <c r="AF301" s="9" t="n">
        <f>ROUND($J301*1.637*1.75*2.1*2.3*2.6*3.2*4.2*2.4*2.5*2.8*3.2*1,0)</f>
        <v>25733622761</v>
      </c>
      <c r="AG301" s="3">
        <f t="shared" si="167"/>
        <v>144</v>
      </c>
      <c r="AH301" s="10" t="n">
        <f>ROUND($J301*1.637*1.75*2.1*2.3*2.6*3.2*4.2*2.4*2.5*2.8*3.2*3.8*1,0)</f>
        <v>97787766492</v>
      </c>
    </row>
    <row r="302" hidden="1">
      <c r="A302" s="2">
        <v>220</v>
      </c>
      <c r="B302" s="2" t="s">
        <v>473</v>
      </c>
      <c r="C302" s="2" t="s">
        <v>468</v>
      </c>
      <c r="D302" s="2" t="s">
        <v>102</v>
      </c>
      <c r="E302" s="2">
        <v>117</v>
      </c>
      <c r="F302" s="2" t="s">
        <v>54</v>
      </c>
      <c r="G302" s="2" t="s">
        <v>474</v>
      </c>
      <c r="H302" s="2">
        <v>28</v>
      </c>
      <c r="I302" s="3">
        <v>117</v>
      </c>
      <c r="J302" s="4">
        <v>1005000</v>
      </c>
      <c r="K302" s="5">
        <f t="shared" si="156"/>
        <v>118</v>
      </c>
      <c r="L302" s="9">
        <f t="shared" si="180"/>
        <v>1645185</v>
      </c>
      <c r="M302" s="3">
        <f t="shared" si="157"/>
        <v>119</v>
      </c>
      <c r="N302" s="10">
        <f t="shared" si="181"/>
        <v>2879074</v>
      </c>
      <c r="O302" s="5">
        <f t="shared" si="158"/>
        <v>121</v>
      </c>
      <c r="P302" s="9">
        <f t="shared" si="182"/>
        <v>6046055</v>
      </c>
      <c r="Q302" s="3">
        <f t="shared" si="159"/>
        <v>123</v>
      </c>
      <c r="R302" s="10" t="n">
        <f>ROUND($J302*1.637*1.75*2.1*2.3*1,0)</f>
        <v>13905926</v>
      </c>
      <c r="S302" s="5">
        <f t="shared" si="160"/>
        <v>125</v>
      </c>
      <c r="T302" s="9" t="n">
        <f>ROUND($J302*1.637*1.75*2.1*2.3*2.6*1,0)</f>
        <v>36155408</v>
      </c>
      <c r="U302" s="3">
        <f t="shared" si="161"/>
        <v>128</v>
      </c>
      <c r="V302" s="10" t="n">
        <f>ROUND($J302*1.637*1.75*2.1*2.3*2.6*3.2*1,0)</f>
        <v>115697306</v>
      </c>
      <c r="W302" s="5">
        <f t="shared" si="162"/>
        <v>132</v>
      </c>
      <c r="X302" s="9" t="n">
        <f>ROUND($J302*1.637*1.75*2.1*2.3*2.6*3.2*4.2*1,0)</f>
        <v>485928686</v>
      </c>
      <c r="Y302" s="3">
        <f t="shared" si="163"/>
        <v>134</v>
      </c>
      <c r="Z302" s="10" t="n">
        <f>ROUND($J302*1.637*1.75*2.1*2.3*2.6*3.2*4.2*2.4*1,0)</f>
        <v>1166228845</v>
      </c>
      <c r="AA302" s="5">
        <f t="shared" si="164"/>
        <v>136</v>
      </c>
      <c r="AB302" s="9" t="n">
        <f>ROUND($J302*1.637*1.75*2.1*2.3*2.6*3.2*4.2*2.4*2.5*1,0)</f>
        <v>2915572113</v>
      </c>
      <c r="AC302" s="3">
        <f t="shared" si="165"/>
        <v>138</v>
      </c>
      <c r="AD302" s="10" t="n">
        <f>ROUND($J302*1.637*1.75*2.1*2.3*2.6*3.2*4.2*2.4*2.5*2.8*1,0)</f>
        <v>8163601918</v>
      </c>
      <c r="AE302" s="5">
        <f t="shared" si="166"/>
        <v>141</v>
      </c>
      <c r="AF302" s="9" t="n">
        <f>ROUND($J302*1.637*1.75*2.1*2.3*2.6*3.2*4.2*2.4*2.5*2.8*3.2*1,0)</f>
        <v>26123526136</v>
      </c>
      <c r="AG302" s="3">
        <f t="shared" si="167"/>
        <v>144</v>
      </c>
      <c r="AH302" s="10" t="n">
        <f>ROUND($J302*1.637*1.75*2.1*2.3*2.6*3.2*4.2*2.4*2.5*2.8*3.2*3.8*1,0)</f>
        <v>99269399318</v>
      </c>
    </row>
    <row r="303" hidden="1">
      <c r="A303" s="2">
        <v>222</v>
      </c>
      <c r="B303" s="2" t="s">
        <v>475</v>
      </c>
      <c r="C303" s="2" t="s">
        <v>468</v>
      </c>
      <c r="D303" s="2" t="s">
        <v>25</v>
      </c>
      <c r="E303" s="2">
        <v>117</v>
      </c>
      <c r="F303" s="2" t="s">
        <v>123</v>
      </c>
      <c r="G303" s="2" t="s">
        <v>57</v>
      </c>
      <c r="H303" s="2">
        <v>29</v>
      </c>
      <c r="I303" s="3">
        <v>117</v>
      </c>
      <c r="J303" s="4">
        <v>992000</v>
      </c>
      <c r="K303" s="5">
        <f t="shared" si="156"/>
        <v>118</v>
      </c>
      <c r="L303" s="9">
        <f t="shared" si="180"/>
        <v>1623904</v>
      </c>
      <c r="M303" s="3">
        <f t="shared" si="157"/>
        <v>119</v>
      </c>
      <c r="N303" s="10">
        <f t="shared" si="181"/>
        <v>2841832</v>
      </c>
      <c r="O303" s="5">
        <f t="shared" si="158"/>
        <v>121</v>
      </c>
      <c r="P303" s="9">
        <f t="shared" si="182"/>
        <v>5967847</v>
      </c>
      <c r="Q303" s="3">
        <f t="shared" si="159"/>
        <v>123</v>
      </c>
      <c r="R303" s="10" t="n">
        <f>ROUND($J303*1.637*1.75*2.1*2.3*1,0)</f>
        <v>13726049</v>
      </c>
      <c r="S303" s="5">
        <f t="shared" si="160"/>
        <v>125</v>
      </c>
      <c r="T303" s="9" t="n">
        <f>ROUND($J303*1.637*1.75*2.1*2.3*2.6*1,0)</f>
        <v>35687726</v>
      </c>
      <c r="U303" s="3">
        <f t="shared" si="161"/>
        <v>128</v>
      </c>
      <c r="V303" s="10" t="n">
        <f>ROUND($J303*1.637*1.75*2.1*2.3*2.6*3.2*1,0)</f>
        <v>114200724</v>
      </c>
      <c r="W303" s="5">
        <f t="shared" si="162"/>
        <v>132</v>
      </c>
      <c r="X303" s="9" t="n">
        <f>ROUND($J303*1.637*1.75*2.1*2.3*2.6*3.2*4.2*1,0)</f>
        <v>479643041</v>
      </c>
      <c r="Y303" s="3">
        <f t="shared" si="163"/>
        <v>134</v>
      </c>
      <c r="Z303" s="10" t="n">
        <f>ROUND($J303*1.637*1.75*2.1*2.3*2.6*3.2*4.2*2.4*1,0)</f>
        <v>1151143298</v>
      </c>
      <c r="AA303" s="5">
        <f t="shared" si="164"/>
        <v>136</v>
      </c>
      <c r="AB303" s="9" t="n">
        <f>ROUND($J303*1.637*1.75*2.1*2.3*2.6*3.2*4.2*2.4*2.5*1,0)</f>
        <v>2877858245</v>
      </c>
      <c r="AC303" s="3">
        <f t="shared" si="165"/>
        <v>138</v>
      </c>
      <c r="AD303" s="10" t="n">
        <f>ROUND($J303*1.637*1.75*2.1*2.3*2.6*3.2*4.2*2.4*2.5*2.8*1,0)</f>
        <v>8058003087</v>
      </c>
      <c r="AE303" s="5">
        <f t="shared" si="166"/>
        <v>141</v>
      </c>
      <c r="AF303" s="9" t="n">
        <f>ROUND($J303*1.637*1.75*2.1*2.3*2.6*3.2*4.2*2.4*2.5*2.8*3.2*1,0)</f>
        <v>25785609878</v>
      </c>
      <c r="AG303" s="3">
        <f t="shared" si="167"/>
        <v>144</v>
      </c>
      <c r="AH303" s="10" t="n">
        <f>ROUND($J303*1.637*1.75*2.1*2.3*2.6*3.2*4.2*2.4*2.5*2.8*3.2*3.8*1,0)</f>
        <v>97985317535</v>
      </c>
    </row>
    <row r="304" hidden="1">
      <c r="A304" s="2">
        <v>226</v>
      </c>
      <c r="B304" s="2" t="s">
        <v>207</v>
      </c>
      <c r="C304" s="2" t="s">
        <v>468</v>
      </c>
      <c r="D304" s="2" t="s">
        <v>165</v>
      </c>
      <c r="E304" s="2">
        <v>117</v>
      </c>
      <c r="F304" s="2" t="s">
        <v>54</v>
      </c>
      <c r="G304" s="2" t="s">
        <v>95</v>
      </c>
      <c r="H304" s="2">
        <v>30</v>
      </c>
      <c r="I304" s="3">
        <v>117</v>
      </c>
      <c r="J304" s="4">
        <v>990000</v>
      </c>
      <c r="K304" s="5">
        <f t="shared" si="156"/>
        <v>118</v>
      </c>
      <c r="L304" s="9">
        <f t="shared" si="180"/>
        <v>1620630</v>
      </c>
      <c r="M304" s="3">
        <f t="shared" si="157"/>
        <v>119</v>
      </c>
      <c r="N304" s="10">
        <f t="shared" si="181"/>
        <v>2836103</v>
      </c>
      <c r="O304" s="5">
        <f t="shared" si="158"/>
        <v>121</v>
      </c>
      <c r="P304" s="9">
        <f t="shared" si="182"/>
        <v>5955815</v>
      </c>
      <c r="Q304" s="3">
        <f t="shared" si="159"/>
        <v>123</v>
      </c>
      <c r="R304" s="10" t="n">
        <f>ROUND($J304*1.637*1.75*2.1*2.3*1,0)</f>
        <v>13698375</v>
      </c>
      <c r="S304" s="5">
        <f t="shared" si="160"/>
        <v>125</v>
      </c>
      <c r="T304" s="9" t="n">
        <f>ROUND($J304*1.637*1.75*2.1*2.3*2.6*1,0)</f>
        <v>35615775</v>
      </c>
      <c r="U304" s="3">
        <f t="shared" si="161"/>
        <v>128</v>
      </c>
      <c r="V304" s="10" t="n">
        <f>ROUND($J304*1.637*1.75*2.1*2.3*2.6*3.2*1,0)</f>
        <v>113970481</v>
      </c>
      <c r="W304" s="5">
        <f t="shared" si="162"/>
        <v>132</v>
      </c>
      <c r="X304" s="9" t="n">
        <f>ROUND($J304*1.637*1.75*2.1*2.3*2.6*3.2*4.2*1,0)</f>
        <v>478676019</v>
      </c>
      <c r="Y304" s="3">
        <f t="shared" si="163"/>
        <v>134</v>
      </c>
      <c r="Z304" s="10" t="n">
        <f>ROUND($J304*1.637*1.75*2.1*2.3*2.6*3.2*4.2*2.4*1,0)</f>
        <v>1148822445</v>
      </c>
      <c r="AA304" s="5">
        <f t="shared" si="164"/>
        <v>136</v>
      </c>
      <c r="AB304" s="9" t="n">
        <f>ROUND($J304*1.637*1.75*2.1*2.3*2.6*3.2*4.2*2.4*2.5*1,0)</f>
        <v>2872056112</v>
      </c>
      <c r="AC304" s="3">
        <f t="shared" si="165"/>
        <v>138</v>
      </c>
      <c r="AD304" s="10" t="n">
        <f>ROUND($J304*1.637*1.75*2.1*2.3*2.6*3.2*4.2*2.4*2.5*2.8*1,0)</f>
        <v>8041757113</v>
      </c>
      <c r="AE304" s="5">
        <f t="shared" si="166"/>
        <v>141</v>
      </c>
      <c r="AF304" s="9" t="n">
        <f>ROUND($J304*1.637*1.75*2.1*2.3*2.6*3.2*4.2*2.4*2.5*2.8*3.2*1,0)</f>
        <v>25733622761</v>
      </c>
      <c r="AG304" s="3">
        <f t="shared" si="167"/>
        <v>144</v>
      </c>
      <c r="AH304" s="10" t="n">
        <f>ROUND($J304*1.637*1.75*2.1*2.3*2.6*3.2*4.2*2.4*2.5*2.8*3.2*3.8*1,0)</f>
        <v>97787766492</v>
      </c>
    </row>
    <row r="305" hidden="1">
      <c r="A305" s="2">
        <v>223</v>
      </c>
      <c r="B305" s="2" t="s">
        <v>152</v>
      </c>
      <c r="C305" s="2" t="s">
        <v>468</v>
      </c>
      <c r="D305" s="2" t="s">
        <v>40</v>
      </c>
      <c r="E305" s="2">
        <v>117</v>
      </c>
      <c r="F305" s="2" t="s">
        <v>71</v>
      </c>
      <c r="G305" s="2" t="s">
        <v>38</v>
      </c>
      <c r="H305" s="2">
        <v>29</v>
      </c>
      <c r="I305" s="3">
        <v>117</v>
      </c>
      <c r="J305" s="4">
        <v>989000</v>
      </c>
      <c r="K305" s="5">
        <f t="shared" si="156"/>
        <v>118</v>
      </c>
      <c r="L305" s="9">
        <f t="shared" si="180"/>
        <v>1618993</v>
      </c>
      <c r="M305" s="3">
        <f t="shared" si="157"/>
        <v>119</v>
      </c>
      <c r="N305" s="10">
        <f t="shared" si="181"/>
        <v>2833238</v>
      </c>
      <c r="O305" s="5">
        <f t="shared" si="158"/>
        <v>121</v>
      </c>
      <c r="P305" s="9">
        <f t="shared" si="182"/>
        <v>5949799</v>
      </c>
      <c r="Q305" s="3">
        <f t="shared" si="159"/>
        <v>123</v>
      </c>
      <c r="R305" s="10" t="n">
        <f>ROUND($J305*1.637*1.75*2.1*2.3*1.25,0)</f>
        <v>17105673</v>
      </c>
      <c r="S305" s="5">
        <f t="shared" si="160"/>
        <v>125</v>
      </c>
      <c r="T305" s="9" t="n">
        <f>ROUND($J305*1.637*1.75*2.1*2.3*2.6*1.25,0)</f>
        <v>44474750</v>
      </c>
      <c r="U305" s="3">
        <f t="shared" si="161"/>
        <v>128</v>
      </c>
      <c r="V305" s="10" t="n">
        <f>ROUND($J305*1.637*1.75*2.1*2.3*2.6*3.2*1.25,0)</f>
        <v>142319199</v>
      </c>
      <c r="W305" s="5">
        <f t="shared" si="162"/>
        <v>132</v>
      </c>
      <c r="X305" s="9" t="n">
        <f>ROUND($J305*1.637*1.75*2.1*2.3*2.6*3.2*4.2*1.25,0)</f>
        <v>597740634</v>
      </c>
      <c r="Y305" s="3">
        <f t="shared" si="163"/>
        <v>134</v>
      </c>
      <c r="Z305" s="10" t="n">
        <f>ROUND($J305*1.637*1.75*2.1*2.3*2.6*3.2*4.2*2.4*1.25,0)</f>
        <v>1434577522</v>
      </c>
      <c r="AA305" s="5">
        <f t="shared" si="164"/>
        <v>136</v>
      </c>
      <c r="AB305" s="9" t="n">
        <f>ROUND($J305*1.637*1.75*2.1*2.3*2.6*3.2*4.2*2.4*2.5*1.25,0)</f>
        <v>3586443806</v>
      </c>
      <c r="AC305" s="3">
        <f t="shared" si="165"/>
        <v>138</v>
      </c>
      <c r="AD305" s="10" t="n">
        <f>ROUND($J305*1.637*1.75*2.1*2.3*2.6*3.2*4.2*2.4*2.5*2.8*1.25,0)</f>
        <v>10042042657</v>
      </c>
      <c r="AE305" s="5">
        <f t="shared" si="166"/>
        <v>141</v>
      </c>
      <c r="AF305" s="9" t="n">
        <f>ROUND($J305*1.637*1.75*2.1*2.3*2.6*3.2*4.2*2.4*2.5*2.8*3.2*1.25,0)</f>
        <v>32134536503</v>
      </c>
      <c r="AG305" s="3">
        <f t="shared" si="167"/>
        <v>144</v>
      </c>
      <c r="AH305" s="10" t="n">
        <f>ROUND($J305*1.637*1.75*2.1*2.3*2.6*3.2*4.2*2.4*2.5*2.8*3.2*3.8*1.25,0)</f>
        <v>122111238713</v>
      </c>
    </row>
    <row r="306" hidden="1">
      <c r="A306" s="2">
        <v>219</v>
      </c>
      <c r="B306" s="2" t="s">
        <v>191</v>
      </c>
      <c r="C306" s="2" t="s">
        <v>468</v>
      </c>
      <c r="D306" s="2" t="s">
        <v>40</v>
      </c>
      <c r="E306" s="2">
        <v>116</v>
      </c>
      <c r="F306" s="2" t="s">
        <v>120</v>
      </c>
      <c r="G306" s="2" t="s">
        <v>476</v>
      </c>
      <c r="H306" s="2">
        <v>29</v>
      </c>
      <c r="I306" s="3">
        <v>116</v>
      </c>
      <c r="J306" s="4">
        <v>684000</v>
      </c>
      <c r="K306" s="5">
        <f t="shared" si="156"/>
        <v>117</v>
      </c>
      <c r="L306" s="9" t="n">
        <f>ROUND($J306*1.637*0.8,0)</f>
        <v>895766</v>
      </c>
      <c r="M306" s="3">
        <f t="shared" si="157"/>
        <v>118</v>
      </c>
      <c r="N306" s="10" t="n">
        <f>ROUND($J306*1.637*1.75*0.8,0)</f>
        <v>1567591</v>
      </c>
      <c r="O306" s="5">
        <f t="shared" si="158"/>
        <v>120</v>
      </c>
      <c r="P306" s="9" t="n">
        <f>ROUND($J306*1.637*1.75*2.1*0.8,0)</f>
        <v>3291942</v>
      </c>
      <c r="Q306" s="3">
        <f t="shared" si="159"/>
        <v>122</v>
      </c>
      <c r="R306" s="10" t="n">
        <f>ROUND($J306*1.637*1.75*2.1*2.3*0.542035092435954,0)</f>
        <v>5130000</v>
      </c>
      <c r="S306" s="5">
        <f t="shared" si="160"/>
        <v>124</v>
      </c>
      <c r="T306" s="9" t="n">
        <f>ROUND($J306*1.637*1.75*2.1*2.3*2.6*0.544690061623969,0)</f>
        <v>13403332</v>
      </c>
      <c r="U306" s="3">
        <f t="shared" si="161"/>
        <v>127</v>
      </c>
      <c r="V306" s="10" t="n">
        <f>ROUND($J306*1.637*1.75*2.1*2.3*2.6*3.2*0.547345030811984,0)</f>
        <v>43099722</v>
      </c>
      <c r="W306" s="5">
        <f t="shared" si="162"/>
        <v>131</v>
      </c>
      <c r="X306" s="9" t="n">
        <f>ROUND($J306*1.637*1.75*2.1*2.3*2.6*3.2*4.2*0.55,0)</f>
        <v>181896887</v>
      </c>
      <c r="Y306" s="3">
        <f t="shared" si="163"/>
        <v>133</v>
      </c>
      <c r="Z306" s="10" t="n">
        <f>ROUND($J306*1.637*1.75*2.1*2.3*2.6*3.2*4.2*2.4*0.55,0)</f>
        <v>436552529</v>
      </c>
      <c r="AA306" s="5">
        <f t="shared" si="164"/>
        <v>135</v>
      </c>
      <c r="AB306" s="9" t="n">
        <f>ROUND($J306*1.637*1.75*2.1*2.3*2.6*3.2*4.2*2.4*2.5*0.55,0)</f>
        <v>1091381322</v>
      </c>
      <c r="AC306" s="3">
        <f t="shared" si="165"/>
        <v>137</v>
      </c>
      <c r="AD306" s="10" t="n">
        <f>ROUND($J306*1.637*1.75*2.1*2.3*2.6*3.2*4.2*2.4*2.5*2.8*0.55,0)</f>
        <v>3055867703</v>
      </c>
      <c r="AE306" s="5">
        <f t="shared" si="166"/>
        <v>140</v>
      </c>
      <c r="AF306" s="9" t="n">
        <f>ROUND($J306*1.637*1.75*2.1*2.3*2.6*3.2*4.2*2.4*2.5*2.8*3.2*0.55,0)</f>
        <v>9778776649</v>
      </c>
      <c r="AG306" s="3">
        <f t="shared" si="167"/>
        <v>143</v>
      </c>
      <c r="AH306" s="10" t="n">
        <f>ROUND($J306*1.637*1.75*2.1*2.3*2.6*3.2*4.2*2.4*2.5*2.8*3.2*3.8*0.55,0)</f>
        <v>37159351267</v>
      </c>
    </row>
    <row r="307" hidden="1">
      <c r="A307" s="2">
        <v>217</v>
      </c>
      <c r="B307" s="2" t="s">
        <v>236</v>
      </c>
      <c r="C307" s="2" t="s">
        <v>468</v>
      </c>
      <c r="D307" s="2" t="s">
        <v>79</v>
      </c>
      <c r="E307" s="2">
        <v>116</v>
      </c>
      <c r="F307" s="2" t="s">
        <v>237</v>
      </c>
      <c r="G307" s="2" t="s">
        <v>35</v>
      </c>
      <c r="H307" s="2">
        <v>28</v>
      </c>
      <c r="I307" s="3">
        <v>116</v>
      </c>
      <c r="J307" s="4">
        <v>741000</v>
      </c>
      <c r="K307" s="5">
        <f t="shared" si="156"/>
        <v>117</v>
      </c>
      <c r="L307" s="9" t="n">
        <f>ROUND($J307*1.637*1,0)</f>
        <v>1213017</v>
      </c>
      <c r="M307" s="3">
        <f t="shared" si="157"/>
        <v>118</v>
      </c>
      <c r="N307" s="10" t="n">
        <f>ROUND($J307*1.637*1.75*1,0)</f>
        <v>2122780</v>
      </c>
      <c r="O307" s="5">
        <f t="shared" si="158"/>
        <v>120</v>
      </c>
      <c r="P307" s="9" t="n">
        <f>ROUND($J307*1.637*1.75*2.1*1,0)</f>
        <v>4457837</v>
      </c>
      <c r="Q307" s="3">
        <f t="shared" si="159"/>
        <v>122</v>
      </c>
      <c r="R307" s="10" t="n">
        <f>ROUND($J307*1.637*1.75*2.1*2.3*1,0)</f>
        <v>10253026</v>
      </c>
      <c r="S307" s="5">
        <f t="shared" si="160"/>
        <v>124</v>
      </c>
      <c r="T307" s="9" t="n">
        <f>ROUND($J307*1.637*1.75*2.1*2.3*2.6*1,0)</f>
        <v>26657868</v>
      </c>
      <c r="U307" s="3">
        <f t="shared" si="161"/>
        <v>127</v>
      </c>
      <c r="V307" s="10" t="n">
        <f>ROUND($J307*1.637*1.75*2.1*2.3*2.6*3.2*1,0)</f>
        <v>85305178</v>
      </c>
      <c r="W307" s="5">
        <f t="shared" si="162"/>
        <v>131</v>
      </c>
      <c r="X307" s="9" t="n">
        <f>ROUND($J307*1.637*1.75*2.1*2.3*2.6*3.2*4.2*1,0)</f>
        <v>358281747</v>
      </c>
      <c r="Y307" s="3">
        <f t="shared" si="163"/>
        <v>133</v>
      </c>
      <c r="Z307" s="10" t="n">
        <f>ROUND($J307*1.637*1.75*2.1*2.3*2.6*3.2*4.2*2.4*1,0)</f>
        <v>859876193</v>
      </c>
      <c r="AA307" s="5">
        <f t="shared" si="164"/>
        <v>135</v>
      </c>
      <c r="AB307" s="9" t="n">
        <f>ROUND($J307*1.637*1.75*2.1*2.3*2.6*3.2*4.2*2.4*2.5*1,0)</f>
        <v>2149690484</v>
      </c>
      <c r="AC307" s="3">
        <f t="shared" si="165"/>
        <v>137</v>
      </c>
      <c r="AD307" s="10" t="n">
        <f>ROUND($J307*1.637*1.75*2.1*2.3*2.6*3.2*4.2*2.4*2.5*2.8*1,0)</f>
        <v>6019133354</v>
      </c>
      <c r="AE307" s="5">
        <f t="shared" si="166"/>
        <v>140</v>
      </c>
      <c r="AF307" s="9" t="n">
        <f>ROUND($J307*1.637*1.75*2.1*2.3*2.6*3.2*4.2*2.4*2.5*2.8*3.2*1,0)</f>
        <v>19261226733</v>
      </c>
      <c r="AG307" s="3">
        <f t="shared" si="167"/>
        <v>143</v>
      </c>
      <c r="AH307" s="10" t="n">
        <f>ROUND($J307*1.637*1.75*2.1*2.3*2.6*3.2*4.2*2.4*2.5*2.8*3.2*3.8*1,0)</f>
        <v>73192661586</v>
      </c>
    </row>
    <row r="308" hidden="1">
      <c r="A308" s="2">
        <v>216</v>
      </c>
      <c r="B308" s="2" t="s">
        <v>477</v>
      </c>
      <c r="C308" s="2" t="s">
        <v>468</v>
      </c>
      <c r="D308" s="2" t="s">
        <v>102</v>
      </c>
      <c r="E308" s="2">
        <v>116</v>
      </c>
      <c r="F308" s="2" t="s">
        <v>30</v>
      </c>
      <c r="G308" s="2" t="s">
        <v>98</v>
      </c>
      <c r="H308" s="2">
        <v>28</v>
      </c>
      <c r="I308" s="3">
        <v>116</v>
      </c>
      <c r="J308" s="4">
        <v>828000</v>
      </c>
      <c r="K308" s="5">
        <f t="shared" si="156"/>
        <v>117</v>
      </c>
      <c r="L308" s="9" t="n">
        <f>ROUND($J308*1.637*1,0)</f>
        <v>1355436</v>
      </c>
      <c r="M308" s="3">
        <f t="shared" si="157"/>
        <v>118</v>
      </c>
      <c r="N308" s="10" t="n">
        <f>ROUND($J308*1.637*1.75*1,0)</f>
        <v>2372013</v>
      </c>
      <c r="O308" s="5">
        <f t="shared" si="158"/>
        <v>120</v>
      </c>
      <c r="P308" s="9" t="n">
        <f>ROUND($J308*1.637*1.75*2.1*1,0)</f>
        <v>4981227</v>
      </c>
      <c r="Q308" s="3">
        <f t="shared" si="159"/>
        <v>122</v>
      </c>
      <c r="R308" s="10" t="n">
        <f>ROUND($J308*1.637*1.75*2.1*2.3*1,0)</f>
        <v>11456823</v>
      </c>
      <c r="S308" s="5">
        <f t="shared" si="160"/>
        <v>124</v>
      </c>
      <c r="T308" s="9" t="n">
        <f>ROUND($J308*1.637*1.75*2.1*2.3*2.6*1,0)</f>
        <v>29787739</v>
      </c>
      <c r="U308" s="3">
        <f t="shared" si="161"/>
        <v>127</v>
      </c>
      <c r="V308" s="10" t="n">
        <f>ROUND($J308*1.637*1.75*2.1*2.3*2.6*3.2*1,0)</f>
        <v>95320766</v>
      </c>
      <c r="W308" s="5">
        <f t="shared" si="162"/>
        <v>131</v>
      </c>
      <c r="X308" s="9" t="n">
        <f>ROUND($J308*1.637*1.75*2.1*2.3*2.6*3.2*4.2*1,0)</f>
        <v>400347216</v>
      </c>
      <c r="Y308" s="3">
        <f t="shared" si="163"/>
        <v>133</v>
      </c>
      <c r="Z308" s="10" t="n">
        <f>ROUND($J308*1.637*1.75*2.1*2.3*2.6*3.2*4.2*2.4*1,0)</f>
        <v>960833317</v>
      </c>
      <c r="AA308" s="5">
        <f t="shared" si="164"/>
        <v>135</v>
      </c>
      <c r="AB308" s="9" t="n">
        <f>ROUND($J308*1.637*1.75*2.1*2.3*2.6*3.2*4.2*2.4*2.5*1,0)</f>
        <v>2402083293</v>
      </c>
      <c r="AC308" s="3">
        <f t="shared" si="165"/>
        <v>137</v>
      </c>
      <c r="AD308" s="10" t="n">
        <f>ROUND($J308*1.637*1.75*2.1*2.3*2.6*3.2*4.2*2.4*2.5*2.8*1,0)</f>
        <v>6725833222</v>
      </c>
      <c r="AE308" s="5">
        <f t="shared" si="166"/>
        <v>140</v>
      </c>
      <c r="AF308" s="9" t="n">
        <f>ROUND($J308*1.637*1.75*2.1*2.3*2.6*3.2*4.2*2.4*2.5*2.8*3.2*1,0)</f>
        <v>21522666309</v>
      </c>
      <c r="AG308" s="3">
        <f t="shared" si="167"/>
        <v>143</v>
      </c>
      <c r="AH308" s="10" t="n">
        <f>ROUND($J308*1.637*1.75*2.1*2.3*2.6*3.2*4.2*2.4*2.5*2.8*3.2*3.8*1,0)</f>
        <v>81786131975</v>
      </c>
    </row>
    <row r="309" hidden="1">
      <c r="A309" s="2">
        <v>218</v>
      </c>
      <c r="B309" s="2" t="s">
        <v>478</v>
      </c>
      <c r="C309" s="2" t="s">
        <v>468</v>
      </c>
      <c r="D309" s="2" t="s">
        <v>25</v>
      </c>
      <c r="E309" s="2">
        <v>116</v>
      </c>
      <c r="F309" s="2" t="s">
        <v>379</v>
      </c>
      <c r="G309" s="2" t="s">
        <v>95</v>
      </c>
      <c r="H309" s="2">
        <v>29</v>
      </c>
      <c r="I309" s="3">
        <v>116</v>
      </c>
      <c r="J309" s="4">
        <v>848000</v>
      </c>
      <c r="K309" s="5">
        <f t="shared" si="156"/>
        <v>117</v>
      </c>
      <c r="L309" s="9" t="n">
        <f>ROUND($J309*1.637*0.8,0)</f>
        <v>1110541</v>
      </c>
      <c r="M309" s="3">
        <f t="shared" si="157"/>
        <v>118</v>
      </c>
      <c r="N309" s="10" t="n">
        <f>ROUND($J309*1.637*1.75*0.8,0)</f>
        <v>1943446</v>
      </c>
      <c r="O309" s="5">
        <f t="shared" si="158"/>
        <v>120</v>
      </c>
      <c r="P309" s="9" t="n">
        <f>ROUND($J309*1.637*1.75*2.1*0.8,0)</f>
        <v>4081237</v>
      </c>
      <c r="Q309" s="3">
        <f t="shared" si="159"/>
        <v>122</v>
      </c>
      <c r="R309" s="10" t="n">
        <f>ROUND($J309*1.637*1.75*2.1*2.3*0.542035092435954,0)</f>
        <v>6360000</v>
      </c>
      <c r="S309" s="5">
        <f t="shared" si="160"/>
        <v>124</v>
      </c>
      <c r="T309" s="9" t="n">
        <f>ROUND($J309*1.637*1.75*2.1*2.3*2.6*0.544690061623969,0)</f>
        <v>16616996</v>
      </c>
      <c r="U309" s="3">
        <f t="shared" si="161"/>
        <v>127</v>
      </c>
      <c r="V309" s="10" t="n">
        <f>ROUND($J309*1.637*1.75*2.1*2.3*2.6*3.2*0.547345030811984,0)</f>
        <v>53433573</v>
      </c>
      <c r="W309" s="5">
        <f t="shared" si="162"/>
        <v>131</v>
      </c>
      <c r="X309" s="9" t="n">
        <f>ROUND($J309*1.637*1.75*2.1*2.3*2.6*3.2*4.2*0.55,0)</f>
        <v>225509591</v>
      </c>
      <c r="Y309" s="3">
        <f t="shared" si="163"/>
        <v>133</v>
      </c>
      <c r="Z309" s="10" t="n">
        <f>ROUND($J309*1.637*1.75*2.1*2.3*2.6*3.2*4.2*2.4*0.55,0)</f>
        <v>541223018</v>
      </c>
      <c r="AA309" s="5">
        <f t="shared" si="164"/>
        <v>135</v>
      </c>
      <c r="AB309" s="9" t="n">
        <f>ROUND($J309*1.637*1.75*2.1*2.3*2.6*3.2*4.2*2.4*2.5*0.55,0)</f>
        <v>1353057546</v>
      </c>
      <c r="AC309" s="3">
        <f t="shared" si="165"/>
        <v>137</v>
      </c>
      <c r="AD309" s="10" t="n">
        <f>ROUND($J309*1.637*1.75*2.1*2.3*2.6*3.2*4.2*2.4*2.5*2.8*0.55,0)</f>
        <v>3788561129</v>
      </c>
      <c r="AE309" s="5">
        <f t="shared" si="166"/>
        <v>140</v>
      </c>
      <c r="AF309" s="9" t="n">
        <f>ROUND($J309*1.637*1.75*2.1*2.3*2.6*3.2*4.2*2.4*2.5*2.8*3.2*0.55,0)</f>
        <v>12123395612</v>
      </c>
      <c r="AG309" s="3">
        <f t="shared" si="167"/>
        <v>143</v>
      </c>
      <c r="AH309" s="10" t="n">
        <f>ROUND($J309*1.637*1.75*2.1*2.3*2.6*3.2*4.2*2.4*2.5*2.8*3.2*3.8*0.55,0)</f>
        <v>46068903325</v>
      </c>
    </row>
    <row r="310" hidden="1">
      <c r="A310" s="2">
        <v>213</v>
      </c>
      <c r="B310" s="2" t="s">
        <v>224</v>
      </c>
      <c r="C310" s="2" t="s">
        <v>468</v>
      </c>
      <c r="D310" s="2" t="s">
        <v>25</v>
      </c>
      <c r="E310" s="2">
        <v>115</v>
      </c>
      <c r="F310" s="2" t="s">
        <v>225</v>
      </c>
      <c r="G310" s="2" t="s">
        <v>226</v>
      </c>
      <c r="H310" s="2">
        <v>28</v>
      </c>
      <c r="I310" s="3">
        <v>115</v>
      </c>
      <c r="J310" s="4">
        <v>893000</v>
      </c>
      <c r="K310" s="5">
        <f t="shared" si="156"/>
        <v>116</v>
      </c>
      <c r="L310" s="9" t="n">
        <f>ROUND($J310*1.637*0.8,0)</f>
        <v>1169473</v>
      </c>
      <c r="M310" s="3">
        <f t="shared" si="157"/>
        <v>117</v>
      </c>
      <c r="N310" s="10" t="n">
        <f>ROUND($J310*1.637*1.75*0.8,0)</f>
        <v>2046577</v>
      </c>
      <c r="O310" s="5">
        <f t="shared" si="158"/>
        <v>119</v>
      </c>
      <c r="P310" s="9" t="n">
        <f>ROUND($J310*1.637*1.75*2.1*0.8,0)</f>
        <v>4297813</v>
      </c>
      <c r="Q310" s="3">
        <f t="shared" si="159"/>
        <v>121</v>
      </c>
      <c r="R310" s="10" t="n">
        <f>ROUND($J310*1.637*1.75*2.1*2.3*0.542035092435954,0)</f>
        <v>6697500</v>
      </c>
      <c r="S310" s="5">
        <f t="shared" si="160"/>
        <v>123</v>
      </c>
      <c r="T310" s="9" t="n">
        <f>ROUND($J310*1.637*1.75*2.1*2.3*2.6*0.544690061623969,0)</f>
        <v>17498794</v>
      </c>
      <c r="U310" s="3">
        <f t="shared" si="161"/>
        <v>126</v>
      </c>
      <c r="V310" s="10" t="n">
        <f>ROUND($J310*1.637*1.75*2.1*2.3*2.6*3.2*0.547345030811984,0)</f>
        <v>56269081</v>
      </c>
      <c r="W310" s="5">
        <f t="shared" si="162"/>
        <v>130</v>
      </c>
      <c r="X310" s="9" t="n">
        <f>ROUND($J310*1.637*1.75*2.1*2.3*2.6*3.2*4.2*0.55,0)</f>
        <v>237476491</v>
      </c>
      <c r="Y310" s="3">
        <f t="shared" si="163"/>
        <v>132</v>
      </c>
      <c r="Z310" s="10" t="n">
        <f>ROUND($J310*1.637*1.75*2.1*2.3*2.6*3.2*4.2*2.4*0.55,0)</f>
        <v>569943580</v>
      </c>
      <c r="AA310" s="5">
        <f t="shared" si="164"/>
        <v>134</v>
      </c>
      <c r="AB310" s="9" t="n">
        <f>ROUND($J310*1.637*1.75*2.1*2.3*2.6*3.2*4.2*2.4*2.5*0.55,0)</f>
        <v>1424858949</v>
      </c>
      <c r="AC310" s="3">
        <f t="shared" si="165"/>
        <v>136</v>
      </c>
      <c r="AD310" s="10" t="n">
        <f>ROUND($J310*1.637*1.75*2.1*2.3*2.6*3.2*4.2*2.4*2.5*2.8*0.55,0)</f>
        <v>3989605057</v>
      </c>
      <c r="AE310" s="5">
        <f t="shared" si="166"/>
        <v>139</v>
      </c>
      <c r="AF310" s="9" t="n">
        <f>ROUND($J310*1.637*1.75*2.1*2.3*2.6*3.2*4.2*2.4*2.5*2.8*3.2*0.55,0)</f>
        <v>12766736181</v>
      </c>
      <c r="AG310" s="3">
        <f t="shared" si="167"/>
        <v>142</v>
      </c>
      <c r="AH310" s="10" t="n">
        <f>ROUND($J310*1.637*1.75*2.1*2.3*2.6*3.2*4.2*2.4*2.5*2.8*3.2*3.8*0.55,0)</f>
        <v>48513597487</v>
      </c>
    </row>
    <row r="311" hidden="1">
      <c r="A311" s="2">
        <v>215</v>
      </c>
      <c r="B311" s="2" t="s">
        <v>479</v>
      </c>
      <c r="C311" s="2" t="s">
        <v>468</v>
      </c>
      <c r="D311" s="2" t="s">
        <v>79</v>
      </c>
      <c r="E311" s="2">
        <v>115</v>
      </c>
      <c r="F311" s="2" t="s">
        <v>59</v>
      </c>
      <c r="G311" s="2" t="s">
        <v>98</v>
      </c>
      <c r="H311" s="2">
        <v>28</v>
      </c>
      <c r="I311" s="3">
        <v>115</v>
      </c>
      <c r="J311" s="4">
        <v>765000</v>
      </c>
      <c r="K311" s="5">
        <f t="shared" si="156"/>
        <v>116</v>
      </c>
      <c r="L311" s="9" t="n">
        <f>ROUND($J311*1.637*1,0)</f>
        <v>1252305</v>
      </c>
      <c r="M311" s="3">
        <f t="shared" si="157"/>
        <v>117</v>
      </c>
      <c r="N311" s="10" t="n">
        <f>ROUND($J311*1.637*1.75*1,0)</f>
        <v>2191534</v>
      </c>
      <c r="O311" s="5">
        <f t="shared" si="158"/>
        <v>119</v>
      </c>
      <c r="P311" s="9" t="n">
        <f>ROUND($J311*1.637*1.75*2.1*1,0)</f>
        <v>4602221</v>
      </c>
      <c r="Q311" s="3">
        <f t="shared" si="159"/>
        <v>121</v>
      </c>
      <c r="R311" s="10" t="n">
        <f>ROUND($J311*1.637*1.75*2.1*2.3*1,0)</f>
        <v>10585108</v>
      </c>
      <c r="S311" s="5">
        <f t="shared" si="160"/>
        <v>123</v>
      </c>
      <c r="T311" s="9" t="n">
        <f>ROUND($J311*1.637*1.75*2.1*2.3*2.6*1,0)</f>
        <v>27521281</v>
      </c>
      <c r="U311" s="3">
        <f t="shared" si="161"/>
        <v>126</v>
      </c>
      <c r="V311" s="10" t="n">
        <f>ROUND($J311*1.637*1.75*2.1*2.3*2.6*3.2*1,0)</f>
        <v>88068099</v>
      </c>
      <c r="W311" s="5">
        <f t="shared" si="162"/>
        <v>130</v>
      </c>
      <c r="X311" s="9" t="n">
        <f>ROUND($J311*1.637*1.75*2.1*2.3*2.6*3.2*4.2*1,0)</f>
        <v>369886014</v>
      </c>
      <c r="Y311" s="3">
        <f t="shared" si="163"/>
        <v>132</v>
      </c>
      <c r="Z311" s="10" t="n">
        <f>ROUND($J311*1.637*1.75*2.1*2.3*2.6*3.2*4.2*2.4*1,0)</f>
        <v>887726435</v>
      </c>
      <c r="AA311" s="5">
        <f t="shared" si="164"/>
        <v>134</v>
      </c>
      <c r="AB311" s="9" t="n">
        <f>ROUND($J311*1.637*1.75*2.1*2.3*2.6*3.2*4.2*2.4*2.5*1,0)</f>
        <v>2219316086</v>
      </c>
      <c r="AC311" s="3">
        <f t="shared" si="165"/>
        <v>136</v>
      </c>
      <c r="AD311" s="10" t="n">
        <f>ROUND($J311*1.637*1.75*2.1*2.3*2.6*3.2*4.2*2.4*2.5*2.8*1,0)</f>
        <v>6214085042</v>
      </c>
      <c r="AE311" s="5">
        <f t="shared" si="166"/>
        <v>139</v>
      </c>
      <c r="AF311" s="9" t="n">
        <f>ROUND($J311*1.637*1.75*2.1*2.3*2.6*3.2*4.2*2.4*2.5*2.8*3.2*1,0)</f>
        <v>19885072134</v>
      </c>
      <c r="AG311" s="3">
        <f t="shared" si="167"/>
        <v>142</v>
      </c>
      <c r="AH311" s="10" t="n">
        <f>ROUND($J311*1.637*1.75*2.1*2.3*2.6*3.2*4.2*2.4*2.5*2.8*3.2*3.8*1,0)</f>
        <v>75563274107</v>
      </c>
    </row>
    <row r="312" hidden="1">
      <c r="A312" s="2">
        <v>214</v>
      </c>
      <c r="B312" s="2" t="s">
        <v>480</v>
      </c>
      <c r="C312" s="2" t="s">
        <v>468</v>
      </c>
      <c r="D312" s="2" t="s">
        <v>64</v>
      </c>
      <c r="E312" s="2">
        <v>115</v>
      </c>
      <c r="F312" s="2" t="s">
        <v>481</v>
      </c>
      <c r="G312" s="2" t="s">
        <v>351</v>
      </c>
      <c r="H312" s="2">
        <v>28</v>
      </c>
      <c r="I312" s="3">
        <v>115</v>
      </c>
      <c r="J312" s="4">
        <v>689000</v>
      </c>
      <c r="K312" s="5">
        <f t="shared" si="156"/>
        <v>116</v>
      </c>
      <c r="L312" s="9" t="n">
        <f>ROUND($J312*1.637*0.8,0)</f>
        <v>902314</v>
      </c>
      <c r="M312" s="3">
        <f t="shared" si="157"/>
        <v>117</v>
      </c>
      <c r="N312" s="10" t="n">
        <f>ROUND($J312*1.637*1.75*0.8,0)</f>
        <v>1579050</v>
      </c>
      <c r="O312" s="5">
        <f t="shared" si="158"/>
        <v>119</v>
      </c>
      <c r="P312" s="9" t="n">
        <f>ROUND($J312*1.637*1.75*2.1*0.8,0)</f>
        <v>3316005</v>
      </c>
      <c r="Q312" s="3">
        <f t="shared" si="159"/>
        <v>121</v>
      </c>
      <c r="R312" s="10" t="n">
        <f>ROUND($J312*1.637*1.75*2.1*2.3*0.542035092435954,0)</f>
        <v>5167500</v>
      </c>
      <c r="S312" s="5">
        <f t="shared" si="160"/>
        <v>123</v>
      </c>
      <c r="T312" s="9" t="n">
        <f>ROUND($J312*1.637*1.75*2.1*2.3*2.6*0.544690061623969,0)</f>
        <v>13501309</v>
      </c>
      <c r="U312" s="3">
        <f t="shared" si="161"/>
        <v>126</v>
      </c>
      <c r="V312" s="10" t="n">
        <f>ROUND($J312*1.637*1.75*2.1*2.3*2.6*3.2*0.547345030811984,0)</f>
        <v>43414778</v>
      </c>
      <c r="W312" s="5">
        <f t="shared" si="162"/>
        <v>130</v>
      </c>
      <c r="X312" s="9" t="n">
        <f>ROUND($J312*1.637*1.75*2.1*2.3*2.6*3.2*4.2*0.55,0)</f>
        <v>183226543</v>
      </c>
      <c r="Y312" s="3">
        <f t="shared" si="163"/>
        <v>132</v>
      </c>
      <c r="Z312" s="10" t="n">
        <f>ROUND($J312*1.637*1.75*2.1*2.3*2.6*3.2*4.2*2.4*0.55,0)</f>
        <v>439743702</v>
      </c>
      <c r="AA312" s="5">
        <f t="shared" si="164"/>
        <v>134</v>
      </c>
      <c r="AB312" s="9" t="n">
        <f>ROUND($J312*1.637*1.75*2.1*2.3*2.6*3.2*4.2*2.4*2.5*0.55,0)</f>
        <v>1099359256</v>
      </c>
      <c r="AC312" s="3">
        <f t="shared" si="165"/>
        <v>136</v>
      </c>
      <c r="AD312" s="10" t="n">
        <f>ROUND($J312*1.637*1.75*2.1*2.3*2.6*3.2*4.2*2.4*2.5*2.8*0.55,0)</f>
        <v>3078205917</v>
      </c>
      <c r="AE312" s="5">
        <f t="shared" si="166"/>
        <v>139</v>
      </c>
      <c r="AF312" s="9" t="n">
        <f>ROUND($J312*1.637*1.75*2.1*2.3*2.6*3.2*4.2*2.4*2.5*2.8*3.2*0.55,0)</f>
        <v>9850258935</v>
      </c>
      <c r="AG312" s="3">
        <f t="shared" si="167"/>
        <v>142</v>
      </c>
      <c r="AH312" s="10" t="n">
        <f>ROUND($J312*1.637*1.75*2.1*2.3*2.6*3.2*4.2*2.4*2.5*2.8*3.2*3.8*0.55,0)</f>
        <v>37430983952</v>
      </c>
    </row>
    <row r="313" ht="22.799999237060547" customHeight="1">
      <c r="A313" s="2">
        <v>324</v>
      </c>
      <c r="B313" s="2" t="s">
        <v>482</v>
      </c>
      <c r="C313" s="13" t="s">
        <v>483</v>
      </c>
      <c r="D313" s="2" t="s">
        <v>25</v>
      </c>
      <c r="E313" s="2">
        <v>124</v>
      </c>
      <c r="F313" s="2" t="s">
        <v>484</v>
      </c>
      <c r="G313" s="2" t="s">
        <v>484</v>
      </c>
      <c r="H313" s="2">
        <v>30</v>
      </c>
      <c r="I313" s="3" t="n">
        <f t="shared" ref="I313:I344" si="183">$E313+0</f>
        <v>124</v>
      </c>
      <c r="J313" s="14">
        <v>0</v>
      </c>
      <c r="K313" s="5" t="n">
        <f t="shared" ref="K313:K344" si="184">$E313+1</f>
        <v>125</v>
      </c>
      <c r="L313" s="14">
        <v>0</v>
      </c>
      <c r="M313" s="3" t="n">
        <f t="shared" ref="M313:M344" si="185">$E313+2</f>
        <v>126</v>
      </c>
      <c r="N313" s="14">
        <v>0</v>
      </c>
      <c r="O313" s="5" t="n">
        <f t="shared" ref="O313:O344" si="186">$E313+4</f>
        <v>128</v>
      </c>
      <c r="P313" s="14">
        <v>0</v>
      </c>
      <c r="Q313" s="3" t="n">
        <f t="shared" ref="Q313:Q344" si="187">$E313+6</f>
        <v>130</v>
      </c>
      <c r="R313" s="14">
        <v>0</v>
      </c>
      <c r="S313" s="5" t="n">
        <f t="shared" ref="S313:S344" si="188">$E313+8</f>
        <v>132</v>
      </c>
      <c r="T313" s="14">
        <v>0</v>
      </c>
      <c r="U313" s="3" t="n">
        <f t="shared" ref="U313:U344" si="189">$E313+11</f>
        <v>135</v>
      </c>
      <c r="V313" s="14">
        <v>0</v>
      </c>
      <c r="W313" s="5" t="n">
        <f t="shared" ref="W313:W344" si="190">$E313+15</f>
        <v>139</v>
      </c>
      <c r="X313" s="14">
        <v>0</v>
      </c>
      <c r="Y313" s="3" t="n">
        <f t="shared" ref="Y313:Y344" si="191">$E313+17</f>
        <v>141</v>
      </c>
      <c r="Z313" s="14">
        <v>0</v>
      </c>
      <c r="AA313" s="5" t="n">
        <f t="shared" ref="AA313:AA344" si="192">$E313+19</f>
        <v>143</v>
      </c>
      <c r="AB313" s="14">
        <v>0</v>
      </c>
      <c r="AC313" s="3" t="n">
        <f t="shared" ref="AC313:AC344" si="193">$E313+21</f>
        <v>145</v>
      </c>
      <c r="AD313" s="14">
        <v>0</v>
      </c>
      <c r="AE313" s="5" t="n">
        <f t="shared" ref="AE313:AE344" si="194">$E313+24</f>
        <v>148</v>
      </c>
      <c r="AF313" s="14">
        <v>0</v>
      </c>
      <c r="AG313" s="3" t="n">
        <f t="shared" ref="AG313:AG344" si="195">$E313+27</f>
        <v>151</v>
      </c>
      <c r="AH313" s="14">
        <v>0</v>
      </c>
    </row>
    <row r="314" ht="28.049999237060547" customHeight="1">
      <c r="A314" s="2">
        <v>353</v>
      </c>
      <c r="B314" s="2" t="s">
        <v>203</v>
      </c>
      <c r="C314" s="13" t="s">
        <v>483</v>
      </c>
      <c r="D314" s="2" t="s">
        <v>25</v>
      </c>
      <c r="E314" s="2">
        <v>131</v>
      </c>
      <c r="F314" s="2" t="s">
        <v>204</v>
      </c>
      <c r="G314" s="2" t="s">
        <v>204</v>
      </c>
      <c r="H314" s="2">
        <v>34</v>
      </c>
      <c r="I314" s="3">
        <f t="shared" si="183"/>
        <v>131</v>
      </c>
      <c r="J314" s="14">
        <v>4800000000</v>
      </c>
      <c r="K314" s="5">
        <f t="shared" si="184"/>
        <v>132</v>
      </c>
      <c r="L314" s="14"/>
      <c r="M314" s="3">
        <f t="shared" si="185"/>
        <v>133</v>
      </c>
      <c r="N314" s="14"/>
      <c r="O314" s="5">
        <f t="shared" si="186"/>
        <v>135</v>
      </c>
      <c r="P314" s="14"/>
      <c r="Q314" s="3">
        <f t="shared" si="187"/>
        <v>137</v>
      </c>
      <c r="R314" s="14"/>
      <c r="S314" s="5">
        <f t="shared" si="188"/>
        <v>139</v>
      </c>
      <c r="T314" s="14"/>
      <c r="U314" s="3">
        <f t="shared" si="189"/>
        <v>142</v>
      </c>
      <c r="V314" s="14"/>
      <c r="W314" s="5">
        <f t="shared" si="190"/>
        <v>146</v>
      </c>
      <c r="X314" s="14"/>
      <c r="Y314" s="3">
        <f t="shared" si="191"/>
        <v>148</v>
      </c>
      <c r="Z314" s="14"/>
      <c r="AA314" s="5">
        <f t="shared" si="192"/>
        <v>150</v>
      </c>
      <c r="AB314" s="14"/>
      <c r="AC314" s="3">
        <f t="shared" si="193"/>
        <v>152</v>
      </c>
      <c r="AD314" s="14"/>
      <c r="AE314" s="5">
        <f t="shared" si="194"/>
        <v>155</v>
      </c>
      <c r="AF314" s="14"/>
      <c r="AG314" s="3">
        <f t="shared" si="195"/>
        <v>158</v>
      </c>
      <c r="AH314" s="14"/>
    </row>
    <row r="315" ht="28.049999237060547" customHeight="1">
      <c r="A315" s="2">
        <v>354</v>
      </c>
      <c r="B315" s="2" t="s">
        <v>208</v>
      </c>
      <c r="C315" s="13" t="s">
        <v>483</v>
      </c>
      <c r="D315" s="2" t="s">
        <v>25</v>
      </c>
      <c r="E315" s="2">
        <v>131</v>
      </c>
      <c r="F315" s="2" t="s">
        <v>26</v>
      </c>
      <c r="G315" s="2" t="s">
        <v>26</v>
      </c>
      <c r="H315" s="2">
        <v>33</v>
      </c>
      <c r="I315" s="3">
        <f t="shared" si="183"/>
        <v>131</v>
      </c>
      <c r="J315" s="14">
        <v>3260000000</v>
      </c>
      <c r="K315" s="5">
        <f t="shared" si="184"/>
        <v>132</v>
      </c>
      <c r="L315" s="14"/>
      <c r="M315" s="3">
        <f t="shared" si="185"/>
        <v>133</v>
      </c>
      <c r="N315" s="14"/>
      <c r="O315" s="5">
        <f t="shared" si="186"/>
        <v>135</v>
      </c>
      <c r="P315" s="14"/>
      <c r="Q315" s="3">
        <f t="shared" si="187"/>
        <v>137</v>
      </c>
      <c r="R315" s="14"/>
      <c r="S315" s="5">
        <f t="shared" si="188"/>
        <v>139</v>
      </c>
      <c r="T315" s="14"/>
      <c r="U315" s="3">
        <f t="shared" si="189"/>
        <v>142</v>
      </c>
      <c r="V315" s="14"/>
      <c r="W315" s="5">
        <f t="shared" si="190"/>
        <v>146</v>
      </c>
      <c r="X315" s="14"/>
      <c r="Y315" s="3">
        <f t="shared" si="191"/>
        <v>148</v>
      </c>
      <c r="Z315" s="14"/>
      <c r="AA315" s="5">
        <f t="shared" si="192"/>
        <v>150</v>
      </c>
      <c r="AB315" s="14"/>
      <c r="AC315" s="3">
        <f t="shared" si="193"/>
        <v>152</v>
      </c>
      <c r="AD315" s="14"/>
      <c r="AE315" s="5">
        <f t="shared" si="194"/>
        <v>155</v>
      </c>
      <c r="AF315" s="14"/>
      <c r="AG315" s="3">
        <f t="shared" si="195"/>
        <v>158</v>
      </c>
      <c r="AH315" s="14"/>
    </row>
    <row r="316" ht="28.049999237060547" customHeight="1">
      <c r="A316" s="2">
        <v>355</v>
      </c>
      <c r="B316" s="2" t="s">
        <v>167</v>
      </c>
      <c r="C316" s="13" t="s">
        <v>483</v>
      </c>
      <c r="D316" s="2" t="s">
        <v>25</v>
      </c>
      <c r="E316" s="2">
        <v>133</v>
      </c>
      <c r="F316" s="2" t="s">
        <v>168</v>
      </c>
      <c r="G316" s="2" t="s">
        <v>168</v>
      </c>
      <c r="H316" s="2">
        <v>35</v>
      </c>
      <c r="I316" s="3">
        <f t="shared" si="183"/>
        <v>133</v>
      </c>
      <c r="J316" s="14">
        <v>11600000000</v>
      </c>
      <c r="K316" s="5">
        <f t="shared" si="184"/>
        <v>134</v>
      </c>
      <c r="L316" s="14"/>
      <c r="M316" s="3">
        <f t="shared" si="185"/>
        <v>135</v>
      </c>
      <c r="N316" s="14"/>
      <c r="O316" s="5">
        <f t="shared" si="186"/>
        <v>137</v>
      </c>
      <c r="P316" s="14"/>
      <c r="Q316" s="3">
        <f t="shared" si="187"/>
        <v>139</v>
      </c>
      <c r="R316" s="14"/>
      <c r="S316" s="5">
        <f t="shared" si="188"/>
        <v>141</v>
      </c>
      <c r="T316" s="14"/>
      <c r="U316" s="3">
        <f t="shared" si="189"/>
        <v>144</v>
      </c>
      <c r="V316" s="14"/>
      <c r="W316" s="5">
        <f t="shared" si="190"/>
        <v>148</v>
      </c>
      <c r="X316" s="14"/>
      <c r="Y316" s="3">
        <f t="shared" si="191"/>
        <v>150</v>
      </c>
      <c r="Z316" s="14"/>
      <c r="AA316" s="5">
        <f t="shared" si="192"/>
        <v>152</v>
      </c>
      <c r="AB316" s="14"/>
      <c r="AC316" s="3">
        <f t="shared" si="193"/>
        <v>154</v>
      </c>
      <c r="AD316" s="14"/>
      <c r="AE316" s="5">
        <f t="shared" si="194"/>
        <v>157</v>
      </c>
      <c r="AF316" s="14"/>
      <c r="AG316" s="3">
        <f t="shared" si="195"/>
        <v>160</v>
      </c>
      <c r="AH316" s="14"/>
    </row>
    <row r="317" ht="28.049999237060547" customHeight="1">
      <c r="A317" s="2">
        <v>356</v>
      </c>
      <c r="B317" s="2" t="s">
        <v>113</v>
      </c>
      <c r="C317" s="13" t="s">
        <v>483</v>
      </c>
      <c r="D317" s="2" t="s">
        <v>25</v>
      </c>
      <c r="E317" s="2">
        <v>134</v>
      </c>
      <c r="F317" s="2" t="s">
        <v>30</v>
      </c>
      <c r="G317" s="2" t="s">
        <v>30</v>
      </c>
      <c r="H317" s="2">
        <v>35</v>
      </c>
      <c r="I317" s="3">
        <f t="shared" si="183"/>
        <v>134</v>
      </c>
      <c r="J317" s="14">
        <v>7440000000</v>
      </c>
      <c r="K317" s="5">
        <f t="shared" si="184"/>
        <v>135</v>
      </c>
      <c r="L317" s="14"/>
      <c r="M317" s="3">
        <f t="shared" si="185"/>
        <v>136</v>
      </c>
      <c r="N317" s="14"/>
      <c r="O317" s="5">
        <f t="shared" si="186"/>
        <v>138</v>
      </c>
      <c r="P317" s="14"/>
      <c r="Q317" s="3">
        <f t="shared" si="187"/>
        <v>140</v>
      </c>
      <c r="R317" s="14"/>
      <c r="S317" s="5">
        <f t="shared" si="188"/>
        <v>142</v>
      </c>
      <c r="T317" s="14"/>
      <c r="U317" s="3">
        <f t="shared" si="189"/>
        <v>145</v>
      </c>
      <c r="V317" s="14"/>
      <c r="W317" s="5">
        <f t="shared" si="190"/>
        <v>149</v>
      </c>
      <c r="X317" s="14"/>
      <c r="Y317" s="3">
        <f t="shared" si="191"/>
        <v>151</v>
      </c>
      <c r="Z317" s="14"/>
      <c r="AA317" s="5">
        <f t="shared" si="192"/>
        <v>153</v>
      </c>
      <c r="AB317" s="14"/>
      <c r="AC317" s="3">
        <f t="shared" si="193"/>
        <v>155</v>
      </c>
      <c r="AD317" s="14"/>
      <c r="AE317" s="5">
        <f t="shared" si="194"/>
        <v>158</v>
      </c>
      <c r="AF317" s="14"/>
      <c r="AG317" s="3">
        <f t="shared" si="195"/>
        <v>161</v>
      </c>
      <c r="AH317" s="14"/>
    </row>
    <row r="318" ht="28.049999237060547" customHeight="1">
      <c r="A318" s="2">
        <v>357</v>
      </c>
      <c r="B318" s="2" t="s">
        <v>81</v>
      </c>
      <c r="C318" s="13" t="s">
        <v>483</v>
      </c>
      <c r="D318" s="2" t="s">
        <v>25</v>
      </c>
      <c r="E318" s="2">
        <v>136</v>
      </c>
      <c r="F318" s="2" t="s">
        <v>30</v>
      </c>
      <c r="G318" s="2" t="s">
        <v>30</v>
      </c>
      <c r="H318" s="2">
        <v>36</v>
      </c>
      <c r="I318" s="3">
        <f t="shared" si="183"/>
        <v>136</v>
      </c>
      <c r="J318" s="14">
        <v>22800000000</v>
      </c>
      <c r="K318" s="5">
        <f t="shared" si="184"/>
        <v>137</v>
      </c>
      <c r="L318" s="14"/>
      <c r="M318" s="3">
        <f t="shared" si="185"/>
        <v>138</v>
      </c>
      <c r="N318" s="14"/>
      <c r="O318" s="5">
        <f t="shared" si="186"/>
        <v>140</v>
      </c>
      <c r="P318" s="14"/>
      <c r="Q318" s="3">
        <f t="shared" si="187"/>
        <v>142</v>
      </c>
      <c r="R318" s="14"/>
      <c r="S318" s="5">
        <f t="shared" si="188"/>
        <v>144</v>
      </c>
      <c r="T318" s="14"/>
      <c r="U318" s="3">
        <f t="shared" si="189"/>
        <v>147</v>
      </c>
      <c r="V318" s="14"/>
      <c r="W318" s="5">
        <f t="shared" si="190"/>
        <v>151</v>
      </c>
      <c r="X318" s="14"/>
      <c r="Y318" s="3">
        <f t="shared" si="191"/>
        <v>153</v>
      </c>
      <c r="Z318" s="14"/>
      <c r="AA318" s="5">
        <f t="shared" si="192"/>
        <v>155</v>
      </c>
      <c r="AB318" s="14"/>
      <c r="AC318" s="3">
        <f t="shared" si="193"/>
        <v>157</v>
      </c>
      <c r="AD318" s="14"/>
      <c r="AE318" s="5">
        <f t="shared" si="194"/>
        <v>160</v>
      </c>
      <c r="AF318" s="14"/>
      <c r="AG318" s="3">
        <f t="shared" si="195"/>
        <v>163</v>
      </c>
      <c r="AH318" s="14"/>
    </row>
    <row r="319" ht="28.049999237060547" customHeight="1">
      <c r="A319" s="2">
        <v>329</v>
      </c>
      <c r="B319" s="2" t="s">
        <v>485</v>
      </c>
      <c r="C319" s="13" t="s">
        <v>483</v>
      </c>
      <c r="D319" s="2" t="s">
        <v>33</v>
      </c>
      <c r="E319" s="2">
        <v>129</v>
      </c>
      <c r="F319" s="2" t="s">
        <v>30</v>
      </c>
      <c r="G319" s="2" t="s">
        <v>30</v>
      </c>
      <c r="H319" s="2">
        <v>32</v>
      </c>
      <c r="I319" s="3">
        <f t="shared" si="183"/>
        <v>129</v>
      </c>
      <c r="J319" s="14">
        <v>7440000000</v>
      </c>
      <c r="K319" s="5">
        <f t="shared" si="184"/>
        <v>130</v>
      </c>
      <c r="L319" s="14"/>
      <c r="M319" s="3">
        <f t="shared" si="185"/>
        <v>131</v>
      </c>
      <c r="N319" s="14"/>
      <c r="O319" s="5">
        <f t="shared" si="186"/>
        <v>133</v>
      </c>
      <c r="P319" s="14"/>
      <c r="Q319" s="3">
        <f t="shared" si="187"/>
        <v>135</v>
      </c>
      <c r="R319" s="14"/>
      <c r="S319" s="5">
        <f t="shared" si="188"/>
        <v>137</v>
      </c>
      <c r="T319" s="14"/>
      <c r="U319" s="3">
        <f t="shared" si="189"/>
        <v>140</v>
      </c>
      <c r="V319" s="14"/>
      <c r="W319" s="5">
        <f t="shared" si="190"/>
        <v>144</v>
      </c>
      <c r="X319" s="14"/>
      <c r="Y319" s="3">
        <f t="shared" si="191"/>
        <v>146</v>
      </c>
      <c r="Z319" s="14"/>
      <c r="AA319" s="5">
        <f t="shared" si="192"/>
        <v>148</v>
      </c>
      <c r="AB319" s="14"/>
      <c r="AC319" s="3">
        <f t="shared" si="193"/>
        <v>150</v>
      </c>
      <c r="AD319" s="14"/>
      <c r="AE319" s="5">
        <f t="shared" si="194"/>
        <v>153</v>
      </c>
      <c r="AF319" s="14"/>
      <c r="AG319" s="3">
        <f t="shared" si="195"/>
        <v>156</v>
      </c>
      <c r="AH319" s="14"/>
    </row>
    <row r="320" ht="28.049999237060547" customHeight="1">
      <c r="A320" s="2">
        <v>330</v>
      </c>
      <c r="B320" s="2" t="s">
        <v>486</v>
      </c>
      <c r="C320" s="13" t="s">
        <v>483</v>
      </c>
      <c r="D320" s="2" t="s">
        <v>33</v>
      </c>
      <c r="E320" s="2">
        <v>132</v>
      </c>
      <c r="F320" s="2" t="s">
        <v>42</v>
      </c>
      <c r="G320" s="2" t="s">
        <v>42</v>
      </c>
      <c r="H320" s="2">
        <v>34</v>
      </c>
      <c r="I320" s="3">
        <f t="shared" si="183"/>
        <v>132</v>
      </c>
      <c r="J320" s="14">
        <v>7840000000</v>
      </c>
      <c r="K320" s="5">
        <f t="shared" si="184"/>
        <v>133</v>
      </c>
      <c r="L320" s="14"/>
      <c r="M320" s="3">
        <f t="shared" si="185"/>
        <v>134</v>
      </c>
      <c r="N320" s="14"/>
      <c r="O320" s="5">
        <f t="shared" si="186"/>
        <v>136</v>
      </c>
      <c r="P320" s="14"/>
      <c r="Q320" s="3">
        <f t="shared" si="187"/>
        <v>138</v>
      </c>
      <c r="R320" s="14"/>
      <c r="S320" s="5">
        <f t="shared" si="188"/>
        <v>140</v>
      </c>
      <c r="T320" s="14"/>
      <c r="U320" s="3">
        <f t="shared" si="189"/>
        <v>143</v>
      </c>
      <c r="V320" s="14"/>
      <c r="W320" s="5">
        <f t="shared" si="190"/>
        <v>147</v>
      </c>
      <c r="X320" s="14"/>
      <c r="Y320" s="3">
        <f t="shared" si="191"/>
        <v>149</v>
      </c>
      <c r="Z320" s="14"/>
      <c r="AA320" s="5">
        <f t="shared" si="192"/>
        <v>151</v>
      </c>
      <c r="AB320" s="14"/>
      <c r="AC320" s="3">
        <f t="shared" si="193"/>
        <v>153</v>
      </c>
      <c r="AD320" s="14"/>
      <c r="AE320" s="5">
        <f t="shared" si="194"/>
        <v>156</v>
      </c>
      <c r="AF320" s="14"/>
      <c r="AG320" s="3">
        <f t="shared" si="195"/>
        <v>159</v>
      </c>
      <c r="AH320" s="14"/>
    </row>
    <row r="321" ht="28.049999237060547" customHeight="1">
      <c r="A321" s="2">
        <v>331</v>
      </c>
      <c r="B321" s="2" t="s">
        <v>487</v>
      </c>
      <c r="C321" s="13" t="s">
        <v>483</v>
      </c>
      <c r="D321" s="2" t="s">
        <v>33</v>
      </c>
      <c r="E321" s="2">
        <v>132</v>
      </c>
      <c r="F321" s="2" t="s">
        <v>30</v>
      </c>
      <c r="G321" s="2" t="s">
        <v>30</v>
      </c>
      <c r="H321" s="2">
        <v>35</v>
      </c>
      <c r="I321" s="3">
        <f t="shared" si="183"/>
        <v>132</v>
      </c>
      <c r="J321" s="14">
        <v>5180000000</v>
      </c>
      <c r="K321" s="5">
        <f t="shared" si="184"/>
        <v>133</v>
      </c>
      <c r="L321" s="14"/>
      <c r="M321" s="3">
        <f t="shared" si="185"/>
        <v>134</v>
      </c>
      <c r="N321" s="14"/>
      <c r="O321" s="5">
        <f t="shared" si="186"/>
        <v>136</v>
      </c>
      <c r="P321" s="14"/>
      <c r="Q321" s="3">
        <f t="shared" si="187"/>
        <v>138</v>
      </c>
      <c r="R321" s="14"/>
      <c r="S321" s="5">
        <f t="shared" si="188"/>
        <v>140</v>
      </c>
      <c r="T321" s="14"/>
      <c r="U321" s="3">
        <f t="shared" si="189"/>
        <v>143</v>
      </c>
      <c r="V321" s="14"/>
      <c r="W321" s="5">
        <f t="shared" si="190"/>
        <v>147</v>
      </c>
      <c r="X321" s="14"/>
      <c r="Y321" s="3">
        <f t="shared" si="191"/>
        <v>149</v>
      </c>
      <c r="Z321" s="14"/>
      <c r="AA321" s="5">
        <f t="shared" si="192"/>
        <v>151</v>
      </c>
      <c r="AB321" s="14"/>
      <c r="AC321" s="3">
        <f t="shared" si="193"/>
        <v>153</v>
      </c>
      <c r="AD321" s="14"/>
      <c r="AE321" s="5">
        <f t="shared" si="194"/>
        <v>156</v>
      </c>
      <c r="AF321" s="14"/>
      <c r="AG321" s="3">
        <f t="shared" si="195"/>
        <v>159</v>
      </c>
      <c r="AH321" s="14"/>
    </row>
    <row r="322" ht="28.049999237060547" customHeight="1">
      <c r="A322" s="2">
        <v>332</v>
      </c>
      <c r="B322" s="2" t="s">
        <v>176</v>
      </c>
      <c r="C322" s="13" t="s">
        <v>483</v>
      </c>
      <c r="D322" s="2" t="s">
        <v>33</v>
      </c>
      <c r="E322" s="2">
        <v>133</v>
      </c>
      <c r="F322" s="2" t="s">
        <v>54</v>
      </c>
      <c r="G322" s="2" t="s">
        <v>54</v>
      </c>
      <c r="H322" s="2">
        <v>35</v>
      </c>
      <c r="I322" s="3">
        <f t="shared" si="183"/>
        <v>133</v>
      </c>
      <c r="J322" s="14">
        <v>5600000000</v>
      </c>
      <c r="K322" s="5">
        <f t="shared" si="184"/>
        <v>134</v>
      </c>
      <c r="L322" s="14"/>
      <c r="M322" s="3">
        <f t="shared" si="185"/>
        <v>135</v>
      </c>
      <c r="N322" s="14"/>
      <c r="O322" s="5">
        <f t="shared" si="186"/>
        <v>137</v>
      </c>
      <c r="P322" s="14"/>
      <c r="Q322" s="3">
        <f t="shared" si="187"/>
        <v>139</v>
      </c>
      <c r="R322" s="14"/>
      <c r="S322" s="5">
        <f t="shared" si="188"/>
        <v>141</v>
      </c>
      <c r="T322" s="14"/>
      <c r="U322" s="3">
        <f t="shared" si="189"/>
        <v>144</v>
      </c>
      <c r="V322" s="14"/>
      <c r="W322" s="5">
        <f t="shared" si="190"/>
        <v>148</v>
      </c>
      <c r="X322" s="14"/>
      <c r="Y322" s="3">
        <f t="shared" si="191"/>
        <v>150</v>
      </c>
      <c r="Z322" s="14"/>
      <c r="AA322" s="5">
        <f t="shared" si="192"/>
        <v>152</v>
      </c>
      <c r="AB322" s="14"/>
      <c r="AC322" s="3">
        <f t="shared" si="193"/>
        <v>154</v>
      </c>
      <c r="AD322" s="14"/>
      <c r="AE322" s="5">
        <f t="shared" si="194"/>
        <v>157</v>
      </c>
      <c r="AF322" s="14"/>
      <c r="AG322" s="3">
        <f t="shared" si="195"/>
        <v>160</v>
      </c>
      <c r="AH322" s="14"/>
    </row>
    <row r="323" ht="28.049999237060547" customHeight="1">
      <c r="A323" s="2">
        <v>333</v>
      </c>
      <c r="B323" s="2" t="s">
        <v>162</v>
      </c>
      <c r="C323" s="13" t="s">
        <v>483</v>
      </c>
      <c r="D323" s="2" t="s">
        <v>33</v>
      </c>
      <c r="E323" s="2">
        <v>133</v>
      </c>
      <c r="F323" s="2" t="s">
        <v>71</v>
      </c>
      <c r="G323" s="2" t="s">
        <v>71</v>
      </c>
      <c r="H323" s="2">
        <v>34</v>
      </c>
      <c r="I323" s="3">
        <f t="shared" si="183"/>
        <v>133</v>
      </c>
      <c r="J323" s="14">
        <v>7840000000</v>
      </c>
      <c r="K323" s="5">
        <f t="shared" si="184"/>
        <v>134</v>
      </c>
      <c r="L323" s="14"/>
      <c r="M323" s="3">
        <f t="shared" si="185"/>
        <v>135</v>
      </c>
      <c r="N323" s="14"/>
      <c r="O323" s="5">
        <f t="shared" si="186"/>
        <v>137</v>
      </c>
      <c r="P323" s="14"/>
      <c r="Q323" s="3">
        <f t="shared" si="187"/>
        <v>139</v>
      </c>
      <c r="R323" s="14"/>
      <c r="S323" s="5">
        <f t="shared" si="188"/>
        <v>141</v>
      </c>
      <c r="T323" s="14"/>
      <c r="U323" s="3">
        <f t="shared" si="189"/>
        <v>144</v>
      </c>
      <c r="V323" s="14"/>
      <c r="W323" s="5">
        <f t="shared" si="190"/>
        <v>148</v>
      </c>
      <c r="X323" s="14"/>
      <c r="Y323" s="3">
        <f t="shared" si="191"/>
        <v>150</v>
      </c>
      <c r="Z323" s="14"/>
      <c r="AA323" s="5">
        <f t="shared" si="192"/>
        <v>152</v>
      </c>
      <c r="AB323" s="14"/>
      <c r="AC323" s="3">
        <f t="shared" si="193"/>
        <v>154</v>
      </c>
      <c r="AD323" s="14"/>
      <c r="AE323" s="5">
        <f t="shared" si="194"/>
        <v>157</v>
      </c>
      <c r="AF323" s="14"/>
      <c r="AG323" s="3">
        <f t="shared" si="195"/>
        <v>160</v>
      </c>
      <c r="AH323" s="14"/>
    </row>
    <row r="324" ht="28.049999237060547" customHeight="1">
      <c r="A324" s="2">
        <v>334</v>
      </c>
      <c r="B324" s="2" t="s">
        <v>175</v>
      </c>
      <c r="C324" s="13" t="s">
        <v>483</v>
      </c>
      <c r="D324" s="2" t="s">
        <v>33</v>
      </c>
      <c r="E324" s="2">
        <v>133</v>
      </c>
      <c r="F324" s="2" t="s">
        <v>54</v>
      </c>
      <c r="G324" s="2" t="s">
        <v>54</v>
      </c>
      <c r="H324" s="2">
        <v>34</v>
      </c>
      <c r="I324" s="3">
        <f t="shared" si="183"/>
        <v>133</v>
      </c>
      <c r="J324" s="14">
        <v>5980000000</v>
      </c>
      <c r="K324" s="5">
        <f t="shared" si="184"/>
        <v>134</v>
      </c>
      <c r="L324" s="14"/>
      <c r="M324" s="3">
        <f t="shared" si="185"/>
        <v>135</v>
      </c>
      <c r="N324" s="14"/>
      <c r="O324" s="5">
        <f t="shared" si="186"/>
        <v>137</v>
      </c>
      <c r="P324" s="14"/>
      <c r="Q324" s="3">
        <f t="shared" si="187"/>
        <v>139</v>
      </c>
      <c r="R324" s="14"/>
      <c r="S324" s="5">
        <f t="shared" si="188"/>
        <v>141</v>
      </c>
      <c r="T324" s="14"/>
      <c r="U324" s="3">
        <f t="shared" si="189"/>
        <v>144</v>
      </c>
      <c r="V324" s="14"/>
      <c r="W324" s="5">
        <f t="shared" si="190"/>
        <v>148</v>
      </c>
      <c r="X324" s="14"/>
      <c r="Y324" s="3">
        <f t="shared" si="191"/>
        <v>150</v>
      </c>
      <c r="Z324" s="14"/>
      <c r="AA324" s="5">
        <f t="shared" si="192"/>
        <v>152</v>
      </c>
      <c r="AB324" s="14"/>
      <c r="AC324" s="3">
        <f t="shared" si="193"/>
        <v>154</v>
      </c>
      <c r="AD324" s="14"/>
      <c r="AE324" s="5">
        <f t="shared" si="194"/>
        <v>157</v>
      </c>
      <c r="AF324" s="14"/>
      <c r="AG324" s="3">
        <f t="shared" si="195"/>
        <v>160</v>
      </c>
      <c r="AH324" s="14"/>
    </row>
    <row r="325" ht="28.049999237060547" customHeight="1">
      <c r="A325" s="2">
        <v>335</v>
      </c>
      <c r="B325" s="2" t="s">
        <v>149</v>
      </c>
      <c r="C325" s="13" t="s">
        <v>483</v>
      </c>
      <c r="D325" s="2" t="s">
        <v>33</v>
      </c>
      <c r="E325" s="2">
        <v>135</v>
      </c>
      <c r="F325" s="2" t="s">
        <v>56</v>
      </c>
      <c r="G325" s="2" t="s">
        <v>56</v>
      </c>
      <c r="H325" s="2">
        <v>37</v>
      </c>
      <c r="I325" s="3">
        <f t="shared" si="183"/>
        <v>135</v>
      </c>
      <c r="J325" s="14">
        <v>5000000000</v>
      </c>
      <c r="K325" s="5">
        <f t="shared" si="184"/>
        <v>136</v>
      </c>
      <c r="L325" s="14"/>
      <c r="M325" s="3">
        <f t="shared" si="185"/>
        <v>137</v>
      </c>
      <c r="N325" s="14"/>
      <c r="O325" s="5">
        <f t="shared" si="186"/>
        <v>139</v>
      </c>
      <c r="P325" s="14"/>
      <c r="Q325" s="3">
        <f t="shared" si="187"/>
        <v>141</v>
      </c>
      <c r="R325" s="14"/>
      <c r="S325" s="5">
        <f t="shared" si="188"/>
        <v>143</v>
      </c>
      <c r="T325" s="14"/>
      <c r="U325" s="3">
        <f t="shared" si="189"/>
        <v>146</v>
      </c>
      <c r="V325" s="14"/>
      <c r="W325" s="5">
        <f t="shared" si="190"/>
        <v>150</v>
      </c>
      <c r="X325" s="14"/>
      <c r="Y325" s="3">
        <f t="shared" si="191"/>
        <v>152</v>
      </c>
      <c r="Z325" s="14"/>
      <c r="AA325" s="5">
        <f t="shared" si="192"/>
        <v>154</v>
      </c>
      <c r="AB325" s="14"/>
      <c r="AC325" s="3">
        <f t="shared" si="193"/>
        <v>156</v>
      </c>
      <c r="AD325" s="14"/>
      <c r="AE325" s="5">
        <f t="shared" si="194"/>
        <v>159</v>
      </c>
      <c r="AF325" s="14"/>
      <c r="AG325" s="3">
        <f t="shared" si="195"/>
        <v>162</v>
      </c>
      <c r="AH325" s="14"/>
    </row>
    <row r="326" ht="28.049999237060547" customHeight="1">
      <c r="A326" s="2">
        <v>336</v>
      </c>
      <c r="B326" s="2" t="s">
        <v>125</v>
      </c>
      <c r="C326" s="13" t="s">
        <v>483</v>
      </c>
      <c r="D326" s="2" t="s">
        <v>33</v>
      </c>
      <c r="E326" s="2">
        <v>135</v>
      </c>
      <c r="F326" s="2" t="s">
        <v>56</v>
      </c>
      <c r="G326" s="2" t="s">
        <v>56</v>
      </c>
      <c r="H326" s="2">
        <v>36</v>
      </c>
      <c r="I326" s="3">
        <f t="shared" si="183"/>
        <v>135</v>
      </c>
      <c r="J326" s="14">
        <v>11600000000</v>
      </c>
      <c r="K326" s="5">
        <f t="shared" si="184"/>
        <v>136</v>
      </c>
      <c r="L326" s="14"/>
      <c r="M326" s="3">
        <f t="shared" si="185"/>
        <v>137</v>
      </c>
      <c r="N326" s="14"/>
      <c r="O326" s="5">
        <f t="shared" si="186"/>
        <v>139</v>
      </c>
      <c r="P326" s="14"/>
      <c r="Q326" s="3">
        <f t="shared" si="187"/>
        <v>141</v>
      </c>
      <c r="R326" s="14"/>
      <c r="S326" s="5">
        <f t="shared" si="188"/>
        <v>143</v>
      </c>
      <c r="T326" s="14"/>
      <c r="U326" s="3">
        <f t="shared" si="189"/>
        <v>146</v>
      </c>
      <c r="V326" s="14"/>
      <c r="W326" s="5">
        <f t="shared" si="190"/>
        <v>150</v>
      </c>
      <c r="X326" s="14"/>
      <c r="Y326" s="3">
        <f t="shared" si="191"/>
        <v>152</v>
      </c>
      <c r="Z326" s="14"/>
      <c r="AA326" s="5">
        <f t="shared" si="192"/>
        <v>154</v>
      </c>
      <c r="AB326" s="14"/>
      <c r="AC326" s="3">
        <f t="shared" si="193"/>
        <v>156</v>
      </c>
      <c r="AD326" s="14"/>
      <c r="AE326" s="5">
        <f t="shared" si="194"/>
        <v>159</v>
      </c>
      <c r="AF326" s="14"/>
      <c r="AG326" s="3">
        <f t="shared" si="195"/>
        <v>162</v>
      </c>
      <c r="AH326" s="14"/>
    </row>
    <row r="327" ht="28.049999237060547" customHeight="1">
      <c r="A327" s="2">
        <v>337</v>
      </c>
      <c r="B327" s="2" t="s">
        <v>32</v>
      </c>
      <c r="C327" s="13" t="s">
        <v>483</v>
      </c>
      <c r="D327" s="2" t="s">
        <v>33</v>
      </c>
      <c r="E327" s="2">
        <v>136</v>
      </c>
      <c r="F327" s="2" t="s">
        <v>34</v>
      </c>
      <c r="G327" s="2" t="s">
        <v>34</v>
      </c>
      <c r="H327" s="2">
        <v>37</v>
      </c>
      <c r="I327" s="3">
        <f t="shared" si="183"/>
        <v>136</v>
      </c>
      <c r="J327" s="14">
        <v>32800000000</v>
      </c>
      <c r="K327" s="5">
        <f t="shared" si="184"/>
        <v>137</v>
      </c>
      <c r="L327" s="14"/>
      <c r="M327" s="3">
        <f t="shared" si="185"/>
        <v>138</v>
      </c>
      <c r="N327" s="14"/>
      <c r="O327" s="5">
        <f t="shared" si="186"/>
        <v>140</v>
      </c>
      <c r="P327" s="14"/>
      <c r="Q327" s="3">
        <f t="shared" si="187"/>
        <v>142</v>
      </c>
      <c r="R327" s="14"/>
      <c r="S327" s="5">
        <f t="shared" si="188"/>
        <v>144</v>
      </c>
      <c r="T327" s="14"/>
      <c r="U327" s="3">
        <f t="shared" si="189"/>
        <v>147</v>
      </c>
      <c r="V327" s="14"/>
      <c r="W327" s="5">
        <f t="shared" si="190"/>
        <v>151</v>
      </c>
      <c r="X327" s="14"/>
      <c r="Y327" s="3">
        <f t="shared" si="191"/>
        <v>153</v>
      </c>
      <c r="Z327" s="14"/>
      <c r="AA327" s="5">
        <f t="shared" si="192"/>
        <v>155</v>
      </c>
      <c r="AB327" s="14"/>
      <c r="AC327" s="3">
        <f t="shared" si="193"/>
        <v>157</v>
      </c>
      <c r="AD327" s="14"/>
      <c r="AE327" s="5">
        <f t="shared" si="194"/>
        <v>160</v>
      </c>
      <c r="AF327" s="14"/>
      <c r="AG327" s="3">
        <f t="shared" si="195"/>
        <v>163</v>
      </c>
      <c r="AH327" s="14"/>
    </row>
    <row r="328" ht="28.049999237060547" customHeight="1">
      <c r="A328" s="2">
        <v>340</v>
      </c>
      <c r="B328" s="2" t="s">
        <v>193</v>
      </c>
      <c r="C328" s="13" t="s">
        <v>483</v>
      </c>
      <c r="D328" s="2" t="s">
        <v>102</v>
      </c>
      <c r="E328" s="2">
        <v>131</v>
      </c>
      <c r="F328" s="2" t="s">
        <v>194</v>
      </c>
      <c r="G328" s="2" t="s">
        <v>194</v>
      </c>
      <c r="H328" s="2">
        <v>34</v>
      </c>
      <c r="I328" s="3">
        <f t="shared" si="183"/>
        <v>131</v>
      </c>
      <c r="J328" s="14">
        <v>16900000000</v>
      </c>
      <c r="K328" s="5">
        <f t="shared" si="184"/>
        <v>132</v>
      </c>
      <c r="L328" s="14"/>
      <c r="M328" s="3">
        <f t="shared" si="185"/>
        <v>133</v>
      </c>
      <c r="N328" s="14"/>
      <c r="O328" s="5">
        <f t="shared" si="186"/>
        <v>135</v>
      </c>
      <c r="P328" s="14"/>
      <c r="Q328" s="3">
        <f t="shared" si="187"/>
        <v>137</v>
      </c>
      <c r="R328" s="14"/>
      <c r="S328" s="5">
        <f t="shared" si="188"/>
        <v>139</v>
      </c>
      <c r="T328" s="14"/>
      <c r="U328" s="3">
        <f t="shared" si="189"/>
        <v>142</v>
      </c>
      <c r="V328" s="14"/>
      <c r="W328" s="5">
        <f t="shared" si="190"/>
        <v>146</v>
      </c>
      <c r="X328" s="14"/>
      <c r="Y328" s="3">
        <f t="shared" si="191"/>
        <v>148</v>
      </c>
      <c r="Z328" s="14"/>
      <c r="AA328" s="5">
        <f t="shared" si="192"/>
        <v>150</v>
      </c>
      <c r="AB328" s="14"/>
      <c r="AC328" s="3">
        <f t="shared" si="193"/>
        <v>152</v>
      </c>
      <c r="AD328" s="14"/>
      <c r="AE328" s="5">
        <f t="shared" si="194"/>
        <v>155</v>
      </c>
      <c r="AF328" s="14"/>
      <c r="AG328" s="3">
        <f t="shared" si="195"/>
        <v>158</v>
      </c>
      <c r="AH328" s="14"/>
    </row>
    <row r="329" ht="28.049999237060547" customHeight="1">
      <c r="A329" s="2">
        <v>341</v>
      </c>
      <c r="B329" s="2" t="s">
        <v>189</v>
      </c>
      <c r="C329" s="13" t="s">
        <v>483</v>
      </c>
      <c r="D329" s="2" t="s">
        <v>102</v>
      </c>
      <c r="E329" s="2">
        <v>132</v>
      </c>
      <c r="F329" s="2" t="s">
        <v>62</v>
      </c>
      <c r="G329" s="2" t="s">
        <v>62</v>
      </c>
      <c r="H329" s="2">
        <v>34</v>
      </c>
      <c r="I329" s="3">
        <f t="shared" si="183"/>
        <v>132</v>
      </c>
      <c r="J329" s="14">
        <v>8840000000</v>
      </c>
      <c r="K329" s="5">
        <f t="shared" si="184"/>
        <v>133</v>
      </c>
      <c r="L329" s="14"/>
      <c r="M329" s="3">
        <f t="shared" si="185"/>
        <v>134</v>
      </c>
      <c r="N329" s="14"/>
      <c r="O329" s="5">
        <f t="shared" si="186"/>
        <v>136</v>
      </c>
      <c r="P329" s="14"/>
      <c r="Q329" s="3">
        <f t="shared" si="187"/>
        <v>138</v>
      </c>
      <c r="R329" s="14"/>
      <c r="S329" s="5">
        <f t="shared" si="188"/>
        <v>140</v>
      </c>
      <c r="T329" s="14"/>
      <c r="U329" s="3">
        <f t="shared" si="189"/>
        <v>143</v>
      </c>
      <c r="V329" s="14"/>
      <c r="W329" s="5">
        <f t="shared" si="190"/>
        <v>147</v>
      </c>
      <c r="X329" s="14"/>
      <c r="Y329" s="3">
        <f t="shared" si="191"/>
        <v>149</v>
      </c>
      <c r="Z329" s="14"/>
      <c r="AA329" s="5">
        <f t="shared" si="192"/>
        <v>151</v>
      </c>
      <c r="AB329" s="14"/>
      <c r="AC329" s="3">
        <f t="shared" si="193"/>
        <v>153</v>
      </c>
      <c r="AD329" s="14"/>
      <c r="AE329" s="5">
        <f t="shared" si="194"/>
        <v>156</v>
      </c>
      <c r="AF329" s="14"/>
      <c r="AG329" s="3">
        <f t="shared" si="195"/>
        <v>159</v>
      </c>
      <c r="AH329" s="14"/>
    </row>
    <row r="330" ht="28.049999237060547" customHeight="1">
      <c r="A330" s="2">
        <v>342</v>
      </c>
      <c r="B330" s="2" t="s">
        <v>288</v>
      </c>
      <c r="C330" s="13" t="s">
        <v>483</v>
      </c>
      <c r="D330" s="2" t="s">
        <v>102</v>
      </c>
      <c r="E330" s="2">
        <v>134</v>
      </c>
      <c r="F330" s="2" t="s">
        <v>30</v>
      </c>
      <c r="G330" s="2" t="s">
        <v>30</v>
      </c>
      <c r="H330" s="2">
        <v>35</v>
      </c>
      <c r="I330" s="3">
        <f t="shared" si="183"/>
        <v>134</v>
      </c>
      <c r="J330" s="14">
        <v>21500000000</v>
      </c>
      <c r="K330" s="5">
        <f t="shared" si="184"/>
        <v>135</v>
      </c>
      <c r="L330" s="14"/>
      <c r="M330" s="3">
        <f t="shared" si="185"/>
        <v>136</v>
      </c>
      <c r="N330" s="14"/>
      <c r="O330" s="5">
        <f t="shared" si="186"/>
        <v>138</v>
      </c>
      <c r="P330" s="14"/>
      <c r="Q330" s="3">
        <f t="shared" si="187"/>
        <v>140</v>
      </c>
      <c r="R330" s="14"/>
      <c r="S330" s="5">
        <f t="shared" si="188"/>
        <v>142</v>
      </c>
      <c r="T330" s="14"/>
      <c r="U330" s="3">
        <f t="shared" si="189"/>
        <v>145</v>
      </c>
      <c r="V330" s="14"/>
      <c r="W330" s="5">
        <f t="shared" si="190"/>
        <v>149</v>
      </c>
      <c r="X330" s="14"/>
      <c r="Y330" s="3">
        <f t="shared" si="191"/>
        <v>151</v>
      </c>
      <c r="Z330" s="14"/>
      <c r="AA330" s="5">
        <f t="shared" si="192"/>
        <v>153</v>
      </c>
      <c r="AB330" s="14"/>
      <c r="AC330" s="3">
        <f t="shared" si="193"/>
        <v>155</v>
      </c>
      <c r="AD330" s="14"/>
      <c r="AE330" s="5">
        <f t="shared" si="194"/>
        <v>158</v>
      </c>
      <c r="AF330" s="14"/>
      <c r="AG330" s="3">
        <f t="shared" si="195"/>
        <v>161</v>
      </c>
      <c r="AH330" s="14"/>
    </row>
    <row r="331" ht="28.049999237060547" customHeight="1">
      <c r="A331" s="2">
        <v>343</v>
      </c>
      <c r="B331" s="2" t="s">
        <v>148</v>
      </c>
      <c r="C331" s="13" t="s">
        <v>483</v>
      </c>
      <c r="D331" s="2" t="s">
        <v>102</v>
      </c>
      <c r="E331" s="2">
        <v>135</v>
      </c>
      <c r="F331" s="2" t="s">
        <v>54</v>
      </c>
      <c r="G331" s="2" t="s">
        <v>54</v>
      </c>
      <c r="H331" s="2">
        <v>36</v>
      </c>
      <c r="I331" s="3">
        <f t="shared" si="183"/>
        <v>135</v>
      </c>
      <c r="J331" s="14">
        <v>18600000000</v>
      </c>
      <c r="K331" s="5">
        <f t="shared" si="184"/>
        <v>136</v>
      </c>
      <c r="L331" s="14"/>
      <c r="M331" s="3">
        <f t="shared" si="185"/>
        <v>137</v>
      </c>
      <c r="N331" s="14"/>
      <c r="O331" s="5">
        <f t="shared" si="186"/>
        <v>139</v>
      </c>
      <c r="P331" s="14"/>
      <c r="Q331" s="3">
        <f t="shared" si="187"/>
        <v>141</v>
      </c>
      <c r="R331" s="14"/>
      <c r="S331" s="5">
        <f t="shared" si="188"/>
        <v>143</v>
      </c>
      <c r="T331" s="14"/>
      <c r="U331" s="3">
        <f t="shared" si="189"/>
        <v>146</v>
      </c>
      <c r="V331" s="14"/>
      <c r="W331" s="5">
        <f t="shared" si="190"/>
        <v>150</v>
      </c>
      <c r="X331" s="14"/>
      <c r="Y331" s="3">
        <f t="shared" si="191"/>
        <v>152</v>
      </c>
      <c r="Z331" s="14"/>
      <c r="AA331" s="5">
        <f t="shared" si="192"/>
        <v>154</v>
      </c>
      <c r="AB331" s="14"/>
      <c r="AC331" s="3">
        <f t="shared" si="193"/>
        <v>156</v>
      </c>
      <c r="AD331" s="14"/>
      <c r="AE331" s="5">
        <f t="shared" si="194"/>
        <v>159</v>
      </c>
      <c r="AF331" s="14"/>
      <c r="AG331" s="3">
        <f t="shared" si="195"/>
        <v>162</v>
      </c>
      <c r="AH331" s="14"/>
    </row>
    <row r="332" ht="28.049999237060547" customHeight="1">
      <c r="A332" s="2">
        <v>358</v>
      </c>
      <c r="B332" s="2" t="s">
        <v>121</v>
      </c>
      <c r="C332" s="13" t="s">
        <v>483</v>
      </c>
      <c r="D332" s="2" t="s">
        <v>29</v>
      </c>
      <c r="E332" s="2">
        <v>133</v>
      </c>
      <c r="F332" s="2" t="s">
        <v>62</v>
      </c>
      <c r="G332" s="2" t="s">
        <v>62</v>
      </c>
      <c r="H332" s="2">
        <v>35</v>
      </c>
      <c r="I332" s="3">
        <f t="shared" si="183"/>
        <v>133</v>
      </c>
      <c r="J332" s="14">
        <v>9600000000</v>
      </c>
      <c r="K332" s="5">
        <f t="shared" si="184"/>
        <v>134</v>
      </c>
      <c r="L332" s="14"/>
      <c r="M332" s="3">
        <f t="shared" si="185"/>
        <v>135</v>
      </c>
      <c r="N332" s="14"/>
      <c r="O332" s="5">
        <f t="shared" si="186"/>
        <v>137</v>
      </c>
      <c r="P332" s="14"/>
      <c r="Q332" s="3">
        <f t="shared" si="187"/>
        <v>139</v>
      </c>
      <c r="R332" s="14"/>
      <c r="S332" s="5">
        <f t="shared" si="188"/>
        <v>141</v>
      </c>
      <c r="T332" s="14"/>
      <c r="U332" s="3">
        <f t="shared" si="189"/>
        <v>144</v>
      </c>
      <c r="V332" s="14"/>
      <c r="W332" s="5">
        <f t="shared" si="190"/>
        <v>148</v>
      </c>
      <c r="X332" s="14"/>
      <c r="Y332" s="3">
        <f t="shared" si="191"/>
        <v>150</v>
      </c>
      <c r="Z332" s="14"/>
      <c r="AA332" s="5">
        <f t="shared" si="192"/>
        <v>152</v>
      </c>
      <c r="AB332" s="14"/>
      <c r="AC332" s="3">
        <f t="shared" si="193"/>
        <v>154</v>
      </c>
      <c r="AD332" s="14"/>
      <c r="AE332" s="5">
        <f t="shared" si="194"/>
        <v>157</v>
      </c>
      <c r="AF332" s="14"/>
      <c r="AG332" s="3">
        <f t="shared" si="195"/>
        <v>160</v>
      </c>
      <c r="AH332" s="14"/>
    </row>
    <row r="333" ht="28.049999237060547" customHeight="1">
      <c r="A333" s="2">
        <v>359</v>
      </c>
      <c r="B333" s="2" t="s">
        <v>41</v>
      </c>
      <c r="C333" s="13" t="s">
        <v>483</v>
      </c>
      <c r="D333" s="2" t="s">
        <v>29</v>
      </c>
      <c r="E333" s="2">
        <v>136</v>
      </c>
      <c r="F333" s="2" t="s">
        <v>42</v>
      </c>
      <c r="G333" s="2" t="s">
        <v>42</v>
      </c>
      <c r="H333" s="2">
        <v>38</v>
      </c>
      <c r="I333" s="3">
        <f t="shared" si="183"/>
        <v>136</v>
      </c>
      <c r="J333" s="14">
        <v>14700000000</v>
      </c>
      <c r="K333" s="5">
        <f t="shared" si="184"/>
        <v>137</v>
      </c>
      <c r="L333" s="14"/>
      <c r="M333" s="3">
        <f t="shared" si="185"/>
        <v>138</v>
      </c>
      <c r="N333" s="14"/>
      <c r="O333" s="5">
        <f t="shared" si="186"/>
        <v>140</v>
      </c>
      <c r="P333" s="14"/>
      <c r="Q333" s="3">
        <f t="shared" si="187"/>
        <v>142</v>
      </c>
      <c r="R333" s="14"/>
      <c r="S333" s="5">
        <f t="shared" si="188"/>
        <v>144</v>
      </c>
      <c r="T333" s="14"/>
      <c r="U333" s="3">
        <f t="shared" si="189"/>
        <v>147</v>
      </c>
      <c r="V333" s="14"/>
      <c r="W333" s="5">
        <f t="shared" si="190"/>
        <v>151</v>
      </c>
      <c r="X333" s="14"/>
      <c r="Y333" s="3">
        <f t="shared" si="191"/>
        <v>153</v>
      </c>
      <c r="Z333" s="14"/>
      <c r="AA333" s="5">
        <f t="shared" si="192"/>
        <v>155</v>
      </c>
      <c r="AB333" s="14"/>
      <c r="AC333" s="3">
        <f t="shared" si="193"/>
        <v>157</v>
      </c>
      <c r="AD333" s="14"/>
      <c r="AE333" s="5">
        <f t="shared" si="194"/>
        <v>160</v>
      </c>
      <c r="AF333" s="14"/>
      <c r="AG333" s="3">
        <f t="shared" si="195"/>
        <v>163</v>
      </c>
      <c r="AH333" s="14"/>
    </row>
    <row r="334" ht="28.049999237060547" customHeight="1">
      <c r="A334" s="2">
        <v>323</v>
      </c>
      <c r="B334" s="2" t="s">
        <v>488</v>
      </c>
      <c r="C334" s="13" t="s">
        <v>483</v>
      </c>
      <c r="D334" s="2" t="s">
        <v>45</v>
      </c>
      <c r="E334" s="2">
        <v>124</v>
      </c>
      <c r="F334" s="2" t="s">
        <v>484</v>
      </c>
      <c r="G334" s="2" t="s">
        <v>484</v>
      </c>
      <c r="H334" s="2">
        <v>29</v>
      </c>
      <c r="I334" s="3">
        <f t="shared" si="183"/>
        <v>124</v>
      </c>
      <c r="J334" s="14">
        <v>0</v>
      </c>
      <c r="K334" s="5">
        <f t="shared" si="184"/>
        <v>125</v>
      </c>
      <c r="L334" s="14">
        <v>0</v>
      </c>
      <c r="M334" s="3">
        <f t="shared" si="185"/>
        <v>126</v>
      </c>
      <c r="N334" s="14">
        <v>0</v>
      </c>
      <c r="O334" s="5">
        <f t="shared" si="186"/>
        <v>128</v>
      </c>
      <c r="P334" s="14">
        <v>0</v>
      </c>
      <c r="Q334" s="3">
        <f t="shared" si="187"/>
        <v>130</v>
      </c>
      <c r="R334" s="14">
        <v>0</v>
      </c>
      <c r="S334" s="5">
        <f t="shared" si="188"/>
        <v>132</v>
      </c>
      <c r="T334" s="14">
        <v>0</v>
      </c>
      <c r="U334" s="3">
        <f t="shared" si="189"/>
        <v>135</v>
      </c>
      <c r="V334" s="14">
        <v>0</v>
      </c>
      <c r="W334" s="5">
        <f t="shared" si="190"/>
        <v>139</v>
      </c>
      <c r="X334" s="14">
        <v>0</v>
      </c>
      <c r="Y334" s="3">
        <f t="shared" si="191"/>
        <v>141</v>
      </c>
      <c r="Z334" s="14">
        <v>0</v>
      </c>
      <c r="AA334" s="5">
        <f t="shared" si="192"/>
        <v>143</v>
      </c>
      <c r="AB334" s="14">
        <v>0</v>
      </c>
      <c r="AC334" s="3">
        <f t="shared" si="193"/>
        <v>145</v>
      </c>
      <c r="AD334" s="14">
        <v>0</v>
      </c>
      <c r="AE334" s="5">
        <f t="shared" si="194"/>
        <v>148</v>
      </c>
      <c r="AF334" s="14">
        <v>0</v>
      </c>
      <c r="AG334" s="3">
        <f t="shared" si="195"/>
        <v>151</v>
      </c>
      <c r="AH334" s="14">
        <v>0</v>
      </c>
    </row>
    <row r="335" ht="28.049999237060547" customHeight="1">
      <c r="A335" s="2">
        <v>345</v>
      </c>
      <c r="B335" s="2" t="s">
        <v>489</v>
      </c>
      <c r="C335" s="13" t="s">
        <v>483</v>
      </c>
      <c r="D335" s="2" t="s">
        <v>45</v>
      </c>
      <c r="E335" s="2">
        <v>128</v>
      </c>
      <c r="F335" s="2" t="s">
        <v>62</v>
      </c>
      <c r="G335" s="2" t="s">
        <v>62</v>
      </c>
      <c r="H335" s="2">
        <v>31</v>
      </c>
      <c r="I335" s="3">
        <f t="shared" si="183"/>
        <v>128</v>
      </c>
      <c r="J335" s="14">
        <v>21500000000</v>
      </c>
      <c r="K335" s="5">
        <f t="shared" si="184"/>
        <v>129</v>
      </c>
      <c r="L335" s="14"/>
      <c r="M335" s="3">
        <f t="shared" si="185"/>
        <v>130</v>
      </c>
      <c r="N335" s="14"/>
      <c r="O335" s="5">
        <f t="shared" si="186"/>
        <v>132</v>
      </c>
      <c r="P335" s="14"/>
      <c r="Q335" s="3">
        <f t="shared" si="187"/>
        <v>134</v>
      </c>
      <c r="R335" s="14"/>
      <c r="S335" s="5">
        <f t="shared" si="188"/>
        <v>136</v>
      </c>
      <c r="T335" s="14"/>
      <c r="U335" s="3">
        <f t="shared" si="189"/>
        <v>139</v>
      </c>
      <c r="V335" s="14"/>
      <c r="W335" s="5">
        <f t="shared" si="190"/>
        <v>143</v>
      </c>
      <c r="X335" s="14"/>
      <c r="Y335" s="3">
        <f t="shared" si="191"/>
        <v>145</v>
      </c>
      <c r="Z335" s="14"/>
      <c r="AA335" s="5">
        <f t="shared" si="192"/>
        <v>147</v>
      </c>
      <c r="AB335" s="14"/>
      <c r="AC335" s="3">
        <f t="shared" si="193"/>
        <v>149</v>
      </c>
      <c r="AD335" s="14"/>
      <c r="AE335" s="5">
        <f t="shared" si="194"/>
        <v>152</v>
      </c>
      <c r="AF335" s="14"/>
      <c r="AG335" s="3">
        <f t="shared" si="195"/>
        <v>155</v>
      </c>
      <c r="AH335" s="14"/>
    </row>
    <row r="336" ht="28.049999237060547" customHeight="1">
      <c r="A336" s="2">
        <v>346</v>
      </c>
      <c r="B336" s="2" t="s">
        <v>130</v>
      </c>
      <c r="C336" s="13" t="s">
        <v>483</v>
      </c>
      <c r="D336" s="2" t="s">
        <v>45</v>
      </c>
      <c r="E336" s="2">
        <v>134</v>
      </c>
      <c r="F336" s="2" t="s">
        <v>56</v>
      </c>
      <c r="G336" s="2" t="s">
        <v>56</v>
      </c>
      <c r="H336" s="2">
        <v>36</v>
      </c>
      <c r="I336" s="3">
        <f t="shared" si="183"/>
        <v>134</v>
      </c>
      <c r="J336" s="14">
        <v>11700000000</v>
      </c>
      <c r="K336" s="5">
        <f t="shared" si="184"/>
        <v>135</v>
      </c>
      <c r="L336" s="14"/>
      <c r="M336" s="3">
        <f t="shared" si="185"/>
        <v>136</v>
      </c>
      <c r="N336" s="14"/>
      <c r="O336" s="5">
        <f t="shared" si="186"/>
        <v>138</v>
      </c>
      <c r="P336" s="14"/>
      <c r="Q336" s="3">
        <f t="shared" si="187"/>
        <v>140</v>
      </c>
      <c r="R336" s="14"/>
      <c r="S336" s="5">
        <f t="shared" si="188"/>
        <v>142</v>
      </c>
      <c r="T336" s="14"/>
      <c r="U336" s="3">
        <f t="shared" si="189"/>
        <v>145</v>
      </c>
      <c r="V336" s="14"/>
      <c r="W336" s="5">
        <f t="shared" si="190"/>
        <v>149</v>
      </c>
      <c r="X336" s="14"/>
      <c r="Y336" s="3">
        <f t="shared" si="191"/>
        <v>151</v>
      </c>
      <c r="Z336" s="14"/>
      <c r="AA336" s="5">
        <f t="shared" si="192"/>
        <v>153</v>
      </c>
      <c r="AB336" s="14"/>
      <c r="AC336" s="3">
        <f t="shared" si="193"/>
        <v>155</v>
      </c>
      <c r="AD336" s="14"/>
      <c r="AE336" s="5">
        <f t="shared" si="194"/>
        <v>158</v>
      </c>
      <c r="AF336" s="14"/>
      <c r="AG336" s="3">
        <f t="shared" si="195"/>
        <v>161</v>
      </c>
      <c r="AH336" s="14"/>
    </row>
    <row r="337" ht="28.049999237060547" customHeight="1">
      <c r="A337" s="2">
        <v>347</v>
      </c>
      <c r="B337" s="2" t="s">
        <v>153</v>
      </c>
      <c r="C337" s="13" t="s">
        <v>483</v>
      </c>
      <c r="D337" s="2" t="s">
        <v>45</v>
      </c>
      <c r="E337" s="2">
        <v>134</v>
      </c>
      <c r="F337" s="2" t="s">
        <v>56</v>
      </c>
      <c r="G337" s="2" t="s">
        <v>56</v>
      </c>
      <c r="H337" s="2">
        <v>36</v>
      </c>
      <c r="I337" s="3">
        <f t="shared" si="183"/>
        <v>134</v>
      </c>
      <c r="J337" s="14">
        <v>15000000000</v>
      </c>
      <c r="K337" s="5">
        <f t="shared" si="184"/>
        <v>135</v>
      </c>
      <c r="L337" s="14"/>
      <c r="M337" s="3">
        <f t="shared" si="185"/>
        <v>136</v>
      </c>
      <c r="N337" s="14"/>
      <c r="O337" s="5">
        <f t="shared" si="186"/>
        <v>138</v>
      </c>
      <c r="P337" s="14"/>
      <c r="Q337" s="3">
        <f t="shared" si="187"/>
        <v>140</v>
      </c>
      <c r="R337" s="14"/>
      <c r="S337" s="5">
        <f t="shared" si="188"/>
        <v>142</v>
      </c>
      <c r="T337" s="14"/>
      <c r="U337" s="3">
        <f t="shared" si="189"/>
        <v>145</v>
      </c>
      <c r="V337" s="14"/>
      <c r="W337" s="5">
        <f t="shared" si="190"/>
        <v>149</v>
      </c>
      <c r="X337" s="14"/>
      <c r="Y337" s="3">
        <f t="shared" si="191"/>
        <v>151</v>
      </c>
      <c r="Z337" s="14"/>
      <c r="AA337" s="5">
        <f t="shared" si="192"/>
        <v>153</v>
      </c>
      <c r="AB337" s="14"/>
      <c r="AC337" s="3">
        <f t="shared" si="193"/>
        <v>155</v>
      </c>
      <c r="AD337" s="14"/>
      <c r="AE337" s="5">
        <f t="shared" si="194"/>
        <v>158</v>
      </c>
      <c r="AF337" s="14"/>
      <c r="AG337" s="3">
        <f t="shared" si="195"/>
        <v>161</v>
      </c>
      <c r="AH337" s="14"/>
    </row>
    <row r="338" ht="28.049999237060547" customHeight="1">
      <c r="A338" s="2">
        <v>348</v>
      </c>
      <c r="B338" s="2" t="s">
        <v>154</v>
      </c>
      <c r="C338" s="13" t="s">
        <v>483</v>
      </c>
      <c r="D338" s="2" t="s">
        <v>45</v>
      </c>
      <c r="E338" s="2">
        <v>134</v>
      </c>
      <c r="F338" s="2" t="s">
        <v>34</v>
      </c>
      <c r="G338" s="2" t="s">
        <v>34</v>
      </c>
      <c r="H338" s="2">
        <v>36</v>
      </c>
      <c r="I338" s="3">
        <f t="shared" si="183"/>
        <v>134</v>
      </c>
      <c r="J338" s="14">
        <v>21400000000</v>
      </c>
      <c r="K338" s="5">
        <f t="shared" si="184"/>
        <v>135</v>
      </c>
      <c r="L338" s="14"/>
      <c r="M338" s="3">
        <f t="shared" si="185"/>
        <v>136</v>
      </c>
      <c r="N338" s="14"/>
      <c r="O338" s="5">
        <f t="shared" si="186"/>
        <v>138</v>
      </c>
      <c r="P338" s="14"/>
      <c r="Q338" s="3">
        <f t="shared" si="187"/>
        <v>140</v>
      </c>
      <c r="R338" s="14"/>
      <c r="S338" s="5">
        <f t="shared" si="188"/>
        <v>142</v>
      </c>
      <c r="T338" s="14"/>
      <c r="U338" s="3">
        <f t="shared" si="189"/>
        <v>145</v>
      </c>
      <c r="V338" s="14"/>
      <c r="W338" s="5">
        <f t="shared" si="190"/>
        <v>149</v>
      </c>
      <c r="X338" s="14"/>
      <c r="Y338" s="3">
        <f t="shared" si="191"/>
        <v>151</v>
      </c>
      <c r="Z338" s="14"/>
      <c r="AA338" s="5">
        <f t="shared" si="192"/>
        <v>153</v>
      </c>
      <c r="AB338" s="14"/>
      <c r="AC338" s="3">
        <f t="shared" si="193"/>
        <v>155</v>
      </c>
      <c r="AD338" s="14"/>
      <c r="AE338" s="5">
        <f t="shared" si="194"/>
        <v>158</v>
      </c>
      <c r="AF338" s="14"/>
      <c r="AG338" s="3">
        <f t="shared" si="195"/>
        <v>161</v>
      </c>
      <c r="AH338" s="14"/>
    </row>
    <row r="339" ht="28.049999237060547" customHeight="1">
      <c r="A339" s="2">
        <v>349</v>
      </c>
      <c r="B339" s="2" t="s">
        <v>80</v>
      </c>
      <c r="C339" s="13" t="s">
        <v>483</v>
      </c>
      <c r="D339" s="2" t="s">
        <v>45</v>
      </c>
      <c r="E339" s="2">
        <v>135</v>
      </c>
      <c r="F339" s="2" t="s">
        <v>71</v>
      </c>
      <c r="G339" s="2" t="s">
        <v>71</v>
      </c>
      <c r="H339" s="2">
        <v>35</v>
      </c>
      <c r="I339" s="3">
        <f t="shared" si="183"/>
        <v>135</v>
      </c>
      <c r="J339" s="14">
        <v>14800000000</v>
      </c>
      <c r="K339" s="5">
        <f t="shared" si="184"/>
        <v>136</v>
      </c>
      <c r="L339" s="14"/>
      <c r="M339" s="3">
        <f t="shared" si="185"/>
        <v>137</v>
      </c>
      <c r="N339" s="14"/>
      <c r="O339" s="5">
        <f t="shared" si="186"/>
        <v>139</v>
      </c>
      <c r="P339" s="14"/>
      <c r="Q339" s="3">
        <f t="shared" si="187"/>
        <v>141</v>
      </c>
      <c r="R339" s="14"/>
      <c r="S339" s="5">
        <f t="shared" si="188"/>
        <v>143</v>
      </c>
      <c r="T339" s="14"/>
      <c r="U339" s="3">
        <f t="shared" si="189"/>
        <v>146</v>
      </c>
      <c r="V339" s="14"/>
      <c r="W339" s="5">
        <f t="shared" si="190"/>
        <v>150</v>
      </c>
      <c r="X339" s="14"/>
      <c r="Y339" s="3">
        <f t="shared" si="191"/>
        <v>152</v>
      </c>
      <c r="Z339" s="14"/>
      <c r="AA339" s="5">
        <f t="shared" si="192"/>
        <v>154</v>
      </c>
      <c r="AB339" s="14"/>
      <c r="AC339" s="3">
        <f t="shared" si="193"/>
        <v>156</v>
      </c>
      <c r="AD339" s="14"/>
      <c r="AE339" s="5">
        <f t="shared" si="194"/>
        <v>159</v>
      </c>
      <c r="AF339" s="14"/>
      <c r="AG339" s="3">
        <f t="shared" si="195"/>
        <v>162</v>
      </c>
      <c r="AH339" s="14"/>
    </row>
    <row r="340" ht="28.049999237060547" customHeight="1">
      <c r="A340" s="2">
        <v>325</v>
      </c>
      <c r="B340" s="2" t="s">
        <v>180</v>
      </c>
      <c r="C340" s="13" t="s">
        <v>483</v>
      </c>
      <c r="D340" s="2" t="s">
        <v>47</v>
      </c>
      <c r="E340" s="2">
        <v>130</v>
      </c>
      <c r="F340" s="2" t="s">
        <v>379</v>
      </c>
      <c r="G340" s="2" t="s">
        <v>379</v>
      </c>
      <c r="H340" s="2">
        <v>30</v>
      </c>
      <c r="I340" s="3">
        <f t="shared" si="183"/>
        <v>130</v>
      </c>
      <c r="J340" s="14">
        <v>2800000000</v>
      </c>
      <c r="K340" s="5">
        <f t="shared" si="184"/>
        <v>131</v>
      </c>
      <c r="L340" s="14"/>
      <c r="M340" s="3">
        <f t="shared" si="185"/>
        <v>132</v>
      </c>
      <c r="N340" s="14"/>
      <c r="O340" s="5">
        <f t="shared" si="186"/>
        <v>134</v>
      </c>
      <c r="P340" s="14"/>
      <c r="Q340" s="3">
        <f t="shared" si="187"/>
        <v>136</v>
      </c>
      <c r="R340" s="14"/>
      <c r="S340" s="5">
        <f t="shared" si="188"/>
        <v>138</v>
      </c>
      <c r="T340" s="14"/>
      <c r="U340" s="3">
        <f t="shared" si="189"/>
        <v>141</v>
      </c>
      <c r="V340" s="14"/>
      <c r="W340" s="5">
        <f t="shared" si="190"/>
        <v>145</v>
      </c>
      <c r="X340" s="14"/>
      <c r="Y340" s="3">
        <f t="shared" si="191"/>
        <v>147</v>
      </c>
      <c r="Z340" s="14"/>
      <c r="AA340" s="5">
        <f t="shared" si="192"/>
        <v>149</v>
      </c>
      <c r="AB340" s="14"/>
      <c r="AC340" s="3">
        <f t="shared" si="193"/>
        <v>151</v>
      </c>
      <c r="AD340" s="14"/>
      <c r="AE340" s="5">
        <f t="shared" si="194"/>
        <v>154</v>
      </c>
      <c r="AF340" s="14"/>
      <c r="AG340" s="3">
        <f t="shared" si="195"/>
        <v>157</v>
      </c>
      <c r="AH340" s="14"/>
    </row>
    <row r="341" ht="28.049999237060547" customHeight="1">
      <c r="A341" s="2">
        <v>326</v>
      </c>
      <c r="B341" s="2" t="s">
        <v>188</v>
      </c>
      <c r="C341" s="13" t="s">
        <v>483</v>
      </c>
      <c r="D341" s="2" t="s">
        <v>47</v>
      </c>
      <c r="E341" s="2">
        <v>133</v>
      </c>
      <c r="F341" s="2" t="s">
        <v>42</v>
      </c>
      <c r="G341" s="2" t="s">
        <v>42</v>
      </c>
      <c r="H341" s="2">
        <v>32</v>
      </c>
      <c r="I341" s="3">
        <f t="shared" si="183"/>
        <v>133</v>
      </c>
      <c r="J341" s="14">
        <v>8840000000</v>
      </c>
      <c r="K341" s="5">
        <f t="shared" si="184"/>
        <v>134</v>
      </c>
      <c r="L341" s="14"/>
      <c r="M341" s="3">
        <f t="shared" si="185"/>
        <v>135</v>
      </c>
      <c r="N341" s="14"/>
      <c r="O341" s="5">
        <f t="shared" si="186"/>
        <v>137</v>
      </c>
      <c r="P341" s="14"/>
      <c r="Q341" s="3">
        <f t="shared" si="187"/>
        <v>139</v>
      </c>
      <c r="R341" s="14"/>
      <c r="S341" s="5">
        <f t="shared" si="188"/>
        <v>141</v>
      </c>
      <c r="T341" s="14"/>
      <c r="U341" s="3">
        <f t="shared" si="189"/>
        <v>144</v>
      </c>
      <c r="V341" s="14"/>
      <c r="W341" s="5">
        <f t="shared" si="190"/>
        <v>148</v>
      </c>
      <c r="X341" s="14"/>
      <c r="Y341" s="3">
        <f t="shared" si="191"/>
        <v>150</v>
      </c>
      <c r="Z341" s="14"/>
      <c r="AA341" s="5">
        <f t="shared" si="192"/>
        <v>152</v>
      </c>
      <c r="AB341" s="14"/>
      <c r="AC341" s="3">
        <f t="shared" si="193"/>
        <v>154</v>
      </c>
      <c r="AD341" s="14"/>
      <c r="AE341" s="5">
        <f t="shared" si="194"/>
        <v>157</v>
      </c>
      <c r="AF341" s="14"/>
      <c r="AG341" s="3">
        <f t="shared" si="195"/>
        <v>160</v>
      </c>
      <c r="AH341" s="14"/>
    </row>
    <row r="342" ht="28.049999237060547" customHeight="1">
      <c r="A342" s="2">
        <v>327</v>
      </c>
      <c r="B342" s="2" t="s">
        <v>66</v>
      </c>
      <c r="C342" s="13" t="s">
        <v>483</v>
      </c>
      <c r="D342" s="2" t="s">
        <v>47</v>
      </c>
      <c r="E342" s="2">
        <v>136</v>
      </c>
      <c r="F342" s="2" t="s">
        <v>62</v>
      </c>
      <c r="G342" s="2" t="s">
        <v>62</v>
      </c>
      <c r="H342" s="2">
        <v>33</v>
      </c>
      <c r="I342" s="3">
        <f t="shared" si="183"/>
        <v>136</v>
      </c>
      <c r="J342" s="14">
        <v>12800000000</v>
      </c>
      <c r="K342" s="5">
        <f t="shared" si="184"/>
        <v>137</v>
      </c>
      <c r="L342" s="14"/>
      <c r="M342" s="3">
        <f t="shared" si="185"/>
        <v>138</v>
      </c>
      <c r="N342" s="14"/>
      <c r="O342" s="5">
        <f t="shared" si="186"/>
        <v>140</v>
      </c>
      <c r="P342" s="14"/>
      <c r="Q342" s="3">
        <f t="shared" si="187"/>
        <v>142</v>
      </c>
      <c r="R342" s="14"/>
      <c r="S342" s="5">
        <f t="shared" si="188"/>
        <v>144</v>
      </c>
      <c r="T342" s="14"/>
      <c r="U342" s="3">
        <f t="shared" si="189"/>
        <v>147</v>
      </c>
      <c r="V342" s="14"/>
      <c r="W342" s="5">
        <f t="shared" si="190"/>
        <v>151</v>
      </c>
      <c r="X342" s="14"/>
      <c r="Y342" s="3">
        <f t="shared" si="191"/>
        <v>153</v>
      </c>
      <c r="Z342" s="14"/>
      <c r="AA342" s="5">
        <f t="shared" si="192"/>
        <v>155</v>
      </c>
      <c r="AB342" s="14"/>
      <c r="AC342" s="3">
        <f t="shared" si="193"/>
        <v>157</v>
      </c>
      <c r="AD342" s="14"/>
      <c r="AE342" s="5">
        <f t="shared" si="194"/>
        <v>160</v>
      </c>
      <c r="AF342" s="14"/>
      <c r="AG342" s="3">
        <f t="shared" si="195"/>
        <v>163</v>
      </c>
      <c r="AH342" s="14"/>
    </row>
    <row r="343" ht="28.049999237060547" customHeight="1">
      <c r="A343" s="2">
        <v>338</v>
      </c>
      <c r="B343" s="2" t="s">
        <v>114</v>
      </c>
      <c r="C343" s="13" t="s">
        <v>483</v>
      </c>
      <c r="D343" s="2" t="s">
        <v>75</v>
      </c>
      <c r="E343" s="2">
        <v>135</v>
      </c>
      <c r="F343" s="2" t="s">
        <v>30</v>
      </c>
      <c r="G343" s="2" t="s">
        <v>30</v>
      </c>
      <c r="H343" s="2">
        <v>36</v>
      </c>
      <c r="I343" s="3">
        <f t="shared" si="183"/>
        <v>135</v>
      </c>
      <c r="J343" s="14">
        <v>9600000000</v>
      </c>
      <c r="K343" s="5">
        <f t="shared" si="184"/>
        <v>136</v>
      </c>
      <c r="L343" s="14"/>
      <c r="M343" s="3">
        <f t="shared" si="185"/>
        <v>137</v>
      </c>
      <c r="N343" s="14"/>
      <c r="O343" s="5">
        <f t="shared" si="186"/>
        <v>139</v>
      </c>
      <c r="P343" s="14"/>
      <c r="Q343" s="3">
        <f t="shared" si="187"/>
        <v>141</v>
      </c>
      <c r="R343" s="14"/>
      <c r="S343" s="5">
        <f t="shared" si="188"/>
        <v>143</v>
      </c>
      <c r="T343" s="14"/>
      <c r="U343" s="3">
        <f t="shared" si="189"/>
        <v>146</v>
      </c>
      <c r="V343" s="14"/>
      <c r="W343" s="5">
        <f t="shared" si="190"/>
        <v>150</v>
      </c>
      <c r="X343" s="14"/>
      <c r="Y343" s="3">
        <f t="shared" si="191"/>
        <v>152</v>
      </c>
      <c r="Z343" s="14"/>
      <c r="AA343" s="5">
        <f t="shared" si="192"/>
        <v>154</v>
      </c>
      <c r="AB343" s="14"/>
      <c r="AC343" s="3">
        <f t="shared" si="193"/>
        <v>156</v>
      </c>
      <c r="AD343" s="14"/>
      <c r="AE343" s="5">
        <f t="shared" si="194"/>
        <v>159</v>
      </c>
      <c r="AF343" s="14"/>
      <c r="AG343" s="3">
        <f t="shared" si="195"/>
        <v>162</v>
      </c>
      <c r="AH343" s="14"/>
    </row>
    <row r="344" ht="28.049999237060547" customHeight="1">
      <c r="A344" s="2">
        <v>339</v>
      </c>
      <c r="B344" s="2" t="s">
        <v>74</v>
      </c>
      <c r="C344" s="13" t="s">
        <v>483</v>
      </c>
      <c r="D344" s="2" t="s">
        <v>75</v>
      </c>
      <c r="E344" s="2">
        <v>136</v>
      </c>
      <c r="F344" s="2" t="s">
        <v>62</v>
      </c>
      <c r="G344" s="2" t="s">
        <v>62</v>
      </c>
      <c r="H344" s="2">
        <v>37</v>
      </c>
      <c r="I344" s="3">
        <f t="shared" si="183"/>
        <v>136</v>
      </c>
      <c r="J344" s="14">
        <v>15600000000</v>
      </c>
      <c r="K344" s="5">
        <f t="shared" si="184"/>
        <v>137</v>
      </c>
      <c r="L344" s="14"/>
      <c r="M344" s="3">
        <f t="shared" si="185"/>
        <v>138</v>
      </c>
      <c r="N344" s="14"/>
      <c r="O344" s="5">
        <f t="shared" si="186"/>
        <v>140</v>
      </c>
      <c r="P344" s="14"/>
      <c r="Q344" s="3">
        <f t="shared" si="187"/>
        <v>142</v>
      </c>
      <c r="R344" s="14"/>
      <c r="S344" s="5">
        <f t="shared" si="188"/>
        <v>144</v>
      </c>
      <c r="T344" s="14"/>
      <c r="U344" s="3">
        <f t="shared" si="189"/>
        <v>147</v>
      </c>
      <c r="V344" s="14"/>
      <c r="W344" s="5">
        <f t="shared" si="190"/>
        <v>151</v>
      </c>
      <c r="X344" s="14"/>
      <c r="Y344" s="3">
        <f t="shared" si="191"/>
        <v>153</v>
      </c>
      <c r="Z344" s="14"/>
      <c r="AA344" s="5">
        <f t="shared" si="192"/>
        <v>155</v>
      </c>
      <c r="AB344" s="14"/>
      <c r="AC344" s="3">
        <f t="shared" si="193"/>
        <v>157</v>
      </c>
      <c r="AD344" s="14"/>
      <c r="AE344" s="5">
        <f t="shared" si="194"/>
        <v>160</v>
      </c>
      <c r="AF344" s="14"/>
      <c r="AG344" s="3">
        <f t="shared" si="195"/>
        <v>163</v>
      </c>
      <c r="AH344" s="14"/>
    </row>
    <row r="345" ht="28.049999237060547" customHeight="1">
      <c r="A345" s="2">
        <v>350</v>
      </c>
      <c r="B345" s="2" t="s">
        <v>490</v>
      </c>
      <c r="C345" s="13" t="s">
        <v>483</v>
      </c>
      <c r="D345" s="2" t="s">
        <v>165</v>
      </c>
      <c r="E345" s="2">
        <v>129</v>
      </c>
      <c r="F345" s="2" t="s">
        <v>30</v>
      </c>
      <c r="G345" s="2" t="s">
        <v>30</v>
      </c>
      <c r="H345" s="2">
        <v>32</v>
      </c>
      <c r="I345" s="3" t="n">
        <f t="shared" ref="I345:I372" si="196">$E345+0</f>
        <v>129</v>
      </c>
      <c r="J345" s="14">
        <v>3650000000</v>
      </c>
      <c r="K345" s="5" t="n">
        <f t="shared" ref="K345:K372" si="197">$E345+1</f>
        <v>130</v>
      </c>
      <c r="L345" s="14"/>
      <c r="M345" s="3" t="n">
        <f t="shared" ref="M345:M372" si="198">$E345+2</f>
        <v>131</v>
      </c>
      <c r="N345" s="14"/>
      <c r="O345" s="5" t="n">
        <f t="shared" ref="O345:O372" si="199">$E345+4</f>
        <v>133</v>
      </c>
      <c r="P345" s="14"/>
      <c r="Q345" s="3" t="n">
        <f t="shared" ref="Q345:Q372" si="200">$E345+6</f>
        <v>135</v>
      </c>
      <c r="R345" s="14"/>
      <c r="S345" s="5" t="n">
        <f t="shared" ref="S345:S372" si="201">$E345+8</f>
        <v>137</v>
      </c>
      <c r="T345" s="14"/>
      <c r="U345" s="3" t="n">
        <f t="shared" ref="U345:U372" si="202">$E345+11</f>
        <v>140</v>
      </c>
      <c r="V345" s="14"/>
      <c r="W345" s="5" t="n">
        <f t="shared" ref="W345:W372" si="203">$E345+15</f>
        <v>144</v>
      </c>
      <c r="X345" s="14"/>
      <c r="Y345" s="3" t="n">
        <f t="shared" ref="Y345:Y372" si="204">$E345+17</f>
        <v>146</v>
      </c>
      <c r="Z345" s="14"/>
      <c r="AA345" s="5" t="n">
        <f t="shared" ref="AA345:AA372" si="205">$E345+19</f>
        <v>148</v>
      </c>
      <c r="AB345" s="14"/>
      <c r="AC345" s="3" t="n">
        <f t="shared" ref="AC345:AC372" si="206">$E345+21</f>
        <v>150</v>
      </c>
      <c r="AD345" s="14"/>
      <c r="AE345" s="5" t="n">
        <f t="shared" ref="AE345:AE372" si="207">$E345+24</f>
        <v>153</v>
      </c>
      <c r="AF345" s="14"/>
      <c r="AG345" s="3" t="n">
        <f t="shared" ref="AG345:AG372" si="208">$E345+27</f>
        <v>156</v>
      </c>
      <c r="AH345" s="14"/>
    </row>
    <row r="346" ht="28.049999237060547" customHeight="1">
      <c r="A346" s="2">
        <v>351</v>
      </c>
      <c r="B346" s="2" t="s">
        <v>475</v>
      </c>
      <c r="C346" s="13" t="s">
        <v>483</v>
      </c>
      <c r="D346" s="2" t="s">
        <v>165</v>
      </c>
      <c r="E346" s="2">
        <v>130</v>
      </c>
      <c r="F346" s="2" t="s">
        <v>123</v>
      </c>
      <c r="G346" s="2" t="s">
        <v>123</v>
      </c>
      <c r="H346" s="2">
        <v>33</v>
      </c>
      <c r="I346" s="3">
        <f t="shared" si="196"/>
        <v>130</v>
      </c>
      <c r="J346" s="14">
        <v>11600000000</v>
      </c>
      <c r="K346" s="5">
        <f t="shared" si="197"/>
        <v>131</v>
      </c>
      <c r="L346" s="14"/>
      <c r="M346" s="3">
        <f t="shared" si="198"/>
        <v>132</v>
      </c>
      <c r="N346" s="14"/>
      <c r="O346" s="5">
        <f t="shared" si="199"/>
        <v>134</v>
      </c>
      <c r="P346" s="14"/>
      <c r="Q346" s="3">
        <f t="shared" si="200"/>
        <v>136</v>
      </c>
      <c r="R346" s="14"/>
      <c r="S346" s="5">
        <f t="shared" si="201"/>
        <v>138</v>
      </c>
      <c r="T346" s="14"/>
      <c r="U346" s="3">
        <f t="shared" si="202"/>
        <v>141</v>
      </c>
      <c r="V346" s="14"/>
      <c r="W346" s="5">
        <f t="shared" si="203"/>
        <v>145</v>
      </c>
      <c r="X346" s="14"/>
      <c r="Y346" s="3">
        <f t="shared" si="204"/>
        <v>147</v>
      </c>
      <c r="Z346" s="14"/>
      <c r="AA346" s="5">
        <f t="shared" si="205"/>
        <v>149</v>
      </c>
      <c r="AB346" s="14"/>
      <c r="AC346" s="3">
        <f t="shared" si="206"/>
        <v>151</v>
      </c>
      <c r="AD346" s="14"/>
      <c r="AE346" s="5">
        <f t="shared" si="207"/>
        <v>154</v>
      </c>
      <c r="AF346" s="14"/>
      <c r="AG346" s="3">
        <f t="shared" si="208"/>
        <v>157</v>
      </c>
      <c r="AH346" s="14"/>
    </row>
    <row r="347" ht="28.049999237060547" customHeight="1">
      <c r="A347" s="2">
        <v>352</v>
      </c>
      <c r="B347" s="2" t="s">
        <v>207</v>
      </c>
      <c r="C347" s="13" t="s">
        <v>483</v>
      </c>
      <c r="D347" s="2" t="s">
        <v>165</v>
      </c>
      <c r="E347" s="2">
        <v>131</v>
      </c>
      <c r="F347" s="2" t="s">
        <v>54</v>
      </c>
      <c r="G347" s="2" t="s">
        <v>54</v>
      </c>
      <c r="H347" s="2">
        <v>34</v>
      </c>
      <c r="I347" s="3">
        <f t="shared" si="196"/>
        <v>131</v>
      </c>
      <c r="J347" s="14">
        <v>11600000000</v>
      </c>
      <c r="K347" s="5">
        <f t="shared" si="197"/>
        <v>132</v>
      </c>
      <c r="L347" s="14"/>
      <c r="M347" s="3">
        <f t="shared" si="198"/>
        <v>133</v>
      </c>
      <c r="N347" s="14"/>
      <c r="O347" s="5">
        <f t="shared" si="199"/>
        <v>135</v>
      </c>
      <c r="P347" s="14"/>
      <c r="Q347" s="3">
        <f t="shared" si="200"/>
        <v>137</v>
      </c>
      <c r="R347" s="14"/>
      <c r="S347" s="5">
        <f t="shared" si="201"/>
        <v>139</v>
      </c>
      <c r="T347" s="14"/>
      <c r="U347" s="3">
        <f t="shared" si="202"/>
        <v>142</v>
      </c>
      <c r="V347" s="14"/>
      <c r="W347" s="5">
        <f t="shared" si="203"/>
        <v>146</v>
      </c>
      <c r="X347" s="14"/>
      <c r="Y347" s="3">
        <f t="shared" si="204"/>
        <v>148</v>
      </c>
      <c r="Z347" s="14"/>
      <c r="AA347" s="5">
        <f t="shared" si="205"/>
        <v>150</v>
      </c>
      <c r="AB347" s="14"/>
      <c r="AC347" s="3">
        <f t="shared" si="206"/>
        <v>152</v>
      </c>
      <c r="AD347" s="14"/>
      <c r="AE347" s="5">
        <f t="shared" si="207"/>
        <v>155</v>
      </c>
      <c r="AF347" s="14"/>
      <c r="AG347" s="3">
        <f t="shared" si="208"/>
        <v>158</v>
      </c>
      <c r="AH347" s="14"/>
    </row>
    <row r="348" ht="28.049999237060547" customHeight="1">
      <c r="A348" s="2">
        <v>379</v>
      </c>
      <c r="B348" s="2" t="s">
        <v>214</v>
      </c>
      <c r="C348" s="13" t="s">
        <v>483</v>
      </c>
      <c r="D348" s="2" t="s">
        <v>79</v>
      </c>
      <c r="E348" s="2">
        <v>130</v>
      </c>
      <c r="F348" s="2" t="s">
        <v>56</v>
      </c>
      <c r="G348" s="2" t="s">
        <v>56</v>
      </c>
      <c r="H348" s="2">
        <v>34</v>
      </c>
      <c r="I348" s="3">
        <f t="shared" si="196"/>
        <v>130</v>
      </c>
      <c r="J348" s="14">
        <v>3600000000</v>
      </c>
      <c r="K348" s="5">
        <f t="shared" si="197"/>
        <v>131</v>
      </c>
      <c r="L348" s="14"/>
      <c r="M348" s="3">
        <f t="shared" si="198"/>
        <v>132</v>
      </c>
      <c r="N348" s="14"/>
      <c r="O348" s="5">
        <f t="shared" si="199"/>
        <v>134</v>
      </c>
      <c r="P348" s="14"/>
      <c r="Q348" s="3">
        <f t="shared" si="200"/>
        <v>136</v>
      </c>
      <c r="R348" s="14"/>
      <c r="S348" s="5">
        <f t="shared" si="201"/>
        <v>138</v>
      </c>
      <c r="T348" s="14"/>
      <c r="U348" s="3">
        <f t="shared" si="202"/>
        <v>141</v>
      </c>
      <c r="V348" s="14"/>
      <c r="W348" s="5">
        <f t="shared" si="203"/>
        <v>145</v>
      </c>
      <c r="X348" s="14"/>
      <c r="Y348" s="3">
        <f t="shared" si="204"/>
        <v>147</v>
      </c>
      <c r="Z348" s="14"/>
      <c r="AA348" s="5">
        <f t="shared" si="205"/>
        <v>149</v>
      </c>
      <c r="AB348" s="14"/>
      <c r="AC348" s="3">
        <f t="shared" si="206"/>
        <v>151</v>
      </c>
      <c r="AD348" s="14"/>
      <c r="AE348" s="5">
        <f t="shared" si="207"/>
        <v>154</v>
      </c>
      <c r="AF348" s="14"/>
      <c r="AG348" s="3">
        <f t="shared" si="208"/>
        <v>157</v>
      </c>
      <c r="AH348" s="14"/>
    </row>
    <row r="349" ht="28.049999237060547" customHeight="1">
      <c r="A349" s="2">
        <v>380</v>
      </c>
      <c r="B349" s="2" t="s">
        <v>205</v>
      </c>
      <c r="C349" s="13" t="s">
        <v>483</v>
      </c>
      <c r="D349" s="2" t="s">
        <v>79</v>
      </c>
      <c r="E349" s="2">
        <v>131</v>
      </c>
      <c r="F349" s="2" t="s">
        <v>59</v>
      </c>
      <c r="G349" s="2" t="s">
        <v>59</v>
      </c>
      <c r="H349" s="2">
        <v>34</v>
      </c>
      <c r="I349" s="3">
        <f t="shared" si="196"/>
        <v>131</v>
      </c>
      <c r="J349" s="14">
        <v>4800000000</v>
      </c>
      <c r="K349" s="5">
        <f t="shared" si="197"/>
        <v>132</v>
      </c>
      <c r="L349" s="14"/>
      <c r="M349" s="3">
        <f t="shared" si="198"/>
        <v>133</v>
      </c>
      <c r="N349" s="14"/>
      <c r="O349" s="5">
        <f t="shared" si="199"/>
        <v>135</v>
      </c>
      <c r="P349" s="14"/>
      <c r="Q349" s="3">
        <f t="shared" si="200"/>
        <v>137</v>
      </c>
      <c r="R349" s="14"/>
      <c r="S349" s="5">
        <f t="shared" si="201"/>
        <v>139</v>
      </c>
      <c r="T349" s="14"/>
      <c r="U349" s="3">
        <f t="shared" si="202"/>
        <v>142</v>
      </c>
      <c r="V349" s="14"/>
      <c r="W349" s="5">
        <f t="shared" si="203"/>
        <v>146</v>
      </c>
      <c r="X349" s="14"/>
      <c r="Y349" s="3">
        <f t="shared" si="204"/>
        <v>148</v>
      </c>
      <c r="Z349" s="14"/>
      <c r="AA349" s="5">
        <f t="shared" si="205"/>
        <v>150</v>
      </c>
      <c r="AB349" s="14"/>
      <c r="AC349" s="3">
        <f t="shared" si="206"/>
        <v>152</v>
      </c>
      <c r="AD349" s="14"/>
      <c r="AE349" s="5">
        <f t="shared" si="207"/>
        <v>155</v>
      </c>
      <c r="AF349" s="14"/>
      <c r="AG349" s="3">
        <f t="shared" si="208"/>
        <v>158</v>
      </c>
      <c r="AH349" s="14"/>
    </row>
    <row r="350" ht="28.049999237060547" customHeight="1">
      <c r="A350" s="2">
        <v>381</v>
      </c>
      <c r="B350" s="2" t="s">
        <v>491</v>
      </c>
      <c r="C350" s="13" t="s">
        <v>483</v>
      </c>
      <c r="D350" s="2" t="s">
        <v>79</v>
      </c>
      <c r="E350" s="2">
        <v>135</v>
      </c>
      <c r="F350" s="2" t="s">
        <v>30</v>
      </c>
      <c r="G350" s="2" t="s">
        <v>30</v>
      </c>
      <c r="H350" s="2">
        <v>37</v>
      </c>
      <c r="I350" s="3">
        <f t="shared" si="196"/>
        <v>135</v>
      </c>
      <c r="J350" s="14">
        <v>47600000000</v>
      </c>
      <c r="K350" s="5">
        <f t="shared" si="197"/>
        <v>136</v>
      </c>
      <c r="L350" s="14"/>
      <c r="M350" s="3">
        <f t="shared" si="198"/>
        <v>137</v>
      </c>
      <c r="N350" s="14"/>
      <c r="O350" s="5">
        <f t="shared" si="199"/>
        <v>139</v>
      </c>
      <c r="P350" s="14"/>
      <c r="Q350" s="3">
        <f t="shared" si="200"/>
        <v>141</v>
      </c>
      <c r="R350" s="14"/>
      <c r="S350" s="5">
        <f t="shared" si="201"/>
        <v>143</v>
      </c>
      <c r="T350" s="14"/>
      <c r="U350" s="3">
        <f t="shared" si="202"/>
        <v>146</v>
      </c>
      <c r="V350" s="14"/>
      <c r="W350" s="5">
        <f t="shared" si="203"/>
        <v>150</v>
      </c>
      <c r="X350" s="14"/>
      <c r="Y350" s="3">
        <f t="shared" si="204"/>
        <v>152</v>
      </c>
      <c r="Z350" s="14"/>
      <c r="AA350" s="5">
        <f t="shared" si="205"/>
        <v>154</v>
      </c>
      <c r="AB350" s="14"/>
      <c r="AC350" s="3">
        <f t="shared" si="206"/>
        <v>156</v>
      </c>
      <c r="AD350" s="14"/>
      <c r="AE350" s="5">
        <f t="shared" si="207"/>
        <v>159</v>
      </c>
      <c r="AF350" s="14"/>
      <c r="AG350" s="3">
        <f t="shared" si="208"/>
        <v>162</v>
      </c>
      <c r="AH350" s="14"/>
    </row>
    <row r="351" ht="28.049999237060547" customHeight="1">
      <c r="A351" s="2">
        <v>382</v>
      </c>
      <c r="B351" s="2" t="s">
        <v>78</v>
      </c>
      <c r="C351" s="13" t="s">
        <v>483</v>
      </c>
      <c r="D351" s="2" t="s">
        <v>79</v>
      </c>
      <c r="E351" s="2">
        <v>136</v>
      </c>
      <c r="F351" s="2" t="s">
        <v>30</v>
      </c>
      <c r="G351" s="2" t="s">
        <v>30</v>
      </c>
      <c r="H351" s="2">
        <v>37</v>
      </c>
      <c r="I351" s="3">
        <f t="shared" si="196"/>
        <v>136</v>
      </c>
      <c r="J351" s="14">
        <v>32800000000</v>
      </c>
      <c r="K351" s="5">
        <f t="shared" si="197"/>
        <v>137</v>
      </c>
      <c r="L351" s="14"/>
      <c r="M351" s="3">
        <f t="shared" si="198"/>
        <v>138</v>
      </c>
      <c r="N351" s="14"/>
      <c r="O351" s="5">
        <f t="shared" si="199"/>
        <v>140</v>
      </c>
      <c r="P351" s="14"/>
      <c r="Q351" s="3">
        <f t="shared" si="200"/>
        <v>142</v>
      </c>
      <c r="R351" s="14"/>
      <c r="S351" s="5">
        <f t="shared" si="201"/>
        <v>144</v>
      </c>
      <c r="T351" s="14"/>
      <c r="U351" s="3">
        <f t="shared" si="202"/>
        <v>147</v>
      </c>
      <c r="V351" s="14"/>
      <c r="W351" s="5">
        <f t="shared" si="203"/>
        <v>151</v>
      </c>
      <c r="X351" s="14"/>
      <c r="Y351" s="3">
        <f t="shared" si="204"/>
        <v>153</v>
      </c>
      <c r="Z351" s="14"/>
      <c r="AA351" s="5">
        <f t="shared" si="205"/>
        <v>155</v>
      </c>
      <c r="AB351" s="14"/>
      <c r="AC351" s="3">
        <f t="shared" si="206"/>
        <v>157</v>
      </c>
      <c r="AD351" s="14"/>
      <c r="AE351" s="5">
        <f t="shared" si="207"/>
        <v>160</v>
      </c>
      <c r="AF351" s="14"/>
      <c r="AG351" s="3">
        <f t="shared" si="208"/>
        <v>163</v>
      </c>
      <c r="AH351" s="14"/>
    </row>
    <row r="352" ht="28.049999237060547" customHeight="1">
      <c r="A352" s="2">
        <v>328</v>
      </c>
      <c r="B352" s="2" t="s">
        <v>190</v>
      </c>
      <c r="C352" s="13" t="s">
        <v>483</v>
      </c>
      <c r="D352" s="2" t="s">
        <v>90</v>
      </c>
      <c r="E352" s="2">
        <v>132</v>
      </c>
      <c r="F352" s="2" t="s">
        <v>62</v>
      </c>
      <c r="G352" s="2" t="s">
        <v>62</v>
      </c>
      <c r="H352" s="2">
        <v>34</v>
      </c>
      <c r="I352" s="3">
        <f t="shared" si="196"/>
        <v>132</v>
      </c>
      <c r="J352" s="14">
        <v>6840000000</v>
      </c>
      <c r="K352" s="5">
        <f t="shared" si="197"/>
        <v>133</v>
      </c>
      <c r="L352" s="14"/>
      <c r="M352" s="3">
        <f t="shared" si="198"/>
        <v>134</v>
      </c>
      <c r="N352" s="14"/>
      <c r="O352" s="5">
        <f t="shared" si="199"/>
        <v>136</v>
      </c>
      <c r="P352" s="14"/>
      <c r="Q352" s="3">
        <f t="shared" si="200"/>
        <v>138</v>
      </c>
      <c r="R352" s="14"/>
      <c r="S352" s="5">
        <f t="shared" si="201"/>
        <v>140</v>
      </c>
      <c r="T352" s="14"/>
      <c r="U352" s="3">
        <f t="shared" si="202"/>
        <v>143</v>
      </c>
      <c r="V352" s="14"/>
      <c r="W352" s="5">
        <f t="shared" si="203"/>
        <v>147</v>
      </c>
      <c r="X352" s="14"/>
      <c r="Y352" s="3">
        <f t="shared" si="204"/>
        <v>149</v>
      </c>
      <c r="Z352" s="14"/>
      <c r="AA352" s="5">
        <f t="shared" si="205"/>
        <v>151</v>
      </c>
      <c r="AB352" s="14"/>
      <c r="AC352" s="3">
        <f t="shared" si="206"/>
        <v>153</v>
      </c>
      <c r="AD352" s="14"/>
      <c r="AE352" s="5">
        <f t="shared" si="207"/>
        <v>156</v>
      </c>
      <c r="AF352" s="14"/>
      <c r="AG352" s="3">
        <f t="shared" si="208"/>
        <v>159</v>
      </c>
      <c r="AH352" s="14"/>
    </row>
    <row r="353" ht="28.049999237060547" customHeight="1">
      <c r="A353" s="2">
        <v>344</v>
      </c>
      <c r="B353" s="2" t="s">
        <v>92</v>
      </c>
      <c r="C353" s="13" t="s">
        <v>483</v>
      </c>
      <c r="D353" s="2" t="s">
        <v>93</v>
      </c>
      <c r="E353" s="2">
        <v>135</v>
      </c>
      <c r="F353" s="2" t="s">
        <v>56</v>
      </c>
      <c r="G353" s="2" t="s">
        <v>56</v>
      </c>
      <c r="H353" s="2">
        <v>36</v>
      </c>
      <c r="I353" s="3">
        <f t="shared" si="196"/>
        <v>135</v>
      </c>
      <c r="J353" s="14">
        <v>20700000000</v>
      </c>
      <c r="K353" s="5">
        <f t="shared" si="197"/>
        <v>136</v>
      </c>
      <c r="L353" s="14"/>
      <c r="M353" s="3">
        <f t="shared" si="198"/>
        <v>137</v>
      </c>
      <c r="N353" s="14"/>
      <c r="O353" s="5">
        <f t="shared" si="199"/>
        <v>139</v>
      </c>
      <c r="P353" s="14"/>
      <c r="Q353" s="3">
        <f t="shared" si="200"/>
        <v>141</v>
      </c>
      <c r="R353" s="14"/>
      <c r="S353" s="5">
        <f t="shared" si="201"/>
        <v>143</v>
      </c>
      <c r="T353" s="14"/>
      <c r="U353" s="3">
        <f t="shared" si="202"/>
        <v>146</v>
      </c>
      <c r="V353" s="14"/>
      <c r="W353" s="5">
        <f t="shared" si="203"/>
        <v>150</v>
      </c>
      <c r="X353" s="14"/>
      <c r="Y353" s="3">
        <f t="shared" si="204"/>
        <v>152</v>
      </c>
      <c r="Z353" s="14"/>
      <c r="AA353" s="5">
        <f t="shared" si="205"/>
        <v>154</v>
      </c>
      <c r="AB353" s="14"/>
      <c r="AC353" s="3">
        <f t="shared" si="206"/>
        <v>156</v>
      </c>
      <c r="AD353" s="14"/>
      <c r="AE353" s="5">
        <f t="shared" si="207"/>
        <v>159</v>
      </c>
      <c r="AF353" s="14"/>
      <c r="AG353" s="3">
        <f t="shared" si="208"/>
        <v>162</v>
      </c>
      <c r="AH353" s="14"/>
    </row>
    <row r="354" ht="28.049999237060547" customHeight="1">
      <c r="A354" s="2">
        <v>360</v>
      </c>
      <c r="B354" s="2" t="s">
        <v>164</v>
      </c>
      <c r="C354" s="13" t="s">
        <v>483</v>
      </c>
      <c r="D354" s="2" t="s">
        <v>64</v>
      </c>
      <c r="E354" s="2">
        <v>133</v>
      </c>
      <c r="F354" s="2" t="s">
        <v>132</v>
      </c>
      <c r="G354" s="2" t="s">
        <v>132</v>
      </c>
      <c r="H354" s="2">
        <v>35</v>
      </c>
      <c r="I354" s="3">
        <f t="shared" si="196"/>
        <v>133</v>
      </c>
      <c r="J354" s="14">
        <v>22800000000</v>
      </c>
      <c r="K354" s="5">
        <f t="shared" si="197"/>
        <v>134</v>
      </c>
      <c r="L354" s="14"/>
      <c r="M354" s="3">
        <f t="shared" si="198"/>
        <v>135</v>
      </c>
      <c r="N354" s="14"/>
      <c r="O354" s="5">
        <f t="shared" si="199"/>
        <v>137</v>
      </c>
      <c r="P354" s="14"/>
      <c r="Q354" s="3">
        <f t="shared" si="200"/>
        <v>139</v>
      </c>
      <c r="R354" s="14"/>
      <c r="S354" s="5">
        <f t="shared" si="201"/>
        <v>141</v>
      </c>
      <c r="T354" s="14"/>
      <c r="U354" s="3">
        <f t="shared" si="202"/>
        <v>144</v>
      </c>
      <c r="V354" s="14"/>
      <c r="W354" s="5">
        <f t="shared" si="203"/>
        <v>148</v>
      </c>
      <c r="X354" s="14"/>
      <c r="Y354" s="3">
        <f t="shared" si="204"/>
        <v>150</v>
      </c>
      <c r="Z354" s="14"/>
      <c r="AA354" s="5">
        <f t="shared" si="205"/>
        <v>152</v>
      </c>
      <c r="AB354" s="14"/>
      <c r="AC354" s="3">
        <f t="shared" si="206"/>
        <v>154</v>
      </c>
      <c r="AD354" s="14"/>
      <c r="AE354" s="5">
        <f t="shared" si="207"/>
        <v>157</v>
      </c>
      <c r="AF354" s="14"/>
      <c r="AG354" s="3">
        <f t="shared" si="208"/>
        <v>160</v>
      </c>
      <c r="AH354" s="14"/>
    </row>
    <row r="355" ht="28.049999237060547" customHeight="1">
      <c r="A355" s="2">
        <v>361</v>
      </c>
      <c r="B355" s="2" t="s">
        <v>110</v>
      </c>
      <c r="C355" s="13" t="s">
        <v>483</v>
      </c>
      <c r="D355" s="2" t="s">
        <v>64</v>
      </c>
      <c r="E355" s="2">
        <v>135</v>
      </c>
      <c r="F355" s="2" t="s">
        <v>59</v>
      </c>
      <c r="G355" s="2" t="s">
        <v>59</v>
      </c>
      <c r="H355" s="2">
        <v>37</v>
      </c>
      <c r="I355" s="3">
        <f t="shared" si="196"/>
        <v>135</v>
      </c>
      <c r="J355" s="14">
        <v>15600000000</v>
      </c>
      <c r="K355" s="5">
        <f t="shared" si="197"/>
        <v>136</v>
      </c>
      <c r="L355" s="14"/>
      <c r="M355" s="3">
        <f t="shared" si="198"/>
        <v>137</v>
      </c>
      <c r="N355" s="14"/>
      <c r="O355" s="5">
        <f t="shared" si="199"/>
        <v>139</v>
      </c>
      <c r="P355" s="14"/>
      <c r="Q355" s="3">
        <f t="shared" si="200"/>
        <v>141</v>
      </c>
      <c r="R355" s="14"/>
      <c r="S355" s="5">
        <f t="shared" si="201"/>
        <v>143</v>
      </c>
      <c r="T355" s="14"/>
      <c r="U355" s="3">
        <f t="shared" si="202"/>
        <v>146</v>
      </c>
      <c r="V355" s="14"/>
      <c r="W355" s="5">
        <f t="shared" si="203"/>
        <v>150</v>
      </c>
      <c r="X355" s="14"/>
      <c r="Y355" s="3">
        <f t="shared" si="204"/>
        <v>152</v>
      </c>
      <c r="Z355" s="14"/>
      <c r="AA355" s="5">
        <f t="shared" si="205"/>
        <v>154</v>
      </c>
      <c r="AB355" s="14"/>
      <c r="AC355" s="3">
        <f t="shared" si="206"/>
        <v>156</v>
      </c>
      <c r="AD355" s="14"/>
      <c r="AE355" s="5">
        <f t="shared" si="207"/>
        <v>159</v>
      </c>
      <c r="AF355" s="14"/>
      <c r="AG355" s="3">
        <f t="shared" si="208"/>
        <v>162</v>
      </c>
      <c r="AH355" s="14"/>
    </row>
    <row r="356" ht="28.049999237060547" customHeight="1">
      <c r="A356" s="2">
        <v>362</v>
      </c>
      <c r="B356" s="2" t="s">
        <v>63</v>
      </c>
      <c r="C356" s="13" t="s">
        <v>483</v>
      </c>
      <c r="D356" s="2" t="s">
        <v>64</v>
      </c>
      <c r="E356" s="2">
        <v>136</v>
      </c>
      <c r="F356" s="2" t="s">
        <v>65</v>
      </c>
      <c r="G356" s="2" t="s">
        <v>65</v>
      </c>
      <c r="H356" s="2">
        <v>37</v>
      </c>
      <c r="I356" s="3">
        <f t="shared" si="196"/>
        <v>136</v>
      </c>
      <c r="J356" s="14">
        <v>15600000000</v>
      </c>
      <c r="K356" s="5">
        <f t="shared" si="197"/>
        <v>137</v>
      </c>
      <c r="L356" s="14"/>
      <c r="M356" s="3">
        <f t="shared" si="198"/>
        <v>138</v>
      </c>
      <c r="N356" s="14"/>
      <c r="O356" s="5">
        <f t="shared" si="199"/>
        <v>140</v>
      </c>
      <c r="P356" s="14"/>
      <c r="Q356" s="3">
        <f t="shared" si="200"/>
        <v>142</v>
      </c>
      <c r="R356" s="14"/>
      <c r="S356" s="5">
        <f t="shared" si="201"/>
        <v>144</v>
      </c>
      <c r="T356" s="14"/>
      <c r="U356" s="3">
        <f t="shared" si="202"/>
        <v>147</v>
      </c>
      <c r="V356" s="14"/>
      <c r="W356" s="5">
        <f t="shared" si="203"/>
        <v>151</v>
      </c>
      <c r="X356" s="14"/>
      <c r="Y356" s="3">
        <f t="shared" si="204"/>
        <v>153</v>
      </c>
      <c r="Z356" s="14"/>
      <c r="AA356" s="5">
        <f t="shared" si="205"/>
        <v>155</v>
      </c>
      <c r="AB356" s="14"/>
      <c r="AC356" s="3">
        <f t="shared" si="206"/>
        <v>157</v>
      </c>
      <c r="AD356" s="14"/>
      <c r="AE356" s="5">
        <f t="shared" si="207"/>
        <v>160</v>
      </c>
      <c r="AF356" s="14"/>
      <c r="AG356" s="3">
        <f t="shared" si="208"/>
        <v>163</v>
      </c>
      <c r="AH356" s="14"/>
    </row>
    <row r="357" ht="28.049999237060547" customHeight="1">
      <c r="A357" s="2">
        <v>363</v>
      </c>
      <c r="B357" s="2" t="s">
        <v>492</v>
      </c>
      <c r="C357" s="13" t="s">
        <v>483</v>
      </c>
      <c r="D357" s="2" t="s">
        <v>40</v>
      </c>
      <c r="E357" s="2">
        <v>130</v>
      </c>
      <c r="F357" s="2" t="s">
        <v>42</v>
      </c>
      <c r="G357" s="2" t="s">
        <v>42</v>
      </c>
      <c r="H357" s="2">
        <v>33</v>
      </c>
      <c r="I357" s="3">
        <f t="shared" si="196"/>
        <v>130</v>
      </c>
      <c r="J357" s="14">
        <v>6180000000</v>
      </c>
      <c r="K357" s="5">
        <f t="shared" si="197"/>
        <v>131</v>
      </c>
      <c r="L357" s="14"/>
      <c r="M357" s="3">
        <f t="shared" si="198"/>
        <v>132</v>
      </c>
      <c r="N357" s="14"/>
      <c r="O357" s="5">
        <f t="shared" si="199"/>
        <v>134</v>
      </c>
      <c r="P357" s="14"/>
      <c r="Q357" s="3">
        <f t="shared" si="200"/>
        <v>136</v>
      </c>
      <c r="R357" s="14"/>
      <c r="S357" s="5">
        <f t="shared" si="201"/>
        <v>138</v>
      </c>
      <c r="T357" s="14"/>
      <c r="U357" s="3">
        <f t="shared" si="202"/>
        <v>141</v>
      </c>
      <c r="V357" s="14"/>
      <c r="W357" s="5">
        <f t="shared" si="203"/>
        <v>145</v>
      </c>
      <c r="X357" s="14"/>
      <c r="Y357" s="3">
        <f t="shared" si="204"/>
        <v>147</v>
      </c>
      <c r="Z357" s="14"/>
      <c r="AA357" s="5">
        <f t="shared" si="205"/>
        <v>149</v>
      </c>
      <c r="AB357" s="14"/>
      <c r="AC357" s="3">
        <f t="shared" si="206"/>
        <v>151</v>
      </c>
      <c r="AD357" s="14"/>
      <c r="AE357" s="5">
        <f t="shared" si="207"/>
        <v>154</v>
      </c>
      <c r="AF357" s="14"/>
      <c r="AG357" s="3">
        <f t="shared" si="208"/>
        <v>157</v>
      </c>
      <c r="AH357" s="14"/>
    </row>
    <row r="358" ht="28.049999237060547" customHeight="1">
      <c r="A358" s="2">
        <v>364</v>
      </c>
      <c r="B358" s="2" t="s">
        <v>493</v>
      </c>
      <c r="C358" s="13" t="s">
        <v>483</v>
      </c>
      <c r="D358" s="2" t="s">
        <v>40</v>
      </c>
      <c r="E358" s="2">
        <v>130</v>
      </c>
      <c r="F358" s="2" t="s">
        <v>494</v>
      </c>
      <c r="G358" s="2" t="s">
        <v>494</v>
      </c>
      <c r="H358" s="2">
        <v>33</v>
      </c>
      <c r="I358" s="3">
        <f t="shared" si="196"/>
        <v>130</v>
      </c>
      <c r="J358" s="14">
        <v>2860000000</v>
      </c>
      <c r="K358" s="5">
        <f t="shared" si="197"/>
        <v>131</v>
      </c>
      <c r="L358" s="14"/>
      <c r="M358" s="3">
        <f t="shared" si="198"/>
        <v>132</v>
      </c>
      <c r="N358" s="14"/>
      <c r="O358" s="5">
        <f t="shared" si="199"/>
        <v>134</v>
      </c>
      <c r="P358" s="14"/>
      <c r="Q358" s="3">
        <f t="shared" si="200"/>
        <v>136</v>
      </c>
      <c r="R358" s="14"/>
      <c r="S358" s="5">
        <f t="shared" si="201"/>
        <v>138</v>
      </c>
      <c r="T358" s="14"/>
      <c r="U358" s="3">
        <f t="shared" si="202"/>
        <v>141</v>
      </c>
      <c r="V358" s="14"/>
      <c r="W358" s="5">
        <f t="shared" si="203"/>
        <v>145</v>
      </c>
      <c r="X358" s="14"/>
      <c r="Y358" s="3">
        <f t="shared" si="204"/>
        <v>147</v>
      </c>
      <c r="Z358" s="14"/>
      <c r="AA358" s="5">
        <f t="shared" si="205"/>
        <v>149</v>
      </c>
      <c r="AB358" s="14"/>
      <c r="AC358" s="3">
        <f t="shared" si="206"/>
        <v>151</v>
      </c>
      <c r="AD358" s="14"/>
      <c r="AE358" s="5">
        <f t="shared" si="207"/>
        <v>154</v>
      </c>
      <c r="AF358" s="14"/>
      <c r="AG358" s="3">
        <f t="shared" si="208"/>
        <v>157</v>
      </c>
      <c r="AH358" s="14"/>
    </row>
    <row r="359" ht="28.049999237060547" customHeight="1">
      <c r="A359" s="2">
        <v>365</v>
      </c>
      <c r="B359" s="2" t="s">
        <v>172</v>
      </c>
      <c r="C359" s="13" t="s">
        <v>483</v>
      </c>
      <c r="D359" s="2" t="s">
        <v>40</v>
      </c>
      <c r="E359" s="2">
        <v>131</v>
      </c>
      <c r="F359" s="2" t="s">
        <v>26</v>
      </c>
      <c r="G359" s="2" t="s">
        <v>26</v>
      </c>
      <c r="H359" s="2">
        <v>34</v>
      </c>
      <c r="I359" s="3">
        <f t="shared" si="196"/>
        <v>131</v>
      </c>
      <c r="J359" s="14">
        <v>5280000000</v>
      </c>
      <c r="K359" s="5">
        <f t="shared" si="197"/>
        <v>132</v>
      </c>
      <c r="L359" s="14"/>
      <c r="M359" s="3">
        <f t="shared" si="198"/>
        <v>133</v>
      </c>
      <c r="N359" s="14"/>
      <c r="O359" s="5">
        <f t="shared" si="199"/>
        <v>135</v>
      </c>
      <c r="P359" s="14"/>
      <c r="Q359" s="3">
        <f t="shared" si="200"/>
        <v>137</v>
      </c>
      <c r="R359" s="14"/>
      <c r="S359" s="5">
        <f t="shared" si="201"/>
        <v>139</v>
      </c>
      <c r="T359" s="14"/>
      <c r="U359" s="3">
        <f t="shared" si="202"/>
        <v>142</v>
      </c>
      <c r="V359" s="14"/>
      <c r="W359" s="5">
        <f t="shared" si="203"/>
        <v>146</v>
      </c>
      <c r="X359" s="14"/>
      <c r="Y359" s="3">
        <f t="shared" si="204"/>
        <v>148</v>
      </c>
      <c r="Z359" s="14"/>
      <c r="AA359" s="5">
        <f t="shared" si="205"/>
        <v>150</v>
      </c>
      <c r="AB359" s="14"/>
      <c r="AC359" s="3">
        <f t="shared" si="206"/>
        <v>152</v>
      </c>
      <c r="AD359" s="14"/>
      <c r="AE359" s="5">
        <f t="shared" si="207"/>
        <v>155</v>
      </c>
      <c r="AF359" s="14"/>
      <c r="AG359" s="3">
        <f t="shared" si="208"/>
        <v>158</v>
      </c>
      <c r="AH359" s="14"/>
    </row>
    <row r="360" ht="28.049999237060547" customHeight="1">
      <c r="A360" s="2">
        <v>366</v>
      </c>
      <c r="B360" s="2" t="s">
        <v>139</v>
      </c>
      <c r="C360" s="13" t="s">
        <v>483</v>
      </c>
      <c r="D360" s="2" t="s">
        <v>40</v>
      </c>
      <c r="E360" s="2">
        <v>132</v>
      </c>
      <c r="F360" s="2" t="s">
        <v>34</v>
      </c>
      <c r="G360" s="2" t="s">
        <v>34</v>
      </c>
      <c r="H360" s="2">
        <v>35</v>
      </c>
      <c r="I360" s="3">
        <f t="shared" si="196"/>
        <v>132</v>
      </c>
      <c r="J360" s="14">
        <v>5070000000</v>
      </c>
      <c r="K360" s="5">
        <f t="shared" si="197"/>
        <v>133</v>
      </c>
      <c r="L360" s="14"/>
      <c r="M360" s="3">
        <f t="shared" si="198"/>
        <v>134</v>
      </c>
      <c r="N360" s="14"/>
      <c r="O360" s="5">
        <f t="shared" si="199"/>
        <v>136</v>
      </c>
      <c r="P360" s="14"/>
      <c r="Q360" s="3">
        <f t="shared" si="200"/>
        <v>138</v>
      </c>
      <c r="R360" s="14"/>
      <c r="S360" s="5">
        <f t="shared" si="201"/>
        <v>140</v>
      </c>
      <c r="T360" s="14"/>
      <c r="U360" s="3">
        <f t="shared" si="202"/>
        <v>143</v>
      </c>
      <c r="V360" s="14"/>
      <c r="W360" s="5">
        <f t="shared" si="203"/>
        <v>147</v>
      </c>
      <c r="X360" s="14"/>
      <c r="Y360" s="3">
        <f t="shared" si="204"/>
        <v>149</v>
      </c>
      <c r="Z360" s="14"/>
      <c r="AA360" s="5">
        <f t="shared" si="205"/>
        <v>151</v>
      </c>
      <c r="AB360" s="14"/>
      <c r="AC360" s="3">
        <f t="shared" si="206"/>
        <v>153</v>
      </c>
      <c r="AD360" s="14"/>
      <c r="AE360" s="5">
        <f t="shared" si="207"/>
        <v>156</v>
      </c>
      <c r="AF360" s="14"/>
      <c r="AG360" s="3">
        <f t="shared" si="208"/>
        <v>159</v>
      </c>
      <c r="AH360" s="14"/>
    </row>
    <row r="361" ht="28.049999237060547" customHeight="1">
      <c r="A361" s="2">
        <v>367</v>
      </c>
      <c r="B361" s="2" t="s">
        <v>163</v>
      </c>
      <c r="C361" s="13" t="s">
        <v>483</v>
      </c>
      <c r="D361" s="2" t="s">
        <v>40</v>
      </c>
      <c r="E361" s="2">
        <v>132</v>
      </c>
      <c r="F361" s="2" t="s">
        <v>71</v>
      </c>
      <c r="G361" s="2" t="s">
        <v>71</v>
      </c>
      <c r="H361" s="2">
        <v>35</v>
      </c>
      <c r="I361" s="3">
        <f t="shared" si="196"/>
        <v>132</v>
      </c>
      <c r="J361" s="14">
        <v>14100000000</v>
      </c>
      <c r="K361" s="5">
        <f t="shared" si="197"/>
        <v>133</v>
      </c>
      <c r="L361" s="14"/>
      <c r="M361" s="3">
        <f t="shared" si="198"/>
        <v>134</v>
      </c>
      <c r="N361" s="14"/>
      <c r="O361" s="5">
        <f t="shared" si="199"/>
        <v>136</v>
      </c>
      <c r="P361" s="14"/>
      <c r="Q361" s="3">
        <f t="shared" si="200"/>
        <v>138</v>
      </c>
      <c r="R361" s="14"/>
      <c r="S361" s="5">
        <f t="shared" si="201"/>
        <v>140</v>
      </c>
      <c r="T361" s="14"/>
      <c r="U361" s="3">
        <f t="shared" si="202"/>
        <v>143</v>
      </c>
      <c r="V361" s="14"/>
      <c r="W361" s="5">
        <f t="shared" si="203"/>
        <v>147</v>
      </c>
      <c r="X361" s="14"/>
      <c r="Y361" s="3">
        <f t="shared" si="204"/>
        <v>149</v>
      </c>
      <c r="Z361" s="14"/>
      <c r="AA361" s="5">
        <f t="shared" si="205"/>
        <v>151</v>
      </c>
      <c r="AB361" s="14"/>
      <c r="AC361" s="3">
        <f t="shared" si="206"/>
        <v>153</v>
      </c>
      <c r="AD361" s="14"/>
      <c r="AE361" s="5">
        <f t="shared" si="207"/>
        <v>156</v>
      </c>
      <c r="AF361" s="14"/>
      <c r="AG361" s="3">
        <f t="shared" si="208"/>
        <v>159</v>
      </c>
      <c r="AH361" s="14"/>
    </row>
    <row r="362" ht="28.049999237060547" customHeight="1">
      <c r="A362" s="2">
        <v>368</v>
      </c>
      <c r="B362" s="2" t="s">
        <v>192</v>
      </c>
      <c r="C362" s="13" t="s">
        <v>483</v>
      </c>
      <c r="D362" s="2" t="s">
        <v>40</v>
      </c>
      <c r="E362" s="2">
        <v>132</v>
      </c>
      <c r="F362" s="2" t="s">
        <v>56</v>
      </c>
      <c r="G362" s="2" t="s">
        <v>56</v>
      </c>
      <c r="H362" s="2">
        <v>34</v>
      </c>
      <c r="I362" s="3">
        <f t="shared" si="196"/>
        <v>132</v>
      </c>
      <c r="J362" s="14">
        <v>4610000000</v>
      </c>
      <c r="K362" s="5">
        <f t="shared" si="197"/>
        <v>133</v>
      </c>
      <c r="L362" s="14"/>
      <c r="M362" s="3">
        <f t="shared" si="198"/>
        <v>134</v>
      </c>
      <c r="N362" s="14"/>
      <c r="O362" s="5">
        <f t="shared" si="199"/>
        <v>136</v>
      </c>
      <c r="P362" s="14"/>
      <c r="Q362" s="3">
        <f t="shared" si="200"/>
        <v>138</v>
      </c>
      <c r="R362" s="14"/>
      <c r="S362" s="5">
        <f t="shared" si="201"/>
        <v>140</v>
      </c>
      <c r="T362" s="14"/>
      <c r="U362" s="3">
        <f t="shared" si="202"/>
        <v>143</v>
      </c>
      <c r="V362" s="14"/>
      <c r="W362" s="5">
        <f t="shared" si="203"/>
        <v>147</v>
      </c>
      <c r="X362" s="14"/>
      <c r="Y362" s="3">
        <f t="shared" si="204"/>
        <v>149</v>
      </c>
      <c r="Z362" s="14"/>
      <c r="AA362" s="5">
        <f t="shared" si="205"/>
        <v>151</v>
      </c>
      <c r="AB362" s="14"/>
      <c r="AC362" s="3">
        <f t="shared" si="206"/>
        <v>153</v>
      </c>
      <c r="AD362" s="14"/>
      <c r="AE362" s="5">
        <f t="shared" si="207"/>
        <v>156</v>
      </c>
      <c r="AF362" s="14"/>
      <c r="AG362" s="3">
        <f t="shared" si="208"/>
        <v>159</v>
      </c>
      <c r="AH362" s="14"/>
    </row>
    <row r="363" ht="28.049999237060547" customHeight="1">
      <c r="A363" s="2">
        <v>369</v>
      </c>
      <c r="B363" s="2" t="s">
        <v>115</v>
      </c>
      <c r="C363" s="13" t="s">
        <v>483</v>
      </c>
      <c r="D363" s="2" t="s">
        <v>40</v>
      </c>
      <c r="E363" s="2">
        <v>133</v>
      </c>
      <c r="F363" s="2" t="s">
        <v>116</v>
      </c>
      <c r="G363" s="2" t="s">
        <v>116</v>
      </c>
      <c r="H363" s="2">
        <v>35</v>
      </c>
      <c r="I363" s="3">
        <f t="shared" si="196"/>
        <v>133</v>
      </c>
      <c r="J363" s="14">
        <v>22800000000</v>
      </c>
      <c r="K363" s="5">
        <f t="shared" si="197"/>
        <v>134</v>
      </c>
      <c r="L363" s="14"/>
      <c r="M363" s="3">
        <f t="shared" si="198"/>
        <v>135</v>
      </c>
      <c r="N363" s="14"/>
      <c r="O363" s="5">
        <f t="shared" si="199"/>
        <v>137</v>
      </c>
      <c r="P363" s="14"/>
      <c r="Q363" s="3">
        <f t="shared" si="200"/>
        <v>139</v>
      </c>
      <c r="R363" s="14"/>
      <c r="S363" s="5">
        <f t="shared" si="201"/>
        <v>141</v>
      </c>
      <c r="T363" s="14"/>
      <c r="U363" s="3">
        <f t="shared" si="202"/>
        <v>144</v>
      </c>
      <c r="V363" s="14"/>
      <c r="W363" s="5">
        <f t="shared" si="203"/>
        <v>148</v>
      </c>
      <c r="X363" s="14"/>
      <c r="Y363" s="3">
        <f t="shared" si="204"/>
        <v>150</v>
      </c>
      <c r="Z363" s="14"/>
      <c r="AA363" s="5">
        <f t="shared" si="205"/>
        <v>152</v>
      </c>
      <c r="AB363" s="14"/>
      <c r="AC363" s="3">
        <f t="shared" si="206"/>
        <v>154</v>
      </c>
      <c r="AD363" s="14"/>
      <c r="AE363" s="5">
        <f t="shared" si="207"/>
        <v>157</v>
      </c>
      <c r="AF363" s="14"/>
      <c r="AG363" s="3">
        <f t="shared" si="208"/>
        <v>160</v>
      </c>
      <c r="AH363" s="14"/>
    </row>
    <row r="364" ht="28.049999237060547" customHeight="1">
      <c r="A364" s="2">
        <v>370</v>
      </c>
      <c r="B364" s="2" t="s">
        <v>170</v>
      </c>
      <c r="C364" s="13" t="s">
        <v>483</v>
      </c>
      <c r="D364" s="2" t="s">
        <v>40</v>
      </c>
      <c r="E364" s="2">
        <v>133</v>
      </c>
      <c r="F364" s="2" t="s">
        <v>56</v>
      </c>
      <c r="G364" s="2" t="s">
        <v>56</v>
      </c>
      <c r="H364" s="2">
        <v>35</v>
      </c>
      <c r="I364" s="3">
        <f t="shared" si="196"/>
        <v>133</v>
      </c>
      <c r="J364" s="14">
        <v>7440000000</v>
      </c>
      <c r="K364" s="5">
        <f t="shared" si="197"/>
        <v>134</v>
      </c>
      <c r="L364" s="14"/>
      <c r="M364" s="3">
        <f t="shared" si="198"/>
        <v>135</v>
      </c>
      <c r="N364" s="14"/>
      <c r="O364" s="5">
        <f t="shared" si="199"/>
        <v>137</v>
      </c>
      <c r="P364" s="14"/>
      <c r="Q364" s="3">
        <f t="shared" si="200"/>
        <v>139</v>
      </c>
      <c r="R364" s="14"/>
      <c r="S364" s="5">
        <f t="shared" si="201"/>
        <v>141</v>
      </c>
      <c r="T364" s="14"/>
      <c r="U364" s="3">
        <f t="shared" si="202"/>
        <v>144</v>
      </c>
      <c r="V364" s="14"/>
      <c r="W364" s="5">
        <f t="shared" si="203"/>
        <v>148</v>
      </c>
      <c r="X364" s="14"/>
      <c r="Y364" s="3">
        <f t="shared" si="204"/>
        <v>150</v>
      </c>
      <c r="Z364" s="14"/>
      <c r="AA364" s="5">
        <f t="shared" si="205"/>
        <v>152</v>
      </c>
      <c r="AB364" s="14"/>
      <c r="AC364" s="3">
        <f t="shared" si="206"/>
        <v>154</v>
      </c>
      <c r="AD364" s="14"/>
      <c r="AE364" s="5">
        <f t="shared" si="207"/>
        <v>157</v>
      </c>
      <c r="AF364" s="14"/>
      <c r="AG364" s="3">
        <f t="shared" si="208"/>
        <v>160</v>
      </c>
      <c r="AH364" s="14"/>
    </row>
    <row r="365" ht="28.049999237060547" customHeight="1">
      <c r="A365" s="2">
        <v>371</v>
      </c>
      <c r="B365" s="2" t="s">
        <v>85</v>
      </c>
      <c r="C365" s="13" t="s">
        <v>483</v>
      </c>
      <c r="D365" s="2" t="s">
        <v>40</v>
      </c>
      <c r="E365" s="2">
        <v>134</v>
      </c>
      <c r="F365" s="2" t="s">
        <v>56</v>
      </c>
      <c r="G365" s="2" t="s">
        <v>56</v>
      </c>
      <c r="H365" s="2">
        <v>35</v>
      </c>
      <c r="I365" s="3">
        <f t="shared" si="196"/>
        <v>134</v>
      </c>
      <c r="J365" s="14">
        <v>7440000000</v>
      </c>
      <c r="K365" s="5">
        <f t="shared" si="197"/>
        <v>135</v>
      </c>
      <c r="L365" s="14"/>
      <c r="M365" s="3">
        <f t="shared" si="198"/>
        <v>136</v>
      </c>
      <c r="N365" s="14"/>
      <c r="O365" s="5">
        <f t="shared" si="199"/>
        <v>138</v>
      </c>
      <c r="P365" s="14"/>
      <c r="Q365" s="3">
        <f t="shared" si="200"/>
        <v>140</v>
      </c>
      <c r="R365" s="14"/>
      <c r="S365" s="5">
        <f t="shared" si="201"/>
        <v>142</v>
      </c>
      <c r="T365" s="14"/>
      <c r="U365" s="3">
        <f t="shared" si="202"/>
        <v>145</v>
      </c>
      <c r="V365" s="14"/>
      <c r="W365" s="5">
        <f t="shared" si="203"/>
        <v>149</v>
      </c>
      <c r="X365" s="14"/>
      <c r="Y365" s="3">
        <f t="shared" si="204"/>
        <v>151</v>
      </c>
      <c r="Z365" s="14"/>
      <c r="AA365" s="5">
        <f t="shared" si="205"/>
        <v>153</v>
      </c>
      <c r="AB365" s="14"/>
      <c r="AC365" s="3">
        <f t="shared" si="206"/>
        <v>155</v>
      </c>
      <c r="AD365" s="14"/>
      <c r="AE365" s="5">
        <f t="shared" si="207"/>
        <v>158</v>
      </c>
      <c r="AF365" s="14"/>
      <c r="AG365" s="3">
        <f t="shared" si="208"/>
        <v>161</v>
      </c>
      <c r="AH365" s="14"/>
    </row>
    <row r="366" ht="28.049999237060547" customHeight="1">
      <c r="A366" s="2">
        <v>372</v>
      </c>
      <c r="B366" s="2" t="s">
        <v>151</v>
      </c>
      <c r="C366" s="13" t="s">
        <v>483</v>
      </c>
      <c r="D366" s="2" t="s">
        <v>40</v>
      </c>
      <c r="E366" s="2">
        <v>134</v>
      </c>
      <c r="F366" s="2" t="s">
        <v>42</v>
      </c>
      <c r="G366" s="2" t="s">
        <v>42</v>
      </c>
      <c r="H366" s="2">
        <v>36</v>
      </c>
      <c r="I366" s="3">
        <f t="shared" si="196"/>
        <v>134</v>
      </c>
      <c r="J366" s="14">
        <v>10600000000</v>
      </c>
      <c r="K366" s="5">
        <f t="shared" si="197"/>
        <v>135</v>
      </c>
      <c r="L366" s="14"/>
      <c r="M366" s="3">
        <f t="shared" si="198"/>
        <v>136</v>
      </c>
      <c r="N366" s="14"/>
      <c r="O366" s="5">
        <f t="shared" si="199"/>
        <v>138</v>
      </c>
      <c r="P366" s="14"/>
      <c r="Q366" s="3">
        <f t="shared" si="200"/>
        <v>140</v>
      </c>
      <c r="R366" s="14"/>
      <c r="S366" s="5">
        <f t="shared" si="201"/>
        <v>142</v>
      </c>
      <c r="T366" s="14"/>
      <c r="U366" s="3">
        <f t="shared" si="202"/>
        <v>145</v>
      </c>
      <c r="V366" s="14"/>
      <c r="W366" s="5">
        <f t="shared" si="203"/>
        <v>149</v>
      </c>
      <c r="X366" s="14"/>
      <c r="Y366" s="3">
        <f t="shared" si="204"/>
        <v>151</v>
      </c>
      <c r="Z366" s="14"/>
      <c r="AA366" s="5">
        <f t="shared" si="205"/>
        <v>153</v>
      </c>
      <c r="AB366" s="14"/>
      <c r="AC366" s="3">
        <f t="shared" si="206"/>
        <v>155</v>
      </c>
      <c r="AD366" s="14"/>
      <c r="AE366" s="5">
        <f t="shared" si="207"/>
        <v>158</v>
      </c>
      <c r="AF366" s="14"/>
      <c r="AG366" s="3">
        <f t="shared" si="208"/>
        <v>161</v>
      </c>
      <c r="AH366" s="14"/>
    </row>
    <row r="367" ht="28.049999237060547" customHeight="1">
      <c r="A367" s="2">
        <v>373</v>
      </c>
      <c r="B367" s="2" t="s">
        <v>117</v>
      </c>
      <c r="C367" s="13" t="s">
        <v>483</v>
      </c>
      <c r="D367" s="2" t="s">
        <v>40</v>
      </c>
      <c r="E367" s="2">
        <v>135</v>
      </c>
      <c r="F367" s="2" t="s">
        <v>54</v>
      </c>
      <c r="G367" s="2" t="s">
        <v>54</v>
      </c>
      <c r="H367" s="2">
        <v>37</v>
      </c>
      <c r="I367" s="3">
        <f t="shared" si="196"/>
        <v>135</v>
      </c>
      <c r="J367" s="14">
        <v>48800000000</v>
      </c>
      <c r="K367" s="5">
        <f t="shared" si="197"/>
        <v>136</v>
      </c>
      <c r="L367" s="14"/>
      <c r="M367" s="3">
        <f t="shared" si="198"/>
        <v>137</v>
      </c>
      <c r="N367" s="14"/>
      <c r="O367" s="5">
        <f t="shared" si="199"/>
        <v>139</v>
      </c>
      <c r="P367" s="14"/>
      <c r="Q367" s="3">
        <f t="shared" si="200"/>
        <v>141</v>
      </c>
      <c r="R367" s="14"/>
      <c r="S367" s="5">
        <f t="shared" si="201"/>
        <v>143</v>
      </c>
      <c r="T367" s="14"/>
      <c r="U367" s="3">
        <f t="shared" si="202"/>
        <v>146</v>
      </c>
      <c r="V367" s="14"/>
      <c r="W367" s="5">
        <f t="shared" si="203"/>
        <v>150</v>
      </c>
      <c r="X367" s="14"/>
      <c r="Y367" s="3">
        <f t="shared" si="204"/>
        <v>152</v>
      </c>
      <c r="Z367" s="14"/>
      <c r="AA367" s="5">
        <f t="shared" si="205"/>
        <v>154</v>
      </c>
      <c r="AB367" s="14"/>
      <c r="AC367" s="3">
        <f t="shared" si="206"/>
        <v>156</v>
      </c>
      <c r="AD367" s="14"/>
      <c r="AE367" s="5">
        <f t="shared" si="207"/>
        <v>159</v>
      </c>
      <c r="AF367" s="14"/>
      <c r="AG367" s="3">
        <f t="shared" si="208"/>
        <v>162</v>
      </c>
      <c r="AH367" s="14"/>
    </row>
    <row r="368" ht="28.049999237060547" customHeight="1">
      <c r="A368" s="2">
        <v>374</v>
      </c>
      <c r="B368" s="2" t="s">
        <v>112</v>
      </c>
      <c r="C368" s="13" t="s">
        <v>483</v>
      </c>
      <c r="D368" s="2" t="s">
        <v>40</v>
      </c>
      <c r="E368" s="2">
        <v>135</v>
      </c>
      <c r="F368" s="2" t="s">
        <v>42</v>
      </c>
      <c r="G368" s="2" t="s">
        <v>42</v>
      </c>
      <c r="H368" s="2">
        <v>36</v>
      </c>
      <c r="I368" s="3">
        <f t="shared" si="196"/>
        <v>135</v>
      </c>
      <c r="J368" s="14">
        <v>6180000000</v>
      </c>
      <c r="K368" s="5">
        <f t="shared" si="197"/>
        <v>136</v>
      </c>
      <c r="L368" s="14"/>
      <c r="M368" s="3">
        <f t="shared" si="198"/>
        <v>137</v>
      </c>
      <c r="N368" s="14"/>
      <c r="O368" s="5">
        <f t="shared" si="199"/>
        <v>139</v>
      </c>
      <c r="P368" s="14"/>
      <c r="Q368" s="3">
        <f t="shared" si="200"/>
        <v>141</v>
      </c>
      <c r="R368" s="14"/>
      <c r="S368" s="5">
        <f t="shared" si="201"/>
        <v>143</v>
      </c>
      <c r="T368" s="14"/>
      <c r="U368" s="3">
        <f t="shared" si="202"/>
        <v>146</v>
      </c>
      <c r="V368" s="14"/>
      <c r="W368" s="5">
        <f t="shared" si="203"/>
        <v>150</v>
      </c>
      <c r="X368" s="14"/>
      <c r="Y368" s="3">
        <f t="shared" si="204"/>
        <v>152</v>
      </c>
      <c r="Z368" s="14"/>
      <c r="AA368" s="5">
        <f t="shared" si="205"/>
        <v>154</v>
      </c>
      <c r="AB368" s="14"/>
      <c r="AC368" s="3">
        <f t="shared" si="206"/>
        <v>156</v>
      </c>
      <c r="AD368" s="14"/>
      <c r="AE368" s="5">
        <f t="shared" si="207"/>
        <v>159</v>
      </c>
      <c r="AF368" s="14"/>
      <c r="AG368" s="3">
        <f t="shared" si="208"/>
        <v>162</v>
      </c>
      <c r="AH368" s="14"/>
    </row>
    <row r="369" ht="28.049999237060547" customHeight="1">
      <c r="A369" s="2">
        <v>375</v>
      </c>
      <c r="B369" s="2" t="s">
        <v>152</v>
      </c>
      <c r="C369" s="13" t="s">
        <v>483</v>
      </c>
      <c r="D369" s="2" t="s">
        <v>40</v>
      </c>
      <c r="E369" s="2">
        <v>135</v>
      </c>
      <c r="F369" s="2" t="s">
        <v>71</v>
      </c>
      <c r="G369" s="2" t="s">
        <v>71</v>
      </c>
      <c r="H369" s="2">
        <v>37</v>
      </c>
      <c r="I369" s="3">
        <f t="shared" si="196"/>
        <v>135</v>
      </c>
      <c r="J369" s="14">
        <v>14800000000</v>
      </c>
      <c r="K369" s="5">
        <f t="shared" si="197"/>
        <v>136</v>
      </c>
      <c r="L369" s="14"/>
      <c r="M369" s="3">
        <f t="shared" si="198"/>
        <v>137</v>
      </c>
      <c r="N369" s="14"/>
      <c r="O369" s="5">
        <f t="shared" si="199"/>
        <v>139</v>
      </c>
      <c r="P369" s="14"/>
      <c r="Q369" s="3">
        <f t="shared" si="200"/>
        <v>141</v>
      </c>
      <c r="R369" s="14"/>
      <c r="S369" s="5">
        <f t="shared" si="201"/>
        <v>143</v>
      </c>
      <c r="T369" s="14"/>
      <c r="U369" s="3">
        <f t="shared" si="202"/>
        <v>146</v>
      </c>
      <c r="V369" s="14"/>
      <c r="W369" s="5">
        <f t="shared" si="203"/>
        <v>150</v>
      </c>
      <c r="X369" s="14"/>
      <c r="Y369" s="3">
        <f t="shared" si="204"/>
        <v>152</v>
      </c>
      <c r="Z369" s="14"/>
      <c r="AA369" s="5">
        <f t="shared" si="205"/>
        <v>154</v>
      </c>
      <c r="AB369" s="14"/>
      <c r="AC369" s="3">
        <f t="shared" si="206"/>
        <v>156</v>
      </c>
      <c r="AD369" s="14"/>
      <c r="AE369" s="5">
        <f t="shared" si="207"/>
        <v>159</v>
      </c>
      <c r="AF369" s="14"/>
      <c r="AG369" s="3">
        <f t="shared" si="208"/>
        <v>162</v>
      </c>
      <c r="AH369" s="14"/>
    </row>
    <row r="370" ht="28.049999237060547" customHeight="1">
      <c r="A370" s="2">
        <v>376</v>
      </c>
      <c r="B370" s="2" t="s">
        <v>118</v>
      </c>
      <c r="C370" s="13" t="s">
        <v>483</v>
      </c>
      <c r="D370" s="2" t="s">
        <v>40</v>
      </c>
      <c r="E370" s="2">
        <v>135</v>
      </c>
      <c r="F370" s="2" t="s">
        <v>56</v>
      </c>
      <c r="G370" s="2" t="s">
        <v>56</v>
      </c>
      <c r="H370" s="2">
        <v>37</v>
      </c>
      <c r="I370" s="3">
        <f t="shared" si="196"/>
        <v>135</v>
      </c>
      <c r="J370" s="14">
        <v>11200000000</v>
      </c>
      <c r="K370" s="5">
        <f t="shared" si="197"/>
        <v>136</v>
      </c>
      <c r="L370" s="14"/>
      <c r="M370" s="3">
        <f t="shared" si="198"/>
        <v>137</v>
      </c>
      <c r="N370" s="14"/>
      <c r="O370" s="5">
        <f t="shared" si="199"/>
        <v>139</v>
      </c>
      <c r="P370" s="14"/>
      <c r="Q370" s="3">
        <f t="shared" si="200"/>
        <v>141</v>
      </c>
      <c r="R370" s="14"/>
      <c r="S370" s="5">
        <f t="shared" si="201"/>
        <v>143</v>
      </c>
      <c r="T370" s="14"/>
      <c r="U370" s="3">
        <f t="shared" si="202"/>
        <v>146</v>
      </c>
      <c r="V370" s="14"/>
      <c r="W370" s="5">
        <f t="shared" si="203"/>
        <v>150</v>
      </c>
      <c r="X370" s="14"/>
      <c r="Y370" s="3">
        <f t="shared" si="204"/>
        <v>152</v>
      </c>
      <c r="Z370" s="14"/>
      <c r="AA370" s="5">
        <f t="shared" si="205"/>
        <v>154</v>
      </c>
      <c r="AB370" s="14"/>
      <c r="AC370" s="3">
        <f t="shared" si="206"/>
        <v>156</v>
      </c>
      <c r="AD370" s="14"/>
      <c r="AE370" s="5">
        <f t="shared" si="207"/>
        <v>159</v>
      </c>
      <c r="AF370" s="14"/>
      <c r="AG370" s="3">
        <f t="shared" si="208"/>
        <v>162</v>
      </c>
      <c r="AH370" s="14"/>
    </row>
    <row r="371" ht="28.049999237060547" customHeight="1">
      <c r="A371" s="2">
        <v>377</v>
      </c>
      <c r="B371" s="2" t="s">
        <v>52</v>
      </c>
      <c r="C371" s="13" t="s">
        <v>483</v>
      </c>
      <c r="D371" s="2" t="s">
        <v>40</v>
      </c>
      <c r="E371" s="2">
        <v>136</v>
      </c>
      <c r="F371" s="2" t="s">
        <v>30</v>
      </c>
      <c r="G371" s="2" t="s">
        <v>30</v>
      </c>
      <c r="H371" s="2">
        <v>37</v>
      </c>
      <c r="I371" s="3">
        <f t="shared" si="196"/>
        <v>136</v>
      </c>
      <c r="J371" s="14">
        <v>100000000000</v>
      </c>
      <c r="K371" s="5">
        <f t="shared" si="197"/>
        <v>137</v>
      </c>
      <c r="L371" s="14"/>
      <c r="M371" s="3">
        <f t="shared" si="198"/>
        <v>138</v>
      </c>
      <c r="N371" s="14"/>
      <c r="O371" s="5">
        <f t="shared" si="199"/>
        <v>140</v>
      </c>
      <c r="P371" s="14"/>
      <c r="Q371" s="3">
        <f t="shared" si="200"/>
        <v>142</v>
      </c>
      <c r="R371" s="14"/>
      <c r="S371" s="5">
        <f t="shared" si="201"/>
        <v>144</v>
      </c>
      <c r="T371" s="14"/>
      <c r="U371" s="3">
        <f t="shared" si="202"/>
        <v>147</v>
      </c>
      <c r="V371" s="14"/>
      <c r="W371" s="5">
        <f t="shared" si="203"/>
        <v>151</v>
      </c>
      <c r="X371" s="14"/>
      <c r="Y371" s="3">
        <f t="shared" si="204"/>
        <v>153</v>
      </c>
      <c r="Z371" s="14"/>
      <c r="AA371" s="5">
        <f t="shared" si="205"/>
        <v>155</v>
      </c>
      <c r="AB371" s="14"/>
      <c r="AC371" s="3">
        <f t="shared" si="206"/>
        <v>157</v>
      </c>
      <c r="AD371" s="14"/>
      <c r="AE371" s="5">
        <f t="shared" si="207"/>
        <v>160</v>
      </c>
      <c r="AF371" s="14"/>
      <c r="AG371" s="3">
        <f t="shared" si="208"/>
        <v>163</v>
      </c>
      <c r="AH371" s="14"/>
    </row>
    <row r="372" ht="28.049999237060547" customHeight="1">
      <c r="A372" s="2">
        <v>378</v>
      </c>
      <c r="B372" s="2" t="s">
        <v>50</v>
      </c>
      <c r="C372" s="13" t="s">
        <v>483</v>
      </c>
      <c r="D372" s="2" t="s">
        <v>40</v>
      </c>
      <c r="E372" s="2">
        <v>136</v>
      </c>
      <c r="F372" s="2" t="s">
        <v>42</v>
      </c>
      <c r="G372" s="2" t="s">
        <v>42</v>
      </c>
      <c r="H372" s="2">
        <v>38</v>
      </c>
      <c r="I372" s="3">
        <f t="shared" si="196"/>
        <v>136</v>
      </c>
      <c r="J372" s="14">
        <v>32800000000</v>
      </c>
      <c r="K372" s="5">
        <f t="shared" si="197"/>
        <v>137</v>
      </c>
      <c r="L372" s="14"/>
      <c r="M372" s="3">
        <f t="shared" si="198"/>
        <v>138</v>
      </c>
      <c r="N372" s="14"/>
      <c r="O372" s="5">
        <f t="shared" si="199"/>
        <v>140</v>
      </c>
      <c r="P372" s="14"/>
      <c r="Q372" s="3">
        <f t="shared" si="200"/>
        <v>142</v>
      </c>
      <c r="R372" s="14"/>
      <c r="S372" s="5">
        <f t="shared" si="201"/>
        <v>144</v>
      </c>
      <c r="T372" s="14"/>
      <c r="U372" s="3">
        <f t="shared" si="202"/>
        <v>147</v>
      </c>
      <c r="V372" s="14"/>
      <c r="W372" s="5">
        <f t="shared" si="203"/>
        <v>151</v>
      </c>
      <c r="X372" s="14"/>
      <c r="Y372" s="3">
        <f t="shared" si="204"/>
        <v>153</v>
      </c>
      <c r="Z372" s="14"/>
      <c r="AA372" s="5">
        <f t="shared" si="205"/>
        <v>155</v>
      </c>
      <c r="AB372" s="14"/>
      <c r="AC372" s="3">
        <f t="shared" si="206"/>
        <v>157</v>
      </c>
      <c r="AD372" s="14"/>
      <c r="AE372" s="5">
        <f t="shared" si="207"/>
        <v>160</v>
      </c>
      <c r="AF372" s="14"/>
      <c r="AG372" s="3">
        <f t="shared" si="208"/>
        <v>163</v>
      </c>
      <c r="AH372" s="14"/>
    </row>
    <row r="373" ht="28" customHeight="1">
      <c r="A373" s="2" t="n">
        <v>383</v>
      </c>
      <c r="B373" s="16" t="str">
        <v>Đỗ Hùng Dũng</v>
      </c>
      <c r="C373" s="16" t="str">
        <v>VIETNAM</v>
      </c>
      <c r="D373" s="2" t="str">
        <v>CM</v>
      </c>
      <c r="E373" s="2" t="n">
        <v>105</v>
      </c>
      <c r="F373" s="2" t="str">
        <v>Việt Nam</v>
      </c>
      <c r="G373" s="2" t="str">
        <v>Việt Nam</v>
      </c>
      <c r="H373" s="2" t="n">
        <v>23</v>
      </c>
      <c r="I373" s="3" t="n">
        <f>$E373+0</f>
        <v>105</v>
      </c>
      <c r="J373" s="17">
        <v>789000</v>
      </c>
      <c r="L373" s="17"/>
      <c r="M373" s="3" t="n">
        <f>$E373+2</f>
        <v>107</v>
      </c>
      <c r="N373" s="17"/>
      <c r="O373" s="5" t="n">
        <f>$E373+4</f>
        <v>109</v>
      </c>
      <c r="P373" s="17"/>
      <c r="Q373" s="3" t="n">
        <f>$E373+6</f>
        <v>111</v>
      </c>
      <c r="R373" s="17"/>
      <c r="S373" s="5" t="n">
        <f>$E373+8</f>
        <v>113</v>
      </c>
      <c r="T373" s="17"/>
      <c r="U373" s="3" t="n">
        <f>$E373+11</f>
        <v>116</v>
      </c>
      <c r="V373" s="17"/>
      <c r="W373" s="5" t="n">
        <f>$E373+15</f>
        <v>120</v>
      </c>
      <c r="X373" s="17"/>
      <c r="Y373" s="3" t="n">
        <f>$E373+17</f>
        <v>122</v>
      </c>
      <c r="Z373" s="17"/>
      <c r="AA373" s="5" t="n">
        <f>$E373+19</f>
        <v>124</v>
      </c>
      <c r="AB373" s="17"/>
      <c r="AC373" s="3" t="n">
        <f>$E373+21</f>
        <v>126</v>
      </c>
      <c r="AD373" s="17"/>
      <c r="AE373" s="5" t="n">
        <f>$E373+24</f>
        <v>129</v>
      </c>
      <c r="AF373" s="17"/>
      <c r="AG373" s="3" t="n">
        <f>$E373+27</f>
        <v>132</v>
      </c>
      <c r="AH373" s="17"/>
    </row>
    <row r="374" ht="28" customHeight="1">
      <c r="A374" s="2" t="n">
        <v>384</v>
      </c>
      <c r="B374" s="16" t="str">
        <v>Đỗ Hoàng Hên</v>
      </c>
      <c r="C374" s="16" t="str">
        <v>VIETNAM</v>
      </c>
      <c r="D374" s="2" t="str">
        <v>RW</v>
      </c>
      <c r="E374" s="2" t="n">
        <v>119</v>
      </c>
      <c r="F374" s="2" t="str">
        <v>Việt Nam</v>
      </c>
      <c r="G374" s="2" t="str">
        <v>Việt Nam</v>
      </c>
      <c r="H374" s="2" t="n">
        <v>29</v>
      </c>
      <c r="I374" s="3" t="n">
        <f>$E374+0</f>
        <v>119</v>
      </c>
      <c r="J374" s="17">
        <v>11300000</v>
      </c>
      <c r="L374" s="17"/>
      <c r="M374" s="3" t="n">
        <f>$E374+2</f>
        <v>121</v>
      </c>
      <c r="N374" s="17"/>
      <c r="O374" s="5" t="n">
        <f>$E374+4</f>
        <v>123</v>
      </c>
      <c r="P374" s="17"/>
      <c r="Q374" s="3" t="n">
        <f>$E374+6</f>
        <v>125</v>
      </c>
      <c r="R374" s="17"/>
      <c r="S374" s="5" t="n">
        <f>$E374+8</f>
        <v>127</v>
      </c>
      <c r="T374" s="17"/>
      <c r="U374" s="3" t="n">
        <f>$E374+11</f>
        <v>130</v>
      </c>
      <c r="V374" s="17"/>
      <c r="W374" s="5" t="n">
        <f>$E374+15</f>
        <v>134</v>
      </c>
      <c r="X374" s="17"/>
      <c r="Y374" s="3" t="n">
        <f>$E374+17</f>
        <v>136</v>
      </c>
      <c r="Z374" s="17"/>
      <c r="AA374" s="5" t="n">
        <f>$E374+19</f>
        <v>138</v>
      </c>
      <c r="AB374" s="17"/>
      <c r="AC374" s="3" t="n">
        <f>$E374+21</f>
        <v>140</v>
      </c>
      <c r="AD374" s="17"/>
      <c r="AE374" s="5" t="n">
        <f>$E374+24</f>
        <v>143</v>
      </c>
      <c r="AF374" s="17"/>
      <c r="AG374" s="3" t="n">
        <f>$E374+27</f>
        <v>146</v>
      </c>
      <c r="AH374" s="17"/>
    </row>
    <row r="375" ht="28" customHeight="1">
      <c r="A375" s="2" t="n">
        <v>385</v>
      </c>
      <c r="B375" s="16" t="str">
        <v>Đỗ Duy Mạnh</v>
      </c>
      <c r="C375" s="16" t="str">
        <v>VIETNAM</v>
      </c>
      <c r="D375" s="2" t="str">
        <v>CB</v>
      </c>
      <c r="E375" s="2" t="n">
        <v>115</v>
      </c>
      <c r="F375" s="2" t="str">
        <v>Việt Nam</v>
      </c>
      <c r="G375" s="2" t="str">
        <v>Việt Nam</v>
      </c>
      <c r="H375" s="2" t="n">
        <v>26</v>
      </c>
      <c r="I375" s="3" t="n">
        <f>$E375+0</f>
        <v>115</v>
      </c>
      <c r="J375" s="17">
        <v>915000</v>
      </c>
      <c r="L375" s="17"/>
      <c r="M375" s="3" t="n">
        <f>$E375+2</f>
        <v>117</v>
      </c>
      <c r="N375" s="17"/>
      <c r="O375" s="5" t="n">
        <f>$E375+4</f>
        <v>119</v>
      </c>
      <c r="P375" s="17"/>
      <c r="Q375" s="3" t="n">
        <f>$E375+6</f>
        <v>121</v>
      </c>
      <c r="R375" s="17"/>
      <c r="S375" s="5" t="n">
        <f>$E375+8</f>
        <v>123</v>
      </c>
      <c r="T375" s="17"/>
      <c r="U375" s="3" t="n">
        <f>$E375+11</f>
        <v>126</v>
      </c>
      <c r="V375" s="17"/>
      <c r="W375" s="5" t="n">
        <f>$E375+15</f>
        <v>130</v>
      </c>
      <c r="X375" s="17"/>
      <c r="Y375" s="3" t="n">
        <f>$E375+17</f>
        <v>132</v>
      </c>
      <c r="Z375" s="17"/>
      <c r="AA375" s="5" t="n">
        <f>$E375+19</f>
        <v>134</v>
      </c>
      <c r="AB375" s="17"/>
      <c r="AC375" s="3" t="n">
        <f>$E375+21</f>
        <v>136</v>
      </c>
      <c r="AD375" s="17"/>
      <c r="AE375" s="5" t="n">
        <f>$E375+24</f>
        <v>139</v>
      </c>
      <c r="AF375" s="17"/>
      <c r="AG375" s="3" t="n">
        <f>$E375+27</f>
        <v>142</v>
      </c>
      <c r="AH375" s="17"/>
    </row>
    <row r="376" ht="28" customHeight="1">
      <c r="A376" s="2" t="n">
        <v>386</v>
      </c>
      <c r="B376" s="16" t="str">
        <v>Đặng Văn Lâm</v>
      </c>
      <c r="C376" s="16" t="str">
        <v>VIETNAM</v>
      </c>
      <c r="D376" s="2" t="str">
        <v>GK</v>
      </c>
      <c r="E376" s="2" t="n">
        <v>109</v>
      </c>
      <c r="F376" s="2" t="str">
        <v>Việt Nam</v>
      </c>
      <c r="G376" s="2" t="str">
        <v>Việt Nam</v>
      </c>
      <c r="H376" s="2" t="n">
        <v>20</v>
      </c>
      <c r="I376" s="3" t="n">
        <f>$E376+0</f>
        <v>109</v>
      </c>
      <c r="J376" s="17">
        <v>2970000</v>
      </c>
      <c r="L376" s="17"/>
      <c r="M376" s="3" t="n">
        <f>$E376+2</f>
        <v>111</v>
      </c>
      <c r="N376" s="17"/>
      <c r="O376" s="5" t="n">
        <f>$E376+4</f>
        <v>113</v>
      </c>
      <c r="P376" s="17"/>
      <c r="Q376" s="3" t="n">
        <f>$E376+6</f>
        <v>115</v>
      </c>
      <c r="R376" s="17"/>
      <c r="S376" s="5" t="n">
        <f>$E376+8</f>
        <v>117</v>
      </c>
      <c r="T376" s="17"/>
      <c r="U376" s="3" t="n">
        <f>$E376+11</f>
        <v>120</v>
      </c>
      <c r="V376" s="17"/>
      <c r="W376" s="5" t="n">
        <f>$E376+15</f>
        <v>124</v>
      </c>
      <c r="X376" s="17"/>
      <c r="Y376" s="3" t="n">
        <f>$E376+17</f>
        <v>126</v>
      </c>
      <c r="Z376" s="17"/>
      <c r="AA376" s="5" t="n">
        <f>$E376+19</f>
        <v>128</v>
      </c>
      <c r="AB376" s="17"/>
      <c r="AC376" s="3" t="n">
        <f>$E376+21</f>
        <v>130</v>
      </c>
      <c r="AD376" s="17"/>
      <c r="AE376" s="5" t="n">
        <f>$E376+24</f>
        <v>133</v>
      </c>
      <c r="AF376" s="17"/>
      <c r="AG376" s="3" t="n">
        <f>$E376+27</f>
        <v>136</v>
      </c>
      <c r="AH376" s="17"/>
    </row>
    <row r="377" ht="28" customHeight="1">
      <c r="A377" s="2" t="n">
        <v>387</v>
      </c>
      <c r="B377" s="16" t="str">
        <v>Đoàn Văn Hậu</v>
      </c>
      <c r="C377" s="16" t="str">
        <v>VIETNAM</v>
      </c>
      <c r="D377" s="2" t="str">
        <v>CB</v>
      </c>
      <c r="E377" s="2" t="n">
        <v>114</v>
      </c>
      <c r="F377" s="2" t="str">
        <v>Việt Nam</v>
      </c>
      <c r="G377" s="2" t="str">
        <v>Việt Nam</v>
      </c>
      <c r="H377" s="2" t="n">
        <v>25</v>
      </c>
      <c r="I377" s="3" t="n">
        <f>$E377+0</f>
        <v>114</v>
      </c>
      <c r="J377" s="17">
        <v>672000</v>
      </c>
      <c r="L377" s="17"/>
      <c r="M377" s="3" t="n">
        <f>$E377+2</f>
        <v>116</v>
      </c>
      <c r="N377" s="17"/>
      <c r="O377" s="5" t="n">
        <f>$E377+4</f>
        <v>118</v>
      </c>
      <c r="P377" s="17"/>
      <c r="Q377" s="3" t="n">
        <f>$E377+6</f>
        <v>120</v>
      </c>
      <c r="R377" s="17"/>
      <c r="S377" s="5" t="n">
        <f>$E377+8</f>
        <v>122</v>
      </c>
      <c r="T377" s="17"/>
      <c r="U377" s="3" t="n">
        <f>$E377+11</f>
        <v>125</v>
      </c>
      <c r="V377" s="17"/>
      <c r="W377" s="5" t="n">
        <f>$E377+15</f>
        <v>129</v>
      </c>
      <c r="X377" s="17"/>
      <c r="Y377" s="3" t="n">
        <f>$E377+17</f>
        <v>131</v>
      </c>
      <c r="Z377" s="17"/>
      <c r="AA377" s="5" t="n">
        <f>$E377+19</f>
        <v>133</v>
      </c>
      <c r="AB377" s="17"/>
      <c r="AC377" s="3" t="n">
        <f>$E377+21</f>
        <v>135</v>
      </c>
      <c r="AD377" s="17"/>
      <c r="AE377" s="5" t="n">
        <f>$E377+24</f>
        <v>138</v>
      </c>
      <c r="AF377" s="17"/>
      <c r="AG377" s="3" t="n">
        <f>$E377+27</f>
        <v>141</v>
      </c>
      <c r="AH377" s="17"/>
    </row>
    <row r="378" ht="28" customHeight="1">
      <c r="A378" s="2" t="n">
        <v>388</v>
      </c>
      <c r="B378" s="16" t="str">
        <v>Vũ Văn Thanh</v>
      </c>
      <c r="C378" s="16" t="str">
        <v>VIETNAM</v>
      </c>
      <c r="D378" s="2" t="str">
        <v>RM</v>
      </c>
      <c r="E378" s="2" t="n">
        <v>111</v>
      </c>
      <c r="F378" s="2" t="str">
        <v>Việt Nam</v>
      </c>
      <c r="G378" s="2" t="str">
        <v>Việt Nam</v>
      </c>
      <c r="H378" s="2" t="n">
        <v>24</v>
      </c>
      <c r="I378" s="3" t="n">
        <f>$E378+0</f>
        <v>111</v>
      </c>
      <c r="J378" s="17">
        <v>1990000</v>
      </c>
      <c r="L378" s="17"/>
      <c r="M378" s="3" t="n">
        <f>$E378+2</f>
        <v>113</v>
      </c>
      <c r="N378" s="17"/>
      <c r="O378" s="5" t="n">
        <f>$E378+4</f>
        <v>115</v>
      </c>
      <c r="P378" s="17"/>
      <c r="Q378" s="3" t="n">
        <f>$E378+6</f>
        <v>117</v>
      </c>
      <c r="R378" s="17"/>
      <c r="S378" s="5" t="n">
        <f>$E378+8</f>
        <v>119</v>
      </c>
      <c r="T378" s="17"/>
      <c r="U378" s="3" t="n">
        <f>$E378+11</f>
        <v>122</v>
      </c>
      <c r="V378" s="17"/>
      <c r="W378" s="5" t="n">
        <f>$E378+15</f>
        <v>126</v>
      </c>
      <c r="X378" s="17"/>
      <c r="Y378" s="3" t="n">
        <f>$E378+17</f>
        <v>128</v>
      </c>
      <c r="Z378" s="17"/>
      <c r="AA378" s="5" t="n">
        <f>$E378+19</f>
        <v>130</v>
      </c>
      <c r="AB378" s="17"/>
      <c r="AC378" s="3" t="n">
        <f>$E378+21</f>
        <v>132</v>
      </c>
      <c r="AD378" s="17"/>
      <c r="AE378" s="5" t="n">
        <f>$E378+24</f>
        <v>135</v>
      </c>
      <c r="AF378" s="17"/>
      <c r="AG378" s="3" t="n">
        <f>$E378+27</f>
        <v>138</v>
      </c>
      <c r="AH378" s="17"/>
    </row>
    <row r="379" ht="28" customHeight="1">
      <c r="A379" s="2" t="n">
        <v>389</v>
      </c>
      <c r="B379" s="16" t="str">
        <v>Trần Đình Trọng</v>
      </c>
      <c r="C379" s="16" t="str">
        <v>VIETNAM</v>
      </c>
      <c r="D379" s="2" t="str">
        <v>CB</v>
      </c>
      <c r="E379" s="2" t="n">
        <v>116</v>
      </c>
      <c r="F379" s="2" t="str">
        <v>Việt Nam</v>
      </c>
      <c r="G379" s="2" t="str">
        <v>Việt Nam</v>
      </c>
      <c r="H379" s="2" t="n">
        <v>27</v>
      </c>
      <c r="I379" s="3" t="n">
        <f>$E379+0</f>
        <v>116</v>
      </c>
      <c r="J379" s="17">
        <v>825000</v>
      </c>
      <c r="L379" s="17"/>
      <c r="M379" s="3" t="n">
        <f>$E379+2</f>
        <v>118</v>
      </c>
      <c r="N379" s="17"/>
      <c r="O379" s="5" t="n">
        <f>$E379+4</f>
        <v>120</v>
      </c>
      <c r="P379" s="17"/>
      <c r="Q379" s="3" t="n">
        <f>$E379+6</f>
        <v>122</v>
      </c>
      <c r="R379" s="17"/>
      <c r="S379" s="5" t="n">
        <f>$E379+8</f>
        <v>124</v>
      </c>
      <c r="T379" s="17"/>
      <c r="U379" s="3" t="n">
        <f>$E379+11</f>
        <v>127</v>
      </c>
      <c r="V379" s="17"/>
      <c r="W379" s="5" t="n">
        <f>$E379+15</f>
        <v>131</v>
      </c>
      <c r="X379" s="17"/>
      <c r="Y379" s="3" t="n">
        <f>$E379+17</f>
        <v>133</v>
      </c>
      <c r="Z379" s="17"/>
      <c r="AA379" s="5" t="n">
        <f>$E379+19</f>
        <v>135</v>
      </c>
      <c r="AB379" s="17"/>
      <c r="AC379" s="3" t="n">
        <f>$E379+21</f>
        <v>137</v>
      </c>
      <c r="AD379" s="17"/>
      <c r="AE379" s="5" t="n">
        <f>$E379+24</f>
        <v>140</v>
      </c>
      <c r="AF379" s="17"/>
      <c r="AG379" s="3" t="n">
        <f>$E379+27</f>
        <v>143</v>
      </c>
      <c r="AH379" s="17"/>
    </row>
    <row r="380" ht="28" customHeight="1">
      <c r="A380" s="2" t="n">
        <v>390</v>
      </c>
      <c r="B380" s="16" t="str">
        <v>Trần Trung Kiên</v>
      </c>
      <c r="C380" s="16" t="str">
        <v>VIETNAM</v>
      </c>
      <c r="D380" s="2" t="str">
        <v>GK</v>
      </c>
      <c r="E380" s="2" t="n">
        <v>117</v>
      </c>
      <c r="F380" s="2" t="str">
        <v>Việt Nam</v>
      </c>
      <c r="G380" s="2" t="str">
        <v>Việt Nam</v>
      </c>
      <c r="H380" s="2" t="n">
        <v>25</v>
      </c>
      <c r="I380" s="3" t="n">
        <f>$E380+0</f>
        <v>117</v>
      </c>
      <c r="J380" s="17">
        <v>4670000</v>
      </c>
      <c r="L380" s="17"/>
      <c r="M380" s="3" t="n">
        <f>$E380+2</f>
        <v>119</v>
      </c>
      <c r="N380" s="17"/>
      <c r="O380" s="5" t="n">
        <f>$E380+4</f>
        <v>121</v>
      </c>
      <c r="P380" s="17"/>
      <c r="Q380" s="3" t="n">
        <f>$E380+6</f>
        <v>123</v>
      </c>
      <c r="R380" s="17"/>
      <c r="S380" s="5" t="n">
        <f>$E380+8</f>
        <v>125</v>
      </c>
      <c r="T380" s="17"/>
      <c r="U380" s="3" t="n">
        <f>$E380+11</f>
        <v>128</v>
      </c>
      <c r="V380" s="17"/>
      <c r="W380" s="5" t="n">
        <f>$E380+15</f>
        <v>132</v>
      </c>
      <c r="X380" s="17"/>
      <c r="Y380" s="3" t="n">
        <f>$E380+17</f>
        <v>134</v>
      </c>
      <c r="Z380" s="17"/>
      <c r="AA380" s="5" t="n">
        <f>$E380+19</f>
        <v>136</v>
      </c>
      <c r="AB380" s="17"/>
      <c r="AC380" s="3" t="n">
        <f>$E380+21</f>
        <v>138</v>
      </c>
      <c r="AD380" s="17"/>
      <c r="AE380" s="5" t="n">
        <f>$E380+24</f>
        <v>141</v>
      </c>
      <c r="AF380" s="17"/>
      <c r="AG380" s="3" t="n">
        <f>$E380+27</f>
        <v>144</v>
      </c>
      <c r="AH380" s="17"/>
    </row>
    <row r="381" ht="28" customHeight="1">
      <c r="A381" s="2" t="n">
        <v>391</v>
      </c>
      <c r="B381" s="16" t="str">
        <v>Quế Ngọc Hải</v>
      </c>
      <c r="C381" s="16" t="str">
        <v>VIETNAM</v>
      </c>
      <c r="D381" s="2" t="str">
        <v>CB</v>
      </c>
      <c r="E381" s="2" t="n">
        <v>116</v>
      </c>
      <c r="F381" s="2" t="str">
        <v>Việt Nam</v>
      </c>
      <c r="G381" s="2" t="str">
        <v>Việt Nam</v>
      </c>
      <c r="H381" s="2" t="n">
        <v>26</v>
      </c>
      <c r="I381" s="3" t="n">
        <f>$E381+0</f>
        <v>116</v>
      </c>
      <c r="J381" s="17">
        <v>576000</v>
      </c>
      <c r="L381" s="17"/>
      <c r="M381" s="3" t="n">
        <f>$E381+2</f>
        <v>118</v>
      </c>
      <c r="N381" s="17"/>
      <c r="O381" s="5" t="n">
        <f>$E381+4</f>
        <v>120</v>
      </c>
      <c r="P381" s="17"/>
      <c r="Q381" s="3" t="n">
        <f>$E381+6</f>
        <v>122</v>
      </c>
      <c r="R381" s="17"/>
      <c r="S381" s="5" t="n">
        <f>$E381+8</f>
        <v>124</v>
      </c>
      <c r="T381" s="17"/>
      <c r="U381" s="3" t="n">
        <f>$E381+11</f>
        <v>127</v>
      </c>
      <c r="V381" s="17"/>
      <c r="W381" s="5" t="n">
        <f>$E381+15</f>
        <v>131</v>
      </c>
      <c r="X381" s="17"/>
      <c r="Y381" s="3" t="n">
        <f>$E381+17</f>
        <v>133</v>
      </c>
      <c r="Z381" s="17"/>
      <c r="AA381" s="5" t="n">
        <f>$E381+19</f>
        <v>135</v>
      </c>
      <c r="AB381" s="17"/>
      <c r="AC381" s="3" t="n">
        <f>$E381+21</f>
        <v>137</v>
      </c>
      <c r="AD381" s="17"/>
      <c r="AE381" s="5" t="n">
        <f>$E381+24</f>
        <v>140</v>
      </c>
      <c r="AF381" s="17"/>
      <c r="AG381" s="3" t="n">
        <f>$E381+27</f>
        <v>143</v>
      </c>
      <c r="AH381" s="17"/>
    </row>
    <row r="382" ht="28" customHeight="1">
      <c r="A382" s="2" t="n">
        <v>392</v>
      </c>
      <c r="B382" s="16" t="str">
        <v>Phạm Đức Huy</v>
      </c>
      <c r="C382" s="16" t="str">
        <v>VIETNAM</v>
      </c>
      <c r="D382" s="2" t="str">
        <v>CDM</v>
      </c>
      <c r="E382" s="2" t="n">
        <v>113</v>
      </c>
      <c r="F382" s="2" t="str">
        <v>Việt Nam</v>
      </c>
      <c r="G382" s="2" t="str">
        <v>Việt Nam</v>
      </c>
      <c r="H382" s="2" t="n">
        <v>25</v>
      </c>
      <c r="I382" s="3" t="n">
        <f>$E382+0</f>
        <v>113</v>
      </c>
      <c r="J382" s="17">
        <v>636000</v>
      </c>
      <c r="L382" s="17"/>
      <c r="M382" s="3" t="n">
        <f>$E382+2</f>
        <v>115</v>
      </c>
      <c r="N382" s="17"/>
      <c r="O382" s="5" t="n">
        <f>$E382+4</f>
        <v>117</v>
      </c>
      <c r="P382" s="17"/>
      <c r="Q382" s="3" t="n">
        <f>$E382+6</f>
        <v>119</v>
      </c>
      <c r="R382" s="17"/>
      <c r="S382" s="5" t="n">
        <f>$E382+8</f>
        <v>121</v>
      </c>
      <c r="T382" s="17"/>
      <c r="U382" s="3" t="n">
        <f>$E382+11</f>
        <v>124</v>
      </c>
      <c r="V382" s="17"/>
      <c r="W382" s="5" t="n">
        <f>$E382+15</f>
        <v>128</v>
      </c>
      <c r="X382" s="17"/>
      <c r="Y382" s="3" t="n">
        <f>$E382+17</f>
        <v>130</v>
      </c>
      <c r="Z382" s="17"/>
      <c r="AA382" s="5" t="n">
        <f>$E382+19</f>
        <v>132</v>
      </c>
      <c r="AB382" s="17"/>
      <c r="AC382" s="3" t="n">
        <f>$E382+21</f>
        <v>134</v>
      </c>
      <c r="AD382" s="17"/>
      <c r="AE382" s="5" t="n">
        <f>$E382+24</f>
        <v>137</v>
      </c>
      <c r="AF382" s="17"/>
      <c r="AG382" s="3" t="n">
        <f>$E382+27</f>
        <v>140</v>
      </c>
      <c r="AH382" s="17"/>
    </row>
    <row r="383" ht="28" customHeight="1">
      <c r="A383" s="2" t="n">
        <v>393</v>
      </c>
      <c r="B383" s="16" t="str">
        <v>Phạm Xuân Mạnh</v>
      </c>
      <c r="C383" s="16" t="str">
        <v>VIETNAM</v>
      </c>
      <c r="D383" s="2" t="str">
        <v>RB</v>
      </c>
      <c r="E383" s="2" t="n">
        <v>113</v>
      </c>
      <c r="F383" s="2" t="str">
        <v>Việt Nam</v>
      </c>
      <c r="G383" s="2" t="str">
        <v>Việt Nam</v>
      </c>
      <c r="H383" s="2" t="n">
        <v>24</v>
      </c>
      <c r="I383" s="3" t="n">
        <f>$E383+0</f>
        <v>113</v>
      </c>
      <c r="J383" s="17">
        <v>35800000</v>
      </c>
      <c r="L383" s="17"/>
      <c r="M383" s="3" t="n">
        <f>$E383+2</f>
        <v>115</v>
      </c>
      <c r="N383" s="17"/>
      <c r="O383" s="5" t="n">
        <f>$E383+4</f>
        <v>117</v>
      </c>
      <c r="P383" s="17"/>
      <c r="Q383" s="3" t="n">
        <f>$E383+6</f>
        <v>119</v>
      </c>
      <c r="R383" s="17"/>
      <c r="S383" s="5" t="n">
        <f>$E383+8</f>
        <v>121</v>
      </c>
      <c r="T383" s="17"/>
      <c r="U383" s="3" t="n">
        <f>$E383+11</f>
        <v>124</v>
      </c>
      <c r="V383" s="17"/>
      <c r="W383" s="5" t="n">
        <f>$E383+15</f>
        <v>128</v>
      </c>
      <c r="X383" s="17"/>
      <c r="Y383" s="3" t="n">
        <f>$E383+17</f>
        <v>130</v>
      </c>
      <c r="Z383" s="17"/>
      <c r="AA383" s="5" t="n">
        <f>$E383+19</f>
        <v>132</v>
      </c>
      <c r="AB383" s="17"/>
      <c r="AC383" s="3" t="n">
        <f>$E383+21</f>
        <v>134</v>
      </c>
      <c r="AD383" s="17"/>
      <c r="AE383" s="5" t="n">
        <f>$E383+24</f>
        <v>137</v>
      </c>
      <c r="AF383" s="17"/>
      <c r="AG383" s="3" t="n">
        <f>$E383+27</f>
        <v>140</v>
      </c>
      <c r="AH383" s="17"/>
    </row>
    <row r="384" ht="28" customHeight="1">
      <c r="A384" s="2" t="n">
        <v>394</v>
      </c>
      <c r="B384" s="16" t="str">
        <v>Phạm Tuấn Hải</v>
      </c>
      <c r="C384" s="16" t="str">
        <v>VIETNAM</v>
      </c>
      <c r="D384" s="2" t="str">
        <v>LW</v>
      </c>
      <c r="E384" s="2" t="n">
        <v>116</v>
      </c>
      <c r="F384" s="2" t="str">
        <v>Việt Nam</v>
      </c>
      <c r="G384" s="2" t="str">
        <v>Việt Nam</v>
      </c>
      <c r="H384" s="2" t="n">
        <v>27</v>
      </c>
      <c r="I384" s="3" t="n">
        <f>$E384+0</f>
        <v>116</v>
      </c>
      <c r="J384" s="17">
        <v>682000</v>
      </c>
      <c r="L384" s="17"/>
      <c r="M384" s="3" t="n">
        <f>$E384+2</f>
        <v>118</v>
      </c>
      <c r="N384" s="17"/>
      <c r="O384" s="5" t="n">
        <f>$E384+4</f>
        <v>120</v>
      </c>
      <c r="P384" s="17"/>
      <c r="Q384" s="3" t="n">
        <f>$E384+6</f>
        <v>122</v>
      </c>
      <c r="R384" s="17"/>
      <c r="S384" s="5" t="n">
        <f>$E384+8</f>
        <v>124</v>
      </c>
      <c r="T384" s="17"/>
      <c r="U384" s="3" t="n">
        <f>$E384+11</f>
        <v>127</v>
      </c>
      <c r="V384" s="17"/>
      <c r="W384" s="5" t="n">
        <f>$E384+15</f>
        <v>131</v>
      </c>
      <c r="X384" s="17"/>
      <c r="Y384" s="3" t="n">
        <f>$E384+17</f>
        <v>133</v>
      </c>
      <c r="Z384" s="17"/>
      <c r="AA384" s="5" t="n">
        <f>$E384+19</f>
        <v>135</v>
      </c>
      <c r="AB384" s="17"/>
      <c r="AC384" s="3" t="n">
        <f>$E384+21</f>
        <v>137</v>
      </c>
      <c r="AD384" s="17"/>
      <c r="AE384" s="5" t="n">
        <f>$E384+24</f>
        <v>140</v>
      </c>
      <c r="AF384" s="17"/>
      <c r="AG384" s="3" t="n">
        <f>$E384+27</f>
        <v>143</v>
      </c>
      <c r="AH384" s="17"/>
    </row>
    <row r="385" ht="28" customHeight="1">
      <c r="A385" s="2" t="n">
        <v>395</v>
      </c>
      <c r="B385" s="16" t="str">
        <v>Phạm Thành Lương</v>
      </c>
      <c r="C385" s="16" t="str">
        <v>VIETNAM</v>
      </c>
      <c r="D385" s="2" t="str">
        <v>LW</v>
      </c>
      <c r="E385" s="2" t="n">
        <v>115</v>
      </c>
      <c r="F385" s="2" t="str">
        <v>Việt Nam</v>
      </c>
      <c r="G385" s="2" t="str">
        <v>Việt Nam</v>
      </c>
      <c r="H385" s="2" t="n">
        <v>26</v>
      </c>
      <c r="I385" s="3" t="n">
        <f>$E385+0</f>
        <v>115</v>
      </c>
      <c r="J385" s="17">
        <v>71300000</v>
      </c>
      <c r="L385" s="17"/>
      <c r="M385" s="3" t="n">
        <f>$E385+2</f>
        <v>117</v>
      </c>
      <c r="N385" s="17"/>
      <c r="O385" s="5" t="n">
        <f>$E385+4</f>
        <v>119</v>
      </c>
      <c r="P385" s="17"/>
      <c r="Q385" s="3" t="n">
        <f>$E385+6</f>
        <v>121</v>
      </c>
      <c r="R385" s="17"/>
      <c r="S385" s="5" t="n">
        <f>$E385+8</f>
        <v>123</v>
      </c>
      <c r="T385" s="17"/>
      <c r="U385" s="3" t="n">
        <f>$E385+11</f>
        <v>126</v>
      </c>
      <c r="V385" s="17"/>
      <c r="W385" s="5" t="n">
        <f>$E385+15</f>
        <v>130</v>
      </c>
      <c r="X385" s="17"/>
      <c r="Y385" s="3" t="n">
        <f>$E385+17</f>
        <v>132</v>
      </c>
      <c r="Z385" s="17"/>
      <c r="AA385" s="5" t="n">
        <f>$E385+19</f>
        <v>134</v>
      </c>
      <c r="AB385" s="17"/>
      <c r="AC385" s="3" t="n">
        <f>$E385+21</f>
        <v>136</v>
      </c>
      <c r="AD385" s="17"/>
      <c r="AE385" s="5" t="n">
        <f>$E385+24</f>
        <v>139</v>
      </c>
      <c r="AF385" s="17"/>
      <c r="AG385" s="3" t="n">
        <f>$E385+27</f>
        <v>142</v>
      </c>
      <c r="AH385" s="17"/>
    </row>
    <row r="386" ht="28" customHeight="1">
      <c r="A386" s="2" t="n">
        <v>396</v>
      </c>
      <c r="B386" s="16" t="str">
        <v>Phan Văn Đức</v>
      </c>
      <c r="C386" s="16" t="str">
        <v>VIETNAM</v>
      </c>
      <c r="D386" s="2" t="str">
        <v>RW</v>
      </c>
      <c r="E386" s="2" t="n">
        <v>108</v>
      </c>
      <c r="F386" s="2" t="str">
        <v>Việt Nam</v>
      </c>
      <c r="G386" s="2" t="str">
        <v>Việt Nam</v>
      </c>
      <c r="H386" s="2" t="n">
        <v>23</v>
      </c>
      <c r="I386" s="3" t="n">
        <f>$E386+0</f>
        <v>108</v>
      </c>
      <c r="J386" s="17">
        <v>96300</v>
      </c>
      <c r="L386" s="17"/>
      <c r="M386" s="3" t="n">
        <f>$E386+2</f>
        <v>110</v>
      </c>
      <c r="N386" s="17"/>
      <c r="O386" s="5" t="n">
        <f>$E386+4</f>
        <v>112</v>
      </c>
      <c r="P386" s="17"/>
      <c r="Q386" s="3" t="n">
        <f>$E386+6</f>
        <v>114</v>
      </c>
      <c r="R386" s="17"/>
      <c r="S386" s="5" t="n">
        <f>$E386+8</f>
        <v>116</v>
      </c>
      <c r="T386" s="17"/>
      <c r="U386" s="3" t="n">
        <f>$E386+11</f>
        <v>119</v>
      </c>
      <c r="V386" s="17"/>
      <c r="W386" s="5" t="n">
        <f>$E386+15</f>
        <v>123</v>
      </c>
      <c r="X386" s="17"/>
      <c r="Y386" s="3" t="n">
        <f>$E386+17</f>
        <v>125</v>
      </c>
      <c r="Z386" s="17"/>
      <c r="AA386" s="5" t="n">
        <f>$E386+19</f>
        <v>127</v>
      </c>
      <c r="AB386" s="17"/>
      <c r="AC386" s="3" t="n">
        <f>$E386+21</f>
        <v>129</v>
      </c>
      <c r="AD386" s="17"/>
      <c r="AE386" s="5" t="n">
        <f>$E386+24</f>
        <v>132</v>
      </c>
      <c r="AF386" s="17"/>
      <c r="AG386" s="3" t="n">
        <f>$E386+27</f>
        <v>135</v>
      </c>
      <c r="AH386" s="17"/>
    </row>
    <row r="387" ht="28" customHeight="1">
      <c r="A387" s="2" t="n">
        <v>397</v>
      </c>
      <c r="B387" s="16" t="str">
        <v>Phan Văn Tài Em</v>
      </c>
      <c r="C387" s="16" t="str">
        <v>VIETNAM</v>
      </c>
      <c r="D387" s="2" t="str">
        <v>CM</v>
      </c>
      <c r="E387" s="2" t="n">
        <v>114</v>
      </c>
      <c r="F387" s="2" t="str">
        <v>Việt Nam</v>
      </c>
      <c r="G387" s="2" t="str">
        <v>Việt Nam</v>
      </c>
      <c r="H387" s="2" t="n">
        <v>26</v>
      </c>
      <c r="I387" s="3" t="n">
        <f>$E387+0</f>
        <v>114</v>
      </c>
      <c r="J387" s="17">
        <v>17300000</v>
      </c>
      <c r="L387" s="17"/>
      <c r="M387" s="3" t="n">
        <f>$E387+2</f>
        <v>116</v>
      </c>
      <c r="N387" s="17"/>
      <c r="O387" s="5" t="n">
        <f>$E387+4</f>
        <v>118</v>
      </c>
      <c r="P387" s="17"/>
      <c r="Q387" s="3" t="n">
        <f>$E387+6</f>
        <v>120</v>
      </c>
      <c r="R387" s="17"/>
      <c r="S387" s="5" t="n">
        <f>$E387+8</f>
        <v>122</v>
      </c>
      <c r="T387" s="17"/>
      <c r="U387" s="3" t="n">
        <f>$E387+11</f>
        <v>125</v>
      </c>
      <c r="V387" s="17"/>
      <c r="W387" s="5" t="n">
        <f>$E387+15</f>
        <v>129</v>
      </c>
      <c r="X387" s="17"/>
      <c r="Y387" s="3" t="n">
        <f>$E387+17</f>
        <v>131</v>
      </c>
      <c r="Z387" s="17"/>
      <c r="AA387" s="5" t="n">
        <f>$E387+19</f>
        <v>133</v>
      </c>
      <c r="AB387" s="17"/>
      <c r="AC387" s="3" t="n">
        <f>$E387+21</f>
        <v>135</v>
      </c>
      <c r="AD387" s="17"/>
      <c r="AE387" s="5" t="n">
        <f>$E387+24</f>
        <v>138</v>
      </c>
      <c r="AF387" s="17"/>
      <c r="AG387" s="3" t="n">
        <f>$E387+27</f>
        <v>141</v>
      </c>
      <c r="AH387" s="17"/>
    </row>
    <row r="388" ht="28" customHeight="1">
      <c r="A388" s="2" t="n">
        <v>398</v>
      </c>
      <c r="B388" s="16" t="str">
        <v>Phan Tuấn Tài</v>
      </c>
      <c r="C388" s="16" t="str">
        <v>VIETNAM</v>
      </c>
      <c r="D388" s="2" t="str">
        <v>LB</v>
      </c>
      <c r="E388" s="2" t="n">
        <v>109</v>
      </c>
      <c r="F388" s="2" t="str">
        <v>Việt Nam</v>
      </c>
      <c r="G388" s="2" t="str">
        <v>Việt Nam</v>
      </c>
      <c r="H388" s="2" t="n">
        <v>22</v>
      </c>
      <c r="I388" s="3" t="n">
        <f>$E388+0</f>
        <v>109</v>
      </c>
      <c r="J388" s="17">
        <v>1480000</v>
      </c>
      <c r="L388" s="17"/>
      <c r="M388" s="3" t="n">
        <f>$E388+2</f>
        <v>111</v>
      </c>
      <c r="N388" s="17"/>
      <c r="O388" s="5" t="n">
        <f>$E388+4</f>
        <v>113</v>
      </c>
      <c r="P388" s="17"/>
      <c r="Q388" s="3" t="n">
        <f>$E388+6</f>
        <v>115</v>
      </c>
      <c r="R388" s="17"/>
      <c r="S388" s="5" t="n">
        <f>$E388+8</f>
        <v>117</v>
      </c>
      <c r="T388" s="17"/>
      <c r="U388" s="3" t="n">
        <f>$E388+11</f>
        <v>120</v>
      </c>
      <c r="V388" s="17"/>
      <c r="W388" s="5" t="n">
        <f>$E388+15</f>
        <v>124</v>
      </c>
      <c r="X388" s="17"/>
      <c r="Y388" s="3" t="n">
        <f>$E388+17</f>
        <v>126</v>
      </c>
      <c r="Z388" s="17"/>
      <c r="AA388" s="5" t="n">
        <f>$E388+19</f>
        <v>128</v>
      </c>
      <c r="AB388" s="17"/>
      <c r="AC388" s="3" t="n">
        <f>$E388+21</f>
        <v>130</v>
      </c>
      <c r="AD388" s="17"/>
      <c r="AE388" s="5" t="n">
        <f>$E388+24</f>
        <v>133</v>
      </c>
      <c r="AF388" s="17"/>
      <c r="AG388" s="3" t="n">
        <f>$E388+27</f>
        <v>136</v>
      </c>
      <c r="AH388" s="17"/>
    </row>
    <row r="389" ht="28" customHeight="1">
      <c r="A389" s="2" t="n">
        <v>399</v>
      </c>
      <c r="B389" s="16" t="str">
        <v>Nhâm Mạnh Dũng</v>
      </c>
      <c r="C389" s="16" t="str">
        <v>VIETNAM</v>
      </c>
      <c r="D389" s="2" t="str">
        <v>ST</v>
      </c>
      <c r="E389" s="2" t="n">
        <v>107</v>
      </c>
      <c r="F389" s="2" t="str">
        <v>Việt Nam</v>
      </c>
      <c r="G389" s="2" t="str">
        <v>Việt Nam</v>
      </c>
      <c r="H389" s="2" t="n">
        <v>21</v>
      </c>
      <c r="I389" s="3" t="n">
        <f>$E389+0</f>
        <v>107</v>
      </c>
      <c r="J389" s="17">
        <v>55600</v>
      </c>
      <c r="L389" s="17"/>
      <c r="M389" s="3" t="n">
        <f>$E389+2</f>
        <v>109</v>
      </c>
      <c r="N389" s="17"/>
      <c r="O389" s="5" t="n">
        <f>$E389+4</f>
        <v>111</v>
      </c>
      <c r="P389" s="17"/>
      <c r="Q389" s="3" t="n">
        <f>$E389+6</f>
        <v>113</v>
      </c>
      <c r="R389" s="17"/>
      <c r="S389" s="5" t="n">
        <f>$E389+8</f>
        <v>115</v>
      </c>
      <c r="T389" s="17"/>
      <c r="U389" s="3" t="n">
        <f>$E389+11</f>
        <v>118</v>
      </c>
      <c r="V389" s="17"/>
      <c r="W389" s="5" t="n">
        <f>$E389+15</f>
        <v>122</v>
      </c>
      <c r="X389" s="17"/>
      <c r="Y389" s="3" t="n">
        <f>$E389+17</f>
        <v>124</v>
      </c>
      <c r="Z389" s="17"/>
      <c r="AA389" s="5" t="n">
        <f>$E389+19</f>
        <v>126</v>
      </c>
      <c r="AB389" s="17"/>
      <c r="AC389" s="3" t="n">
        <f>$E389+21</f>
        <v>128</v>
      </c>
      <c r="AD389" s="17"/>
      <c r="AE389" s="5" t="n">
        <f>$E389+24</f>
        <v>131</v>
      </c>
      <c r="AF389" s="17"/>
      <c r="AG389" s="3" t="n">
        <f>$E389+27</f>
        <v>134</v>
      </c>
      <c r="AH389" s="17"/>
    </row>
    <row r="390" ht="28" customHeight="1">
      <c r="A390" s="2" t="n">
        <v>400</v>
      </c>
      <c r="B390" s="16" t="str">
        <v>Nguyễn Đình Bắc</v>
      </c>
      <c r="C390" s="16" t="str">
        <v>VIETNAM</v>
      </c>
      <c r="D390" s="2" t="str">
        <v>CF</v>
      </c>
      <c r="E390" s="2" t="n">
        <v>118</v>
      </c>
      <c r="F390" s="2" t="str">
        <v>Việt Nam</v>
      </c>
      <c r="G390" s="2" t="str">
        <v>Việt Nam</v>
      </c>
      <c r="H390" s="2" t="n">
        <v>28</v>
      </c>
      <c r="I390" s="3" t="n">
        <f>$E390+0</f>
        <v>118</v>
      </c>
      <c r="J390" s="17">
        <v>34000000</v>
      </c>
      <c r="L390" s="17"/>
      <c r="M390" s="3" t="n">
        <f>$E390+2</f>
        <v>120</v>
      </c>
      <c r="N390" s="17"/>
      <c r="O390" s="5" t="n">
        <f>$E390+4</f>
        <v>122</v>
      </c>
      <c r="P390" s="17"/>
      <c r="Q390" s="3" t="n">
        <f>$E390+6</f>
        <v>124</v>
      </c>
      <c r="R390" s="17"/>
      <c r="S390" s="5" t="n">
        <f>$E390+8</f>
        <v>126</v>
      </c>
      <c r="T390" s="17"/>
      <c r="U390" s="3" t="n">
        <f>$E390+11</f>
        <v>129</v>
      </c>
      <c r="V390" s="17"/>
      <c r="W390" s="5" t="n">
        <f>$E390+15</f>
        <v>133</v>
      </c>
      <c r="X390" s="17"/>
      <c r="Y390" s="3" t="n">
        <f>$E390+17</f>
        <v>135</v>
      </c>
      <c r="Z390" s="17"/>
      <c r="AA390" s="5" t="n">
        <f>$E390+19</f>
        <v>137</v>
      </c>
      <c r="AB390" s="17"/>
      <c r="AC390" s="3" t="n">
        <f>$E390+21</f>
        <v>139</v>
      </c>
      <c r="AD390" s="17"/>
      <c r="AE390" s="5" t="n">
        <f>$E390+24</f>
        <v>142</v>
      </c>
      <c r="AF390" s="17"/>
      <c r="AG390" s="3" t="n">
        <f>$E390+27</f>
        <v>145</v>
      </c>
      <c r="AH390" s="17"/>
    </row>
    <row r="391" ht="28" customHeight="1">
      <c r="A391" s="2" t="n">
        <v>401</v>
      </c>
      <c r="B391" s="16" t="str">
        <v>Nguyễn Xuân Son</v>
      </c>
      <c r="C391" s="16" t="str">
        <v>VIETNAM</v>
      </c>
      <c r="D391" s="2" t="str">
        <v>ST</v>
      </c>
      <c r="E391" s="2" t="n">
        <v>117</v>
      </c>
      <c r="F391" s="2" t="str">
        <v>Việt Nam</v>
      </c>
      <c r="G391" s="2" t="str">
        <v>Việt Nam</v>
      </c>
      <c r="H391" s="2" t="n">
        <v>27</v>
      </c>
      <c r="I391" s="3" t="n">
        <f>$E391+0</f>
        <v>117</v>
      </c>
      <c r="J391" s="17">
        <v>13400000</v>
      </c>
      <c r="L391" s="17"/>
      <c r="M391" s="3" t="n">
        <f>$E391+2</f>
        <v>119</v>
      </c>
      <c r="N391" s="17"/>
      <c r="O391" s="5" t="n">
        <f>$E391+4</f>
        <v>121</v>
      </c>
      <c r="P391" s="17"/>
      <c r="Q391" s="3" t="n">
        <f>$E391+6</f>
        <v>123</v>
      </c>
      <c r="R391" s="17"/>
      <c r="S391" s="5" t="n">
        <f>$E391+8</f>
        <v>125</v>
      </c>
      <c r="T391" s="17"/>
      <c r="U391" s="3" t="n">
        <f>$E391+11</f>
        <v>128</v>
      </c>
      <c r="V391" s="17"/>
      <c r="W391" s="5" t="n">
        <f>$E391+15</f>
        <v>132</v>
      </c>
      <c r="X391" s="17"/>
      <c r="Y391" s="3" t="n">
        <f>$E391+17</f>
        <v>134</v>
      </c>
      <c r="Z391" s="17"/>
      <c r="AA391" s="5" t="n">
        <f>$E391+19</f>
        <v>136</v>
      </c>
      <c r="AB391" s="17"/>
      <c r="AC391" s="3" t="n">
        <f>$E391+21</f>
        <v>138</v>
      </c>
      <c r="AD391" s="17"/>
      <c r="AE391" s="5" t="n">
        <f>$E391+24</f>
        <v>141</v>
      </c>
      <c r="AF391" s="17"/>
      <c r="AG391" s="3" t="n">
        <f>$E391+27</f>
        <v>144</v>
      </c>
      <c r="AH391" s="17"/>
    </row>
    <row r="392" ht="28" customHeight="1">
      <c r="A392" s="2" t="n">
        <v>402</v>
      </c>
      <c r="B392" s="16" t="str">
        <v>Nguyễn Văn Tùng</v>
      </c>
      <c r="C392" s="16" t="str">
        <v>VIETNAM</v>
      </c>
      <c r="D392" s="2" t="str">
        <v>ST</v>
      </c>
      <c r="E392" s="2" t="n">
        <v>110</v>
      </c>
      <c r="F392" s="2" t="str">
        <v>Việt Nam</v>
      </c>
      <c r="G392" s="2" t="str">
        <v>Việt Nam</v>
      </c>
      <c r="H392" s="2" t="n">
        <v>24</v>
      </c>
      <c r="I392" s="3" t="n">
        <f>$E392+0</f>
        <v>110</v>
      </c>
      <c r="J392" s="17">
        <v>108000</v>
      </c>
      <c r="L392" s="17"/>
      <c r="M392" s="3" t="n">
        <f>$E392+2</f>
        <v>112</v>
      </c>
      <c r="N392" s="17"/>
      <c r="O392" s="5" t="n">
        <f>$E392+4</f>
        <v>114</v>
      </c>
      <c r="P392" s="17"/>
      <c r="Q392" s="3" t="n">
        <f>$E392+6</f>
        <v>116</v>
      </c>
      <c r="R392" s="17"/>
      <c r="S392" s="5" t="n">
        <f>$E392+8</f>
        <v>118</v>
      </c>
      <c r="T392" s="17"/>
      <c r="U392" s="3" t="n">
        <f>$E392+11</f>
        <v>121</v>
      </c>
      <c r="V392" s="17"/>
      <c r="W392" s="5" t="n">
        <f>$E392+15</f>
        <v>125</v>
      </c>
      <c r="X392" s="17"/>
      <c r="Y392" s="3" t="n">
        <f>$E392+17</f>
        <v>127</v>
      </c>
      <c r="Z392" s="17"/>
      <c r="AA392" s="5" t="n">
        <f>$E392+19</f>
        <v>129</v>
      </c>
      <c r="AB392" s="17"/>
      <c r="AC392" s="3" t="n">
        <f>$E392+21</f>
        <v>131</v>
      </c>
      <c r="AD392" s="17"/>
      <c r="AE392" s="5" t="n">
        <f>$E392+24</f>
        <v>134</v>
      </c>
      <c r="AF392" s="17"/>
      <c r="AG392" s="3" t="n">
        <f>$E392+27</f>
        <v>137</v>
      </c>
      <c r="AH392" s="17"/>
    </row>
    <row r="393" ht="28" customHeight="1">
      <c r="A393" s="2" t="n">
        <v>403</v>
      </c>
      <c r="B393" s="16" t="str">
        <v>Nguyễn Văn Trường</v>
      </c>
      <c r="C393" s="16" t="str">
        <v>VIETNAM</v>
      </c>
      <c r="D393" s="2" t="str">
        <v>CAM</v>
      </c>
      <c r="E393" s="2" t="n">
        <v>112</v>
      </c>
      <c r="F393" s="2" t="str">
        <v>Việt Nam</v>
      </c>
      <c r="G393" s="2" t="str">
        <v>Việt Nam</v>
      </c>
      <c r="H393" s="2" t="n">
        <v>24</v>
      </c>
      <c r="I393" s="3" t="n">
        <f>$E393+0</f>
        <v>112</v>
      </c>
      <c r="J393" s="17">
        <v>427000</v>
      </c>
      <c r="L393" s="17"/>
      <c r="M393" s="3" t="n">
        <f>$E393+2</f>
        <v>114</v>
      </c>
      <c r="N393" s="17"/>
      <c r="O393" s="5" t="n">
        <f>$E393+4</f>
        <v>116</v>
      </c>
      <c r="P393" s="17"/>
      <c r="Q393" s="3" t="n">
        <f>$E393+6</f>
        <v>118</v>
      </c>
      <c r="R393" s="17"/>
      <c r="S393" s="5" t="n">
        <f>$E393+8</f>
        <v>120</v>
      </c>
      <c r="T393" s="17"/>
      <c r="U393" s="3" t="n">
        <f>$E393+11</f>
        <v>123</v>
      </c>
      <c r="V393" s="17"/>
      <c r="W393" s="5" t="n">
        <f>$E393+15</f>
        <v>127</v>
      </c>
      <c r="X393" s="17"/>
      <c r="Y393" s="3" t="n">
        <f>$E393+17</f>
        <v>129</v>
      </c>
      <c r="Z393" s="17"/>
      <c r="AA393" s="5" t="n">
        <f>$E393+19</f>
        <v>131</v>
      </c>
      <c r="AB393" s="17"/>
      <c r="AC393" s="3" t="n">
        <f>$E393+21</f>
        <v>133</v>
      </c>
      <c r="AD393" s="17"/>
      <c r="AE393" s="5" t="n">
        <f>$E393+24</f>
        <v>136</v>
      </c>
      <c r="AF393" s="17"/>
      <c r="AG393" s="3" t="n">
        <f>$E393+27</f>
        <v>139</v>
      </c>
      <c r="AH393" s="17"/>
    </row>
    <row r="394" ht="28" customHeight="1">
      <c r="A394" s="2" t="n">
        <v>404</v>
      </c>
      <c r="B394" s="16" t="str">
        <v>Nguyễn Văn Toản</v>
      </c>
      <c r="C394" s="16" t="str">
        <v>VIETNAM</v>
      </c>
      <c r="D394" s="2" t="str">
        <v>GK</v>
      </c>
      <c r="E394" s="2" t="n">
        <v>107</v>
      </c>
      <c r="F394" s="2" t="str">
        <v>Việt Nam</v>
      </c>
      <c r="G394" s="2" t="str">
        <v>Việt Nam</v>
      </c>
      <c r="H394" s="2" t="n">
        <v>18</v>
      </c>
      <c r="I394" s="3" t="n">
        <f>$E394+0</f>
        <v>107</v>
      </c>
      <c r="J394" s="17">
        <v>52100</v>
      </c>
      <c r="L394" s="17"/>
      <c r="M394" s="3" t="n">
        <f>$E394+2</f>
        <v>109</v>
      </c>
      <c r="N394" s="17"/>
      <c r="O394" s="5" t="n">
        <f>$E394+4</f>
        <v>111</v>
      </c>
      <c r="P394" s="17"/>
      <c r="Q394" s="3" t="n">
        <f>$E394+6</f>
        <v>113</v>
      </c>
      <c r="R394" s="17"/>
      <c r="S394" s="5" t="n">
        <f>$E394+8</f>
        <v>115</v>
      </c>
      <c r="T394" s="17"/>
      <c r="U394" s="3" t="n">
        <f>$E394+11</f>
        <v>118</v>
      </c>
      <c r="V394" s="17"/>
      <c r="W394" s="5" t="n">
        <f>$E394+15</f>
        <v>122</v>
      </c>
      <c r="X394" s="17"/>
      <c r="Y394" s="3" t="n">
        <f>$E394+17</f>
        <v>124</v>
      </c>
      <c r="Z394" s="17"/>
      <c r="AA394" s="5" t="n">
        <f>$E394+19</f>
        <v>126</v>
      </c>
      <c r="AB394" s="17"/>
      <c r="AC394" s="3" t="n">
        <f>$E394+21</f>
        <v>128</v>
      </c>
      <c r="AD394" s="17"/>
      <c r="AE394" s="5" t="n">
        <f>$E394+24</f>
        <v>131</v>
      </c>
      <c r="AF394" s="17"/>
      <c r="AG394" s="3" t="n">
        <f>$E394+27</f>
        <v>134</v>
      </c>
      <c r="AH394" s="17"/>
    </row>
    <row r="395" ht="28" customHeight="1">
      <c r="A395" s="2" t="n">
        <v>405</v>
      </c>
      <c r="B395" s="16" t="str">
        <v>Nguyễn Văn Quyết</v>
      </c>
      <c r="C395" s="16" t="str">
        <v>VIETNAM</v>
      </c>
      <c r="D395" s="2" t="str">
        <v>CF</v>
      </c>
      <c r="E395" s="2" t="n">
        <v>112</v>
      </c>
      <c r="F395" s="2" t="str">
        <v>Việt Nam</v>
      </c>
      <c r="G395" s="2" t="str">
        <v>Việt Nam</v>
      </c>
      <c r="H395" s="2" t="n">
        <v>25</v>
      </c>
      <c r="I395" s="3" t="n">
        <f>$E395+0</f>
        <v>112</v>
      </c>
      <c r="J395" s="17">
        <v>247000</v>
      </c>
      <c r="L395" s="17"/>
      <c r="M395" s="3" t="n">
        <f>$E395+2</f>
        <v>114</v>
      </c>
      <c r="N395" s="17"/>
      <c r="O395" s="5" t="n">
        <f>$E395+4</f>
        <v>116</v>
      </c>
      <c r="P395" s="17"/>
      <c r="Q395" s="3" t="n">
        <f>$E395+6</f>
        <v>118</v>
      </c>
      <c r="R395" s="17"/>
      <c r="S395" s="5" t="n">
        <f>$E395+8</f>
        <v>120</v>
      </c>
      <c r="T395" s="17"/>
      <c r="U395" s="3" t="n">
        <f>$E395+11</f>
        <v>123</v>
      </c>
      <c r="V395" s="17"/>
      <c r="W395" s="5" t="n">
        <f>$E395+15</f>
        <v>127</v>
      </c>
      <c r="X395" s="17"/>
      <c r="Y395" s="3" t="n">
        <f>$E395+17</f>
        <v>129</v>
      </c>
      <c r="Z395" s="17"/>
      <c r="AA395" s="5" t="n">
        <f>$E395+19</f>
        <v>131</v>
      </c>
      <c r="AB395" s="17"/>
      <c r="AC395" s="3" t="n">
        <f>$E395+21</f>
        <v>133</v>
      </c>
      <c r="AD395" s="17"/>
      <c r="AE395" s="5" t="n">
        <f>$E395+24</f>
        <v>136</v>
      </c>
      <c r="AF395" s="17"/>
      <c r="AG395" s="3" t="n">
        <f>$E395+27</f>
        <v>139</v>
      </c>
      <c r="AH395" s="17"/>
    </row>
    <row r="396" ht="28" customHeight="1">
      <c r="A396" s="2" t="n">
        <v>406</v>
      </c>
      <c r="B396" s="16" t="str">
        <v>Nguyễn Trọng Hoàng</v>
      </c>
      <c r="C396" s="16" t="str">
        <v>VIETNAM</v>
      </c>
      <c r="D396" s="2" t="str">
        <v>RM</v>
      </c>
      <c r="E396" s="2" t="n">
        <v>111</v>
      </c>
      <c r="F396" s="2" t="str">
        <v>Việt Nam</v>
      </c>
      <c r="G396" s="2" t="str">
        <v>Việt Nam</v>
      </c>
      <c r="H396" s="2" t="n">
        <v>24</v>
      </c>
      <c r="I396" s="3" t="n">
        <f>$E396+0</f>
        <v>111</v>
      </c>
      <c r="J396" s="17">
        <v>972000</v>
      </c>
      <c r="L396" s="17"/>
      <c r="M396" s="3" t="n">
        <f>$E396+2</f>
        <v>113</v>
      </c>
      <c r="N396" s="17"/>
      <c r="O396" s="5" t="n">
        <f>$E396+4</f>
        <v>115</v>
      </c>
      <c r="P396" s="17"/>
      <c r="Q396" s="3" t="n">
        <f>$E396+6</f>
        <v>117</v>
      </c>
      <c r="R396" s="17"/>
      <c r="S396" s="5" t="n">
        <f>$E396+8</f>
        <v>119</v>
      </c>
      <c r="T396" s="17"/>
      <c r="U396" s="3" t="n">
        <f>$E396+11</f>
        <v>122</v>
      </c>
      <c r="V396" s="17"/>
      <c r="W396" s="5" t="n">
        <f>$E396+15</f>
        <v>126</v>
      </c>
      <c r="X396" s="17"/>
      <c r="Y396" s="3" t="n">
        <f>$E396+17</f>
        <v>128</v>
      </c>
      <c r="Z396" s="17"/>
      <c r="AA396" s="5" t="n">
        <f>$E396+19</f>
        <v>130</v>
      </c>
      <c r="AB396" s="17"/>
      <c r="AC396" s="3" t="n">
        <f>$E396+21</f>
        <v>132</v>
      </c>
      <c r="AD396" s="17"/>
      <c r="AE396" s="5" t="n">
        <f>$E396+24</f>
        <v>135</v>
      </c>
      <c r="AF396" s="17"/>
      <c r="AG396" s="3" t="n">
        <f>$E396+27</f>
        <v>138</v>
      </c>
      <c r="AH396" s="17"/>
    </row>
    <row r="397" ht="28" customHeight="1">
      <c r="A397" s="2" t="n">
        <v>407</v>
      </c>
      <c r="B397" s="16" t="str">
        <v>Nguyễn Tiến Linh</v>
      </c>
      <c r="C397" s="16" t="str">
        <v>VIETNAM</v>
      </c>
      <c r="D397" s="2" t="str">
        <v>ST</v>
      </c>
      <c r="E397" s="2" t="n">
        <v>115</v>
      </c>
      <c r="F397" s="2" t="str">
        <v>Việt Nam</v>
      </c>
      <c r="G397" s="2" t="str">
        <v>Việt Nam</v>
      </c>
      <c r="H397" s="2" t="n">
        <v>26</v>
      </c>
      <c r="I397" s="3" t="n">
        <f>$E397+0</f>
        <v>115</v>
      </c>
      <c r="J397" s="17">
        <v>18400000</v>
      </c>
      <c r="L397" s="17"/>
      <c r="M397" s="3" t="n">
        <f>$E397+2</f>
        <v>117</v>
      </c>
      <c r="N397" s="17"/>
      <c r="O397" s="5" t="n">
        <f>$E397+4</f>
        <v>119</v>
      </c>
      <c r="P397" s="17"/>
      <c r="Q397" s="3" t="n">
        <f>$E397+6</f>
        <v>121</v>
      </c>
      <c r="R397" s="17"/>
      <c r="S397" s="5" t="n">
        <f>$E397+8</f>
        <v>123</v>
      </c>
      <c r="T397" s="17"/>
      <c r="U397" s="3" t="n">
        <f>$E397+11</f>
        <v>126</v>
      </c>
      <c r="V397" s="17"/>
      <c r="W397" s="5" t="n">
        <f>$E397+15</f>
        <v>130</v>
      </c>
      <c r="X397" s="17"/>
      <c r="Y397" s="3" t="n">
        <f>$E397+17</f>
        <v>132</v>
      </c>
      <c r="Z397" s="17"/>
      <c r="AA397" s="5" t="n">
        <f>$E397+19</f>
        <v>134</v>
      </c>
      <c r="AB397" s="17"/>
      <c r="AC397" s="3" t="n">
        <f>$E397+21</f>
        <v>136</v>
      </c>
      <c r="AD397" s="17"/>
      <c r="AE397" s="5" t="n">
        <f>$E397+24</f>
        <v>139</v>
      </c>
      <c r="AF397" s="17"/>
      <c r="AG397" s="3" t="n">
        <f>$E397+27</f>
        <v>142</v>
      </c>
      <c r="AH397" s="17"/>
    </row>
    <row r="398" ht="28" customHeight="1">
      <c r="A398" s="2" t="n">
        <v>408</v>
      </c>
      <c r="B398" s="16" t="str">
        <v>Nguyễn Thành Chung</v>
      </c>
      <c r="C398" s="16" t="str">
        <v>VIETNAM</v>
      </c>
      <c r="D398" s="2" t="str">
        <v>CB</v>
      </c>
      <c r="E398" s="2" t="n">
        <v>110</v>
      </c>
      <c r="F398" s="2" t="str">
        <v>Việt Nam</v>
      </c>
      <c r="G398" s="2" t="str">
        <v>Việt Nam</v>
      </c>
      <c r="H398" s="2" t="n">
        <v>23</v>
      </c>
      <c r="I398" s="3" t="n">
        <f>$E398+0</f>
        <v>110</v>
      </c>
      <c r="J398" s="17">
        <v>606000</v>
      </c>
      <c r="L398" s="17"/>
      <c r="M398" s="3" t="n">
        <f>$E398+2</f>
        <v>112</v>
      </c>
      <c r="N398" s="17"/>
      <c r="O398" s="5" t="n">
        <f>$E398+4</f>
        <v>114</v>
      </c>
      <c r="P398" s="17"/>
      <c r="Q398" s="3" t="n">
        <f>$E398+6</f>
        <v>116</v>
      </c>
      <c r="R398" s="17"/>
      <c r="S398" s="5" t="n">
        <f>$E398+8</f>
        <v>118</v>
      </c>
      <c r="T398" s="17"/>
      <c r="U398" s="3" t="n">
        <f>$E398+11</f>
        <v>121</v>
      </c>
      <c r="V398" s="17"/>
      <c r="W398" s="5" t="n">
        <f>$E398+15</f>
        <v>125</v>
      </c>
      <c r="X398" s="17"/>
      <c r="Y398" s="3" t="n">
        <f>$E398+17</f>
        <v>127</v>
      </c>
      <c r="Z398" s="17"/>
      <c r="AA398" s="5" t="n">
        <f>$E398+19</f>
        <v>129</v>
      </c>
      <c r="AB398" s="17"/>
      <c r="AC398" s="3" t="n">
        <f>$E398+21</f>
        <v>131</v>
      </c>
      <c r="AD398" s="17"/>
      <c r="AE398" s="5" t="n">
        <f>$E398+24</f>
        <v>134</v>
      </c>
      <c r="AF398" s="17"/>
      <c r="AG398" s="3" t="n">
        <f>$E398+27</f>
        <v>137</v>
      </c>
      <c r="AH398" s="17"/>
    </row>
    <row r="399" ht="28" customHeight="1">
      <c r="A399" s="2" t="n">
        <v>409</v>
      </c>
      <c r="B399" s="16" t="str">
        <v>Nguyễn Thanh Bình</v>
      </c>
      <c r="C399" s="16" t="str">
        <v>VIETNAM</v>
      </c>
      <c r="D399" s="2" t="str">
        <v>CB</v>
      </c>
      <c r="E399" s="2" t="n">
        <v>111</v>
      </c>
      <c r="F399" s="2" t="str">
        <v>Việt Nam</v>
      </c>
      <c r="G399" s="2" t="str">
        <v>Việt Nam</v>
      </c>
      <c r="H399" s="2" t="n">
        <v>23</v>
      </c>
      <c r="I399" s="3" t="n">
        <f>$E399+0</f>
        <v>111</v>
      </c>
      <c r="J399" s="17">
        <v>166000</v>
      </c>
      <c r="L399" s="17"/>
      <c r="M399" s="3" t="n">
        <f>$E399+2</f>
        <v>113</v>
      </c>
      <c r="N399" s="17"/>
      <c r="O399" s="5" t="n">
        <f>$E399+4</f>
        <v>115</v>
      </c>
      <c r="P399" s="17"/>
      <c r="Q399" s="3" t="n">
        <f>$E399+6</f>
        <v>117</v>
      </c>
      <c r="R399" s="17"/>
      <c r="S399" s="5" t="n">
        <f>$E399+8</f>
        <v>119</v>
      </c>
      <c r="T399" s="17"/>
      <c r="U399" s="3" t="n">
        <f>$E399+11</f>
        <v>122</v>
      </c>
      <c r="V399" s="17"/>
      <c r="W399" s="5" t="n">
        <f>$E399+15</f>
        <v>126</v>
      </c>
      <c r="X399" s="17"/>
      <c r="Y399" s="3" t="n">
        <f>$E399+17</f>
        <v>128</v>
      </c>
      <c r="Z399" s="17"/>
      <c r="AA399" s="5" t="n">
        <f>$E399+19</f>
        <v>130</v>
      </c>
      <c r="AB399" s="17"/>
      <c r="AC399" s="3" t="n">
        <f>$E399+21</f>
        <v>132</v>
      </c>
      <c r="AD399" s="17"/>
      <c r="AE399" s="5" t="n">
        <f>$E399+24</f>
        <v>135</v>
      </c>
      <c r="AF399" s="17"/>
      <c r="AG399" s="3" t="n">
        <f>$E399+27</f>
        <v>138</v>
      </c>
      <c r="AH399" s="17"/>
    </row>
    <row r="400" ht="28" customHeight="1">
      <c r="A400" s="2" t="n">
        <v>410</v>
      </c>
      <c r="B400" s="16" t="str">
        <v>Nguyễn Quốc Việt</v>
      </c>
      <c r="C400" s="16" t="str">
        <v>VIETNAM</v>
      </c>
      <c r="D400" s="2" t="str">
        <v>ST</v>
      </c>
      <c r="E400" s="2" t="n">
        <v>112</v>
      </c>
      <c r="F400" s="2" t="str">
        <v>Việt Nam</v>
      </c>
      <c r="G400" s="2" t="str">
        <v>Việt Nam</v>
      </c>
      <c r="H400" s="2" t="n">
        <v>24</v>
      </c>
      <c r="I400" s="3" t="n">
        <f>$E400+0</f>
        <v>112</v>
      </c>
      <c r="J400" s="17">
        <v>147000</v>
      </c>
      <c r="L400" s="17"/>
      <c r="M400" s="3" t="n">
        <f>$E400+2</f>
        <v>114</v>
      </c>
      <c r="N400" s="17"/>
      <c r="O400" s="5" t="n">
        <f>$E400+4</f>
        <v>116</v>
      </c>
      <c r="P400" s="17"/>
      <c r="Q400" s="3" t="n">
        <f>$E400+6</f>
        <v>118</v>
      </c>
      <c r="R400" s="17"/>
      <c r="S400" s="5" t="n">
        <f>$E400+8</f>
        <v>120</v>
      </c>
      <c r="T400" s="17"/>
      <c r="U400" s="3" t="n">
        <f>$E400+11</f>
        <v>123</v>
      </c>
      <c r="V400" s="17"/>
      <c r="W400" s="5" t="n">
        <f>$E400+15</f>
        <v>127</v>
      </c>
      <c r="X400" s="17"/>
      <c r="Y400" s="3" t="n">
        <f>$E400+17</f>
        <v>129</v>
      </c>
      <c r="Z400" s="17"/>
      <c r="AA400" s="5" t="n">
        <f>$E400+19</f>
        <v>131</v>
      </c>
      <c r="AB400" s="17"/>
      <c r="AC400" s="3" t="n">
        <f>$E400+21</f>
        <v>133</v>
      </c>
      <c r="AD400" s="17"/>
      <c r="AE400" s="5" t="n">
        <f>$E400+24</f>
        <v>136</v>
      </c>
      <c r="AF400" s="17"/>
      <c r="AG400" s="3" t="n">
        <f>$E400+27</f>
        <v>139</v>
      </c>
      <c r="AH400" s="17"/>
    </row>
    <row r="401" ht="28" customHeight="1">
      <c r="A401" s="2" t="n">
        <v>411</v>
      </c>
      <c r="B401" s="16" t="str">
        <v>Nguyễn Quang Hải</v>
      </c>
      <c r="C401" s="16" t="str">
        <v>VIETNAM</v>
      </c>
      <c r="D401" s="2" t="str">
        <v>CAM</v>
      </c>
      <c r="E401" s="2" t="n">
        <v>118</v>
      </c>
      <c r="F401" s="2" t="str">
        <v>Việt Nam</v>
      </c>
      <c r="G401" s="2" t="str">
        <v>Việt Nam</v>
      </c>
      <c r="H401" s="2" t="n">
        <v>28</v>
      </c>
      <c r="I401" s="3" t="n">
        <f>$E401+0</f>
        <v>118</v>
      </c>
      <c r="J401" s="17">
        <v>20700000</v>
      </c>
      <c r="L401" s="17"/>
      <c r="M401" s="3" t="n">
        <f>$E401+2</f>
        <v>120</v>
      </c>
      <c r="N401" s="17"/>
      <c r="O401" s="5" t="n">
        <f>$E401+4</f>
        <v>122</v>
      </c>
      <c r="P401" s="17"/>
      <c r="Q401" s="3" t="n">
        <f>$E401+6</f>
        <v>124</v>
      </c>
      <c r="R401" s="17"/>
      <c r="S401" s="5" t="n">
        <f>$E401+8</f>
        <v>126</v>
      </c>
      <c r="T401" s="17"/>
      <c r="U401" s="3" t="n">
        <f>$E401+11</f>
        <v>129</v>
      </c>
      <c r="V401" s="17"/>
      <c r="W401" s="5" t="n">
        <f>$E401+15</f>
        <v>133</v>
      </c>
      <c r="X401" s="17"/>
      <c r="Y401" s="3" t="n">
        <f>$E401+17</f>
        <v>135</v>
      </c>
      <c r="Z401" s="17"/>
      <c r="AA401" s="5" t="n">
        <f>$E401+19</f>
        <v>137</v>
      </c>
      <c r="AB401" s="17"/>
      <c r="AC401" s="3" t="n">
        <f>$E401+21</f>
        <v>139</v>
      </c>
      <c r="AD401" s="17"/>
      <c r="AE401" s="5" t="n">
        <f>$E401+24</f>
        <v>142</v>
      </c>
      <c r="AF401" s="17"/>
      <c r="AG401" s="3" t="n">
        <f>$E401+27</f>
        <v>145</v>
      </c>
      <c r="AH401" s="17"/>
    </row>
    <row r="402" ht="28" customHeight="1">
      <c r="A402" s="2" t="n">
        <v>412</v>
      </c>
      <c r="B402" s="16" t="str">
        <v>Nguyễn Minh Phương</v>
      </c>
      <c r="C402" s="16" t="str">
        <v>VIETNAM</v>
      </c>
      <c r="D402" s="2" t="str">
        <v>CAM</v>
      </c>
      <c r="E402" s="2" t="n">
        <v>116</v>
      </c>
      <c r="F402" s="2" t="str">
        <v>Việt Nam</v>
      </c>
      <c r="G402" s="2" t="str">
        <v>Việt Nam</v>
      </c>
      <c r="H402" s="2" t="n">
        <v>27</v>
      </c>
      <c r="I402" s="3" t="n">
        <f>$E402+0</f>
        <v>116</v>
      </c>
      <c r="J402" s="17">
        <v>9780000</v>
      </c>
      <c r="L402" s="17"/>
      <c r="M402" s="3" t="n">
        <f>$E402+2</f>
        <v>118</v>
      </c>
      <c r="N402" s="17"/>
      <c r="O402" s="5" t="n">
        <f>$E402+4</f>
        <v>120</v>
      </c>
      <c r="P402" s="17"/>
      <c r="Q402" s="3" t="n">
        <f>$E402+6</f>
        <v>122</v>
      </c>
      <c r="R402" s="17"/>
      <c r="S402" s="5" t="n">
        <f>$E402+8</f>
        <v>124</v>
      </c>
      <c r="T402" s="17"/>
      <c r="U402" s="3" t="n">
        <f>$E402+11</f>
        <v>127</v>
      </c>
      <c r="V402" s="17"/>
      <c r="W402" s="5" t="n">
        <f>$E402+15</f>
        <v>131</v>
      </c>
      <c r="X402" s="17"/>
      <c r="Y402" s="3" t="n">
        <f>$E402+17</f>
        <v>133</v>
      </c>
      <c r="Z402" s="17"/>
      <c r="AA402" s="5" t="n">
        <f>$E402+19</f>
        <v>135</v>
      </c>
      <c r="AB402" s="17"/>
      <c r="AC402" s="3" t="n">
        <f>$E402+21</f>
        <v>137</v>
      </c>
      <c r="AD402" s="17"/>
      <c r="AE402" s="5" t="n">
        <f>$E402+24</f>
        <v>140</v>
      </c>
      <c r="AF402" s="17"/>
      <c r="AG402" s="3" t="n">
        <f>$E402+27</f>
        <v>143</v>
      </c>
      <c r="AH402" s="17"/>
    </row>
    <row r="403" ht="28" customHeight="1">
      <c r="A403" s="2" t="n">
        <v>413</v>
      </c>
      <c r="B403" s="16" t="str">
        <v>Nguyễn Hồng Sơn</v>
      </c>
      <c r="C403" s="16" t="str">
        <v>VIETNAM</v>
      </c>
      <c r="D403" s="2" t="str">
        <v>CAM</v>
      </c>
      <c r="E403" s="2" t="n">
        <v>116</v>
      </c>
      <c r="F403" s="2" t="str">
        <v>Việt Nam</v>
      </c>
      <c r="G403" s="2" t="str">
        <v>Việt Nam</v>
      </c>
      <c r="H403" s="2" t="n">
        <v>26</v>
      </c>
      <c r="I403" s="3" t="n">
        <f>$E403+0</f>
        <v>116</v>
      </c>
      <c r="J403" s="17">
        <v>56300000</v>
      </c>
      <c r="L403" s="17"/>
      <c r="M403" s="3" t="n">
        <f>$E403+2</f>
        <v>118</v>
      </c>
      <c r="N403" s="17"/>
      <c r="O403" s="5" t="n">
        <f>$E403+4</f>
        <v>120</v>
      </c>
      <c r="P403" s="17"/>
      <c r="Q403" s="3" t="n">
        <f>$E403+6</f>
        <v>122</v>
      </c>
      <c r="R403" s="17"/>
      <c r="S403" s="5" t="n">
        <f>$E403+8</f>
        <v>124</v>
      </c>
      <c r="T403" s="17"/>
      <c r="U403" s="3" t="n">
        <f>$E403+11</f>
        <v>127</v>
      </c>
      <c r="V403" s="17"/>
      <c r="W403" s="5" t="n">
        <f>$E403+15</f>
        <v>131</v>
      </c>
      <c r="X403" s="17"/>
      <c r="Y403" s="3" t="n">
        <f>$E403+17</f>
        <v>133</v>
      </c>
      <c r="Z403" s="17"/>
      <c r="AA403" s="5" t="n">
        <f>$E403+19</f>
        <v>135</v>
      </c>
      <c r="AB403" s="17"/>
      <c r="AC403" s="3" t="n">
        <f>$E403+21</f>
        <v>137</v>
      </c>
      <c r="AD403" s="17"/>
      <c r="AE403" s="5" t="n">
        <f>$E403+24</f>
        <v>140</v>
      </c>
      <c r="AF403" s="17"/>
      <c r="AG403" s="3" t="n">
        <f>$E403+27</f>
        <v>143</v>
      </c>
      <c r="AH403" s="17"/>
    </row>
    <row r="404" ht="28" customHeight="1">
      <c r="A404" s="2" t="n">
        <v>414</v>
      </c>
      <c r="B404" s="16" t="str">
        <v>Nguyễn Hoàng Đức</v>
      </c>
      <c r="C404" s="16" t="str">
        <v>VIETNAM</v>
      </c>
      <c r="D404" s="2" t="str">
        <v>CM</v>
      </c>
      <c r="E404" s="2" t="n">
        <v>119</v>
      </c>
      <c r="F404" s="2" t="str">
        <v>Việt Nam</v>
      </c>
      <c r="G404" s="2" t="str">
        <v>Việt Nam</v>
      </c>
      <c r="H404" s="2" t="n">
        <v>28</v>
      </c>
      <c r="I404" s="3" t="n">
        <f>$E404+0</f>
        <v>119</v>
      </c>
      <c r="J404" s="17">
        <v>33400000</v>
      </c>
      <c r="L404" s="17"/>
      <c r="M404" s="3" t="n">
        <f>$E404+2</f>
        <v>121</v>
      </c>
      <c r="N404" s="17"/>
      <c r="O404" s="5" t="n">
        <f>$E404+4</f>
        <v>123</v>
      </c>
      <c r="P404" s="17"/>
      <c r="Q404" s="3" t="n">
        <f>$E404+6</f>
        <v>125</v>
      </c>
      <c r="R404" s="17"/>
      <c r="S404" s="5" t="n">
        <f>$E404+8</f>
        <v>127</v>
      </c>
      <c r="T404" s="17"/>
      <c r="U404" s="3" t="n">
        <f>$E404+11</f>
        <v>130</v>
      </c>
      <c r="V404" s="17"/>
      <c r="W404" s="5" t="n">
        <f>$E404+15</f>
        <v>134</v>
      </c>
      <c r="X404" s="17"/>
      <c r="Y404" s="3" t="n">
        <f>$E404+17</f>
        <v>136</v>
      </c>
      <c r="Z404" s="17"/>
      <c r="AA404" s="5" t="n">
        <f>$E404+19</f>
        <v>138</v>
      </c>
      <c r="AB404" s="17"/>
      <c r="AC404" s="3" t="n">
        <f>$E404+21</f>
        <v>140</v>
      </c>
      <c r="AD404" s="17"/>
      <c r="AE404" s="5" t="n">
        <f>$E404+24</f>
        <v>143</v>
      </c>
      <c r="AF404" s="17"/>
      <c r="AG404" s="3" t="n">
        <f>$E404+27</f>
        <v>146</v>
      </c>
      <c r="AH404" s="17"/>
    </row>
    <row r="405" ht="28" customHeight="1">
      <c r="A405" s="2" t="n">
        <v>415</v>
      </c>
      <c r="B405" s="16" t="str">
        <v>Nguyễn Hai Long</v>
      </c>
      <c r="C405" s="16" t="str">
        <v>VIETNAM</v>
      </c>
      <c r="D405" s="2" t="str">
        <v>RW</v>
      </c>
      <c r="E405" s="2" t="n">
        <v>117</v>
      </c>
      <c r="F405" s="2" t="str">
        <v>Việt Nam</v>
      </c>
      <c r="G405" s="2" t="str">
        <v>Việt Nam</v>
      </c>
      <c r="H405" s="2" t="n">
        <v>28</v>
      </c>
      <c r="I405" s="3" t="n">
        <f>$E405+0</f>
        <v>117</v>
      </c>
      <c r="J405" s="17">
        <v>4140000</v>
      </c>
      <c r="L405" s="17"/>
      <c r="M405" s="3" t="n">
        <f>$E405+2</f>
        <v>119</v>
      </c>
      <c r="N405" s="17"/>
      <c r="O405" s="5" t="n">
        <f>$E405+4</f>
        <v>121</v>
      </c>
      <c r="P405" s="17"/>
      <c r="Q405" s="3" t="n">
        <f>$E405+6</f>
        <v>123</v>
      </c>
      <c r="R405" s="17"/>
      <c r="S405" s="5" t="n">
        <f>$E405+8</f>
        <v>125</v>
      </c>
      <c r="T405" s="17"/>
      <c r="U405" s="3" t="n">
        <f>$E405+11</f>
        <v>128</v>
      </c>
      <c r="V405" s="17"/>
      <c r="W405" s="5" t="n">
        <f>$E405+15</f>
        <v>132</v>
      </c>
      <c r="X405" s="17"/>
      <c r="Y405" s="3" t="n">
        <f>$E405+17</f>
        <v>134</v>
      </c>
      <c r="Z405" s="17"/>
      <c r="AA405" s="5" t="n">
        <f>$E405+19</f>
        <v>136</v>
      </c>
      <c r="AB405" s="17"/>
      <c r="AC405" s="3" t="n">
        <f>$E405+21</f>
        <v>138</v>
      </c>
      <c r="AD405" s="17"/>
      <c r="AE405" s="5" t="n">
        <f>$E405+24</f>
        <v>141</v>
      </c>
      <c r="AF405" s="17"/>
      <c r="AG405" s="3" t="n">
        <f>$E405+27</f>
        <v>144</v>
      </c>
      <c r="AH405" s="17"/>
    </row>
    <row r="406" ht="28" customHeight="1">
      <c r="A406" s="2" t="n">
        <v>416</v>
      </c>
      <c r="B406" s="16" t="str">
        <v>Nguyễn Công Phượng</v>
      </c>
      <c r="C406" s="16" t="str">
        <v>VIETNAM</v>
      </c>
      <c r="D406" s="2" t="str">
        <v>RW</v>
      </c>
      <c r="E406" s="2" t="n">
        <v>109</v>
      </c>
      <c r="F406" s="2" t="str">
        <v>Việt Nam</v>
      </c>
      <c r="G406" s="2" t="str">
        <v>Việt Nam</v>
      </c>
      <c r="H406" s="2" t="n">
        <v>23</v>
      </c>
      <c r="I406" s="3" t="n">
        <f>$E406+0</f>
        <v>109</v>
      </c>
      <c r="J406" s="17">
        <v>3740000</v>
      </c>
      <c r="L406" s="17"/>
      <c r="M406" s="3" t="n">
        <f>$E406+2</f>
        <v>111</v>
      </c>
      <c r="N406" s="17"/>
      <c r="O406" s="5" t="n">
        <f>$E406+4</f>
        <v>113</v>
      </c>
      <c r="P406" s="17"/>
      <c r="Q406" s="3" t="n">
        <f>$E406+6</f>
        <v>115</v>
      </c>
      <c r="R406" s="17"/>
      <c r="S406" s="5" t="n">
        <f>$E406+8</f>
        <v>117</v>
      </c>
      <c r="T406" s="17"/>
      <c r="U406" s="3" t="n">
        <f>$E406+11</f>
        <v>120</v>
      </c>
      <c r="V406" s="17"/>
      <c r="W406" s="5" t="n">
        <f>$E406+15</f>
        <v>124</v>
      </c>
      <c r="X406" s="17"/>
      <c r="Y406" s="3" t="n">
        <f>$E406+17</f>
        <v>126</v>
      </c>
      <c r="Z406" s="17"/>
      <c r="AA406" s="5" t="n">
        <f>$E406+19</f>
        <v>128</v>
      </c>
      <c r="AB406" s="17"/>
      <c r="AC406" s="3" t="n">
        <f>$E406+21</f>
        <v>130</v>
      </c>
      <c r="AD406" s="17"/>
      <c r="AE406" s="5" t="n">
        <f>$E406+24</f>
        <v>133</v>
      </c>
      <c r="AF406" s="17"/>
      <c r="AG406" s="3" t="n">
        <f>$E406+27</f>
        <v>136</v>
      </c>
      <c r="AH406" s="17"/>
    </row>
    <row r="407" ht="28" customHeight="1">
      <c r="A407" s="2" t="n">
        <v>417</v>
      </c>
      <c r="B407" s="16" t="str">
        <v>Nguyễn Anh Đức</v>
      </c>
      <c r="C407" s="16" t="str">
        <v>VIETNAM</v>
      </c>
      <c r="D407" s="2" t="str">
        <v>ST</v>
      </c>
      <c r="E407" s="2" t="n">
        <v>115</v>
      </c>
      <c r="F407" s="2" t="str">
        <v>Việt Nam</v>
      </c>
      <c r="G407" s="2" t="str">
        <v>Việt Nam</v>
      </c>
      <c r="H407" s="2" t="n">
        <v>26</v>
      </c>
      <c r="I407" s="3" t="n">
        <f>$E407+0</f>
        <v>115</v>
      </c>
      <c r="J407" s="17">
        <v>11900000</v>
      </c>
      <c r="L407" s="17"/>
      <c r="M407" s="3" t="n">
        <f>$E407+2</f>
        <v>117</v>
      </c>
      <c r="N407" s="17"/>
      <c r="O407" s="5" t="n">
        <f>$E407+4</f>
        <v>119</v>
      </c>
      <c r="P407" s="17"/>
      <c r="Q407" s="3" t="n">
        <f>$E407+6</f>
        <v>121</v>
      </c>
      <c r="R407" s="17"/>
      <c r="S407" s="5" t="n">
        <f>$E407+8</f>
        <v>123</v>
      </c>
      <c r="T407" s="17"/>
      <c r="U407" s="3" t="n">
        <f>$E407+11</f>
        <v>126</v>
      </c>
      <c r="V407" s="17"/>
      <c r="W407" s="5" t="n">
        <f>$E407+15</f>
        <v>130</v>
      </c>
      <c r="X407" s="17"/>
      <c r="Y407" s="3" t="n">
        <f>$E407+17</f>
        <v>132</v>
      </c>
      <c r="Z407" s="17"/>
      <c r="AA407" s="5" t="n">
        <f>$E407+19</f>
        <v>134</v>
      </c>
      <c r="AB407" s="17"/>
      <c r="AC407" s="3" t="n">
        <f>$E407+21</f>
        <v>136</v>
      </c>
      <c r="AD407" s="17"/>
      <c r="AE407" s="5" t="n">
        <f>$E407+24</f>
        <v>139</v>
      </c>
      <c r="AF407" s="17"/>
      <c r="AG407" s="3" t="n">
        <f>$E407+27</f>
        <v>142</v>
      </c>
      <c r="AH407" s="17"/>
    </row>
    <row r="408" ht="28" customHeight="1">
      <c r="A408" s="2" t="n">
        <v>418</v>
      </c>
      <c r="B408" s="16" t="str">
        <v>Lương Xuân Trường</v>
      </c>
      <c r="C408" s="16" t="str">
        <v>VIETNAM</v>
      </c>
      <c r="D408" s="2" t="str">
        <v>CM</v>
      </c>
      <c r="E408" s="2" t="n">
        <v>110</v>
      </c>
      <c r="F408" s="2" t="str">
        <v>Việt Nam</v>
      </c>
      <c r="G408" s="2" t="str">
        <v>Việt Nam</v>
      </c>
      <c r="H408" s="2" t="n">
        <v>24</v>
      </c>
      <c r="I408" s="3" t="n">
        <f>$E408+0</f>
        <v>110</v>
      </c>
      <c r="J408" s="17">
        <v>601000</v>
      </c>
      <c r="L408" s="17"/>
      <c r="M408" s="3" t="n">
        <f>$E408+2</f>
        <v>112</v>
      </c>
      <c r="N408" s="17"/>
      <c r="O408" s="5" t="n">
        <f>$E408+4</f>
        <v>114</v>
      </c>
      <c r="P408" s="17"/>
      <c r="Q408" s="3" t="n">
        <f>$E408+6</f>
        <v>116</v>
      </c>
      <c r="R408" s="17"/>
      <c r="S408" s="5" t="n">
        <f>$E408+8</f>
        <v>118</v>
      </c>
      <c r="T408" s="17"/>
      <c r="U408" s="3" t="n">
        <f>$E408+11</f>
        <v>121</v>
      </c>
      <c r="V408" s="17"/>
      <c r="W408" s="5" t="n">
        <f>$E408+15</f>
        <v>125</v>
      </c>
      <c r="X408" s="17"/>
      <c r="Y408" s="3" t="n">
        <f>$E408+17</f>
        <v>127</v>
      </c>
      <c r="Z408" s="17"/>
      <c r="AA408" s="5" t="n">
        <f>$E408+19</f>
        <v>129</v>
      </c>
      <c r="AB408" s="17"/>
      <c r="AC408" s="3" t="n">
        <f>$E408+21</f>
        <v>131</v>
      </c>
      <c r="AD408" s="17"/>
      <c r="AE408" s="5" t="n">
        <f>$E408+24</f>
        <v>134</v>
      </c>
      <c r="AF408" s="17"/>
      <c r="AG408" s="3" t="n">
        <f>$E408+27</f>
        <v>137</v>
      </c>
      <c r="AH408" s="17"/>
    </row>
    <row r="409" ht="28" customHeight="1">
      <c r="A409" s="2" t="n">
        <v>419</v>
      </c>
      <c r="B409" s="16" t="str">
        <v>Lê Viktor</v>
      </c>
      <c r="C409" s="16" t="str">
        <v>VIETNAM</v>
      </c>
      <c r="D409" s="2" t="str">
        <v>LW</v>
      </c>
      <c r="E409" s="2" t="n">
        <v>113</v>
      </c>
      <c r="F409" s="2" t="str">
        <v>Việt Nam</v>
      </c>
      <c r="G409" s="2" t="str">
        <v>Việt Nam</v>
      </c>
      <c r="H409" s="2" t="n">
        <v>24</v>
      </c>
      <c r="I409" s="3" t="n">
        <f>$E409+0</f>
        <v>113</v>
      </c>
      <c r="J409" s="17">
        <v>402000</v>
      </c>
      <c r="L409" s="17"/>
      <c r="M409" s="3" t="n">
        <f>$E409+2</f>
        <v>115</v>
      </c>
      <c r="N409" s="17"/>
      <c r="O409" s="5" t="n">
        <f>$E409+4</f>
        <v>117</v>
      </c>
      <c r="P409" s="17"/>
      <c r="Q409" s="3" t="n">
        <f>$E409+6</f>
        <v>119</v>
      </c>
      <c r="R409" s="17"/>
      <c r="S409" s="5" t="n">
        <f>$E409+8</f>
        <v>121</v>
      </c>
      <c r="T409" s="17"/>
      <c r="U409" s="3" t="n">
        <f>$E409+11</f>
        <v>124</v>
      </c>
      <c r="V409" s="17"/>
      <c r="W409" s="5" t="n">
        <f>$E409+15</f>
        <v>128</v>
      </c>
      <c r="X409" s="17"/>
      <c r="Y409" s="3" t="n">
        <f>$E409+17</f>
        <v>130</v>
      </c>
      <c r="Z409" s="17"/>
      <c r="AA409" s="5" t="n">
        <f>$E409+19</f>
        <v>132</v>
      </c>
      <c r="AB409" s="17"/>
      <c r="AC409" s="3" t="n">
        <f>$E409+21</f>
        <v>134</v>
      </c>
      <c r="AD409" s="17"/>
      <c r="AE409" s="5" t="n">
        <f>$E409+24</f>
        <v>137</v>
      </c>
      <c r="AF409" s="17"/>
      <c r="AG409" s="3" t="n">
        <f>$E409+27</f>
        <v>140</v>
      </c>
      <c r="AH409" s="17"/>
    </row>
    <row r="410" ht="28" customHeight="1">
      <c r="A410" s="2" t="n">
        <v>420</v>
      </c>
      <c r="B410" s="16" t="str">
        <v>Lê Phước Tứ</v>
      </c>
      <c r="C410" s="16" t="str">
        <v>VIETNAM</v>
      </c>
      <c r="D410" s="2" t="str">
        <v>CB</v>
      </c>
      <c r="E410" s="2" t="n">
        <v>113</v>
      </c>
      <c r="F410" s="2" t="str">
        <v>Việt Nam</v>
      </c>
      <c r="G410" s="2" t="str">
        <v>Việt Nam</v>
      </c>
      <c r="H410" s="2" t="n">
        <v>24</v>
      </c>
      <c r="I410" s="3" t="n">
        <f>$E410+0</f>
        <v>113</v>
      </c>
      <c r="J410" s="17">
        <v>618000</v>
      </c>
      <c r="L410" s="17"/>
      <c r="M410" s="3" t="n">
        <f>$E410+2</f>
        <v>115</v>
      </c>
      <c r="N410" s="17"/>
      <c r="O410" s="5" t="n">
        <f>$E410+4</f>
        <v>117</v>
      </c>
      <c r="P410" s="17"/>
      <c r="Q410" s="3" t="n">
        <f>$E410+6</f>
        <v>119</v>
      </c>
      <c r="R410" s="17"/>
      <c r="S410" s="5" t="n">
        <f>$E410+8</f>
        <v>121</v>
      </c>
      <c r="T410" s="17"/>
      <c r="U410" s="3" t="n">
        <f>$E410+11</f>
        <v>124</v>
      </c>
      <c r="V410" s="17"/>
      <c r="W410" s="5" t="n">
        <f>$E410+15</f>
        <v>128</v>
      </c>
      <c r="X410" s="17"/>
      <c r="Y410" s="3" t="n">
        <f>$E410+17</f>
        <v>130</v>
      </c>
      <c r="Z410" s="17"/>
      <c r="AA410" s="5" t="n">
        <f>$E410+19</f>
        <v>132</v>
      </c>
      <c r="AB410" s="17"/>
      <c r="AC410" s="3" t="n">
        <f>$E410+21</f>
        <v>134</v>
      </c>
      <c r="AD410" s="17"/>
      <c r="AE410" s="5" t="n">
        <f>$E410+24</f>
        <v>137</v>
      </c>
      <c r="AF410" s="17"/>
      <c r="AG410" s="3" t="n">
        <f>$E410+27</f>
        <v>140</v>
      </c>
      <c r="AH410" s="17"/>
    </row>
    <row r="411" ht="28" customHeight="1">
      <c r="A411" s="2" t="n">
        <v>421</v>
      </c>
      <c r="B411" s="16" t="str">
        <v>Lê Huỳnh Đức</v>
      </c>
      <c r="C411" s="16" t="str">
        <v>VIETNAM</v>
      </c>
      <c r="D411" s="2" t="str">
        <v>ST</v>
      </c>
      <c r="E411" s="2" t="n">
        <v>118</v>
      </c>
      <c r="F411" s="2" t="str">
        <v>Việt Nam</v>
      </c>
      <c r="G411" s="2" t="str">
        <v>Việt Nam</v>
      </c>
      <c r="H411" s="2" t="n">
        <v>28</v>
      </c>
      <c r="I411" s="3" t="n">
        <f>$E411+0</f>
        <v>118</v>
      </c>
      <c r="J411" s="17">
        <v>25100000</v>
      </c>
      <c r="L411" s="17"/>
      <c r="M411" s="3" t="n">
        <f>$E411+2</f>
        <v>120</v>
      </c>
      <c r="N411" s="17"/>
      <c r="O411" s="5" t="n">
        <f>$E411+4</f>
        <v>122</v>
      </c>
      <c r="P411" s="17"/>
      <c r="Q411" s="3" t="n">
        <f>$E411+6</f>
        <v>124</v>
      </c>
      <c r="R411" s="17"/>
      <c r="S411" s="5" t="n">
        <f>$E411+8</f>
        <v>126</v>
      </c>
      <c r="T411" s="17"/>
      <c r="U411" s="3" t="n">
        <f>$E411+11</f>
        <v>129</v>
      </c>
      <c r="V411" s="17"/>
      <c r="W411" s="5" t="n">
        <f>$E411+15</f>
        <v>133</v>
      </c>
      <c r="X411" s="17"/>
      <c r="Y411" s="3" t="n">
        <f>$E411+17</f>
        <v>135</v>
      </c>
      <c r="Z411" s="17"/>
      <c r="AA411" s="5" t="n">
        <f>$E411+19</f>
        <v>137</v>
      </c>
      <c r="AB411" s="17"/>
      <c r="AC411" s="3" t="n">
        <f>$E411+21</f>
        <v>139</v>
      </c>
      <c r="AD411" s="17"/>
      <c r="AE411" s="5" t="n">
        <f>$E411+24</f>
        <v>142</v>
      </c>
      <c r="AF411" s="17"/>
      <c r="AG411" s="3" t="n">
        <f>$E411+27</f>
        <v>145</v>
      </c>
      <c r="AH411" s="17"/>
    </row>
    <row r="412" ht="28" customHeight="1">
      <c r="A412" s="2" t="n">
        <v>422</v>
      </c>
      <c r="B412" s="16" t="str">
        <v>Lê Công Vinh</v>
      </c>
      <c r="C412" s="16" t="str">
        <v>VIETNAM</v>
      </c>
      <c r="D412" s="2" t="str">
        <v>ST</v>
      </c>
      <c r="E412" s="2" t="n">
        <v>117</v>
      </c>
      <c r="F412" s="2" t="str">
        <v>Việt Nam</v>
      </c>
      <c r="G412" s="2" t="str">
        <v>Việt Nam</v>
      </c>
      <c r="H412" s="2" t="n">
        <v>27</v>
      </c>
      <c r="I412" s="3" t="n">
        <f>$E412+0</f>
        <v>117</v>
      </c>
      <c r="J412" s="17">
        <v>5480000</v>
      </c>
      <c r="L412" s="17"/>
      <c r="M412" s="3" t="n">
        <f>$E412+2</f>
        <v>119</v>
      </c>
      <c r="N412" s="17"/>
      <c r="O412" s="5" t="n">
        <f>$E412+4</f>
        <v>121</v>
      </c>
      <c r="P412" s="17"/>
      <c r="Q412" s="3" t="n">
        <f>$E412+6</f>
        <v>123</v>
      </c>
      <c r="R412" s="17"/>
      <c r="S412" s="5" t="n">
        <f>$E412+8</f>
        <v>125</v>
      </c>
      <c r="T412" s="17"/>
      <c r="U412" s="3" t="n">
        <f>$E412+11</f>
        <v>128</v>
      </c>
      <c r="V412" s="17"/>
      <c r="W412" s="5" t="n">
        <f>$E412+15</f>
        <v>132</v>
      </c>
      <c r="X412" s="17"/>
      <c r="Y412" s="3" t="n">
        <f>$E412+17</f>
        <v>134</v>
      </c>
      <c r="Z412" s="17"/>
      <c r="AA412" s="5" t="n">
        <f>$E412+19</f>
        <v>136</v>
      </c>
      <c r="AB412" s="17"/>
      <c r="AC412" s="3" t="n">
        <f>$E412+21</f>
        <v>138</v>
      </c>
      <c r="AD412" s="17"/>
      <c r="AE412" s="5" t="n">
        <f>$E412+24</f>
        <v>141</v>
      </c>
      <c r="AF412" s="17"/>
      <c r="AG412" s="3" t="n">
        <f>$E412+27</f>
        <v>144</v>
      </c>
      <c r="AH412" s="17"/>
    </row>
    <row r="413" ht="28" customHeight="1">
      <c r="A413" s="2" t="n">
        <v>423</v>
      </c>
      <c r="B413" s="16" t="str">
        <v>Nguyễn Quang Hải</v>
      </c>
      <c r="C413" s="16" t="str">
        <v>PRIME</v>
      </c>
      <c r="D413" s="2" t="str">
        <v>RW</v>
      </c>
      <c r="E413" s="2" t="n">
        <v>119</v>
      </c>
      <c r="F413" s="2" t="str">
        <v>Việt Nam</v>
      </c>
      <c r="G413" s="2" t="str">
        <v>Việt Nam</v>
      </c>
      <c r="H413" s="2" t="n">
        <v>30</v>
      </c>
      <c r="I413" s="3" t="n">
        <f>$E413+0</f>
        <v>119</v>
      </c>
      <c r="J413" s="17"/>
      <c r="K413" s="5" t="n">
        <f>$E413+1</f>
        <v>120</v>
      </c>
      <c r="L413" s="17"/>
      <c r="M413" s="3" t="n">
        <f>$E413+2</f>
        <v>121</v>
      </c>
      <c r="N413" s="17"/>
      <c r="O413" s="5" t="n">
        <f>$E413+4</f>
        <v>123</v>
      </c>
      <c r="P413" s="17"/>
      <c r="Q413" s="3" t="n">
        <f>$E413+6</f>
        <v>125</v>
      </c>
      <c r="R413" s="17"/>
      <c r="S413" s="5" t="n">
        <f>$E413+8</f>
        <v>127</v>
      </c>
      <c r="T413" s="17"/>
      <c r="U413" s="3" t="n">
        <f>$E413+11</f>
        <v>130</v>
      </c>
      <c r="V413" s="17"/>
      <c r="W413" s="5" t="n">
        <f>$E413+15</f>
        <v>134</v>
      </c>
      <c r="X413" s="17"/>
      <c r="Y413" s="3" t="n">
        <f>$E413+17</f>
        <v>136</v>
      </c>
      <c r="Z413" s="17"/>
      <c r="AA413" s="5" t="n">
        <f>$E413+19</f>
        <v>138</v>
      </c>
      <c r="AB413" s="17"/>
      <c r="AC413" s="3" t="n">
        <f>$E413+21</f>
        <v>140</v>
      </c>
      <c r="AD413" s="17"/>
      <c r="AE413" s="5" t="n">
        <f>$E413+24</f>
        <v>143</v>
      </c>
      <c r="AF413" s="17"/>
      <c r="AG413" s="3" t="n">
        <f>$E413+27</f>
        <v>146</v>
      </c>
      <c r="AH413" s="17"/>
    </row>
    <row r="414" ht="28" customHeight="1">
      <c r="A414" s="2" t="n">
        <v>424</v>
      </c>
      <c r="B414" s="16" t="str">
        <v>L. Suárez</v>
      </c>
      <c r="C414" s="16" t="str">
        <v>PRIME</v>
      </c>
      <c r="D414" s="2" t="str">
        <v>ST</v>
      </c>
      <c r="E414" s="2" t="n">
        <v>125</v>
      </c>
      <c r="F414" s="2" t="str">
        <v>Uruguay</v>
      </c>
      <c r="G414" s="2" t="str">
        <v>Inter Miami</v>
      </c>
      <c r="H414" s="2" t="n">
        <v>34</v>
      </c>
      <c r="I414" s="3" t="n">
        <f>$E414+0</f>
        <v>125</v>
      </c>
      <c r="J414" s="17">
        <v>6200000000</v>
      </c>
      <c r="L414" s="17"/>
      <c r="M414" s="3" t="n">
        <f>$E414+2</f>
        <v>127</v>
      </c>
      <c r="N414" s="17"/>
      <c r="O414" s="5" t="n">
        <f>$E414+4</f>
        <v>129</v>
      </c>
      <c r="P414" s="17"/>
      <c r="Q414" s="3" t="n">
        <f>$E414+6</f>
        <v>131</v>
      </c>
      <c r="R414" s="17"/>
      <c r="S414" s="5" t="n">
        <f>$E414+8</f>
        <v>133</v>
      </c>
      <c r="T414" s="17"/>
      <c r="U414" s="3" t="n">
        <f>$E414+11</f>
        <v>136</v>
      </c>
      <c r="V414" s="17"/>
      <c r="W414" s="5" t="n">
        <f>$E414+15</f>
        <v>140</v>
      </c>
      <c r="X414" s="17"/>
      <c r="Y414" s="3" t="n">
        <f>$E414+17</f>
        <v>142</v>
      </c>
      <c r="Z414" s="17"/>
      <c r="AA414" s="5" t="n">
        <f>$E414+19</f>
        <v>144</v>
      </c>
      <c r="AB414" s="17"/>
      <c r="AC414" s="3" t="n">
        <f>$E414+21</f>
        <v>146</v>
      </c>
      <c r="AD414" s="17"/>
      <c r="AE414" s="5" t="n">
        <f>$E414+24</f>
        <v>149</v>
      </c>
      <c r="AF414" s="17"/>
      <c r="AG414" s="3" t="n">
        <f>$E414+27</f>
        <v>152</v>
      </c>
      <c r="AH414" s="17"/>
    </row>
    <row r="415" ht="28" customHeight="1">
      <c r="A415" s="2" t="n">
        <v>425</v>
      </c>
      <c r="B415" s="16" t="str">
        <v>Maicon</v>
      </c>
      <c r="C415" s="16" t="str">
        <v>PRIME</v>
      </c>
      <c r="D415" s="2" t="str">
        <v>RB</v>
      </c>
      <c r="E415" s="2" t="n">
        <v>124</v>
      </c>
      <c r="F415" s="2" t="str">
        <v>Brazil</v>
      </c>
      <c r="G415" s="2" t="str">
        <v>Inter</v>
      </c>
      <c r="H415" s="2" t="n">
        <v>31</v>
      </c>
      <c r="I415" s="3" t="n">
        <f>$E415+0</f>
        <v>124</v>
      </c>
      <c r="J415" s="17">
        <v>1480000000</v>
      </c>
      <c r="L415" s="17"/>
      <c r="M415" s="3" t="n">
        <f>$E415+2</f>
        <v>126</v>
      </c>
      <c r="N415" s="17"/>
      <c r="O415" s="5" t="n">
        <f>$E415+4</f>
        <v>128</v>
      </c>
      <c r="P415" s="17"/>
      <c r="Q415" s="3" t="n">
        <f>$E415+6</f>
        <v>130</v>
      </c>
      <c r="R415" s="17"/>
      <c r="S415" s="5" t="n">
        <f>$E415+8</f>
        <v>132</v>
      </c>
      <c r="T415" s="17"/>
      <c r="U415" s="3" t="n">
        <f>$E415+11</f>
        <v>135</v>
      </c>
      <c r="V415" s="17"/>
      <c r="W415" s="5" t="n">
        <f>$E415+15</f>
        <v>139</v>
      </c>
      <c r="X415" s="17"/>
      <c r="Y415" s="3" t="n">
        <f>$E415+17</f>
        <v>141</v>
      </c>
      <c r="Z415" s="17"/>
      <c r="AA415" s="5" t="n">
        <f>$E415+19</f>
        <v>143</v>
      </c>
      <c r="AB415" s="17"/>
      <c r="AC415" s="3" t="n">
        <f>$E415+21</f>
        <v>145</v>
      </c>
      <c r="AD415" s="17"/>
      <c r="AE415" s="5" t="n">
        <f>$E415+24</f>
        <v>148</v>
      </c>
      <c r="AF415" s="17"/>
      <c r="AG415" s="3" t="n">
        <f>$E415+27</f>
        <v>151</v>
      </c>
      <c r="AH415" s="17"/>
    </row>
    <row r="416" ht="28" customHeight="1">
      <c r="A416" s="2" t="n">
        <v>426</v>
      </c>
      <c r="B416" s="16" t="str">
        <v>E. Hazard</v>
      </c>
      <c r="C416" s="16" t="str">
        <v>PRIME</v>
      </c>
      <c r="D416" s="2" t="str">
        <v>LW</v>
      </c>
      <c r="E416" s="2" t="n">
        <v>124</v>
      </c>
      <c r="F416" s="2" t="str">
        <v>Bỉ</v>
      </c>
      <c r="G416" s="2" t="str">
        <v>Chelsea</v>
      </c>
      <c r="H416" s="2" t="n">
        <v>33</v>
      </c>
      <c r="I416" s="3" t="n">
        <f>$E416+0</f>
        <v>124</v>
      </c>
      <c r="J416" s="17">
        <v>7300000000</v>
      </c>
      <c r="L416" s="17"/>
      <c r="M416" s="3" t="n">
        <f>$E416+2</f>
        <v>126</v>
      </c>
      <c r="N416" s="17"/>
      <c r="O416" s="5" t="n">
        <f>$E416+4</f>
        <v>128</v>
      </c>
      <c r="P416" s="17"/>
      <c r="Q416" s="3" t="n">
        <f>$E416+6</f>
        <v>130</v>
      </c>
      <c r="R416" s="17"/>
      <c r="S416" s="5" t="n">
        <f>$E416+8</f>
        <v>132</v>
      </c>
      <c r="T416" s="17"/>
      <c r="U416" s="3" t="n">
        <f>$E416+11</f>
        <v>135</v>
      </c>
      <c r="V416" s="17"/>
      <c r="W416" s="5" t="n">
        <f>$E416+15</f>
        <v>139</v>
      </c>
      <c r="X416" s="17"/>
      <c r="Y416" s="3" t="n">
        <f>$E416+17</f>
        <v>141</v>
      </c>
      <c r="Z416" s="17"/>
      <c r="AA416" s="5" t="n">
        <f>$E416+19</f>
        <v>143</v>
      </c>
      <c r="AB416" s="17"/>
      <c r="AC416" s="3" t="n">
        <f>$E416+21</f>
        <v>145</v>
      </c>
      <c r="AD416" s="17"/>
      <c r="AE416" s="5" t="n">
        <f>$E416+24</f>
        <v>148</v>
      </c>
      <c r="AF416" s="17"/>
      <c r="AG416" s="3" t="n">
        <f>$E416+27</f>
        <v>151</v>
      </c>
      <c r="AH416" s="17"/>
    </row>
    <row r="417" ht="28" customHeight="1">
      <c r="A417" s="2" t="n">
        <v>427</v>
      </c>
      <c r="B417" s="16" t="str">
        <v>M. Reus</v>
      </c>
      <c r="C417" s="16" t="str">
        <v>PRIME</v>
      </c>
      <c r="D417" s="2" t="str">
        <v>CAM</v>
      </c>
      <c r="E417" s="2" t="n">
        <v>124</v>
      </c>
      <c r="F417" s="2" t="str">
        <v>Đức</v>
      </c>
      <c r="G417" s="2" t="str">
        <v>LA Galaxy</v>
      </c>
      <c r="H417" s="2" t="n">
        <v>33</v>
      </c>
      <c r="I417" s="3" t="n">
        <f>$E417+0</f>
        <v>124</v>
      </c>
      <c r="J417" s="17">
        <v>3970000000</v>
      </c>
      <c r="L417" s="17"/>
      <c r="M417" s="3" t="n">
        <f>$E417+2</f>
        <v>126</v>
      </c>
      <c r="N417" s="17"/>
      <c r="O417" s="5" t="n">
        <f>$E417+4</f>
        <v>128</v>
      </c>
      <c r="P417" s="17"/>
      <c r="Q417" s="3" t="n">
        <f>$E417+6</f>
        <v>130</v>
      </c>
      <c r="R417" s="17"/>
      <c r="S417" s="5" t="n">
        <f>$E417+8</f>
        <v>132</v>
      </c>
      <c r="T417" s="17"/>
      <c r="U417" s="3" t="n">
        <f>$E417+11</f>
        <v>135</v>
      </c>
      <c r="V417" s="17"/>
      <c r="W417" s="5" t="n">
        <f>$E417+15</f>
        <v>139</v>
      </c>
      <c r="X417" s="17"/>
      <c r="Y417" s="3" t="n">
        <f>$E417+17</f>
        <v>141</v>
      </c>
      <c r="Z417" s="17"/>
      <c r="AA417" s="5" t="n">
        <f>$E417+19</f>
        <v>143</v>
      </c>
      <c r="AB417" s="17"/>
      <c r="AC417" s="3" t="n">
        <f>$E417+21</f>
        <v>145</v>
      </c>
      <c r="AD417" s="17"/>
      <c r="AE417" s="5" t="n">
        <f>$E417+24</f>
        <v>148</v>
      </c>
      <c r="AF417" s="17"/>
      <c r="AG417" s="3" t="n">
        <f>$E417+27</f>
        <v>151</v>
      </c>
      <c r="AH417" s="17"/>
    </row>
    <row r="418" ht="28" customHeight="1">
      <c r="A418" s="2" t="n">
        <v>428</v>
      </c>
      <c r="B418" s="16" t="str">
        <v>Lúcio</v>
      </c>
      <c r="C418" s="16" t="str">
        <v>PRIME</v>
      </c>
      <c r="D418" s="2" t="str">
        <v>CB</v>
      </c>
      <c r="E418" s="2" t="n">
        <v>124</v>
      </c>
      <c r="F418" s="2" t="str">
        <v>Brazil</v>
      </c>
      <c r="G418" s="2" t="str">
        <v>Inter</v>
      </c>
      <c r="H418" s="2" t="n">
        <v>32</v>
      </c>
      <c r="I418" s="3" t="n">
        <f>$E418+0</f>
        <v>124</v>
      </c>
      <c r="J418" s="17">
        <v>5060000000</v>
      </c>
      <c r="L418" s="17"/>
      <c r="M418" s="3" t="n">
        <f>$E418+2</f>
        <v>126</v>
      </c>
      <c r="N418" s="17"/>
      <c r="O418" s="5" t="n">
        <f>$E418+4</f>
        <v>128</v>
      </c>
      <c r="P418" s="17"/>
      <c r="Q418" s="3" t="n">
        <f>$E418+6</f>
        <v>130</v>
      </c>
      <c r="R418" s="17"/>
      <c r="S418" s="5" t="n">
        <f>$E418+8</f>
        <v>132</v>
      </c>
      <c r="T418" s="17"/>
      <c r="U418" s="3" t="n">
        <f>$E418+11</f>
        <v>135</v>
      </c>
      <c r="V418" s="17"/>
      <c r="W418" s="5" t="n">
        <f>$E418+15</f>
        <v>139</v>
      </c>
      <c r="X418" s="17"/>
      <c r="Y418" s="3" t="n">
        <f>$E418+17</f>
        <v>141</v>
      </c>
      <c r="Z418" s="17"/>
      <c r="AA418" s="5" t="n">
        <f>$E418+19</f>
        <v>143</v>
      </c>
      <c r="AB418" s="17"/>
      <c r="AC418" s="3" t="n">
        <f>$E418+21</f>
        <v>145</v>
      </c>
      <c r="AD418" s="17"/>
      <c r="AE418" s="5" t="n">
        <f>$E418+24</f>
        <v>148</v>
      </c>
      <c r="AF418" s="17"/>
      <c r="AG418" s="3" t="n">
        <f>$E418+27</f>
        <v>151</v>
      </c>
      <c r="AH418" s="17"/>
    </row>
    <row r="419" ht="28" customHeight="1">
      <c r="A419" s="2" t="n">
        <v>429</v>
      </c>
      <c r="B419" s="16" t="str">
        <v>D. Forlán</v>
      </c>
      <c r="C419" s="16" t="str">
        <v>PRIME</v>
      </c>
      <c r="D419" s="2" t="str">
        <v>ST</v>
      </c>
      <c r="E419" s="2" t="n">
        <v>124</v>
      </c>
      <c r="F419" s="2" t="str">
        <v>Uruguay</v>
      </c>
      <c r="G419" s="2" t="str">
        <v>Atlético</v>
      </c>
      <c r="H419" s="2" t="n">
        <v>33</v>
      </c>
      <c r="I419" s="3" t="n">
        <f>$E419+0</f>
        <v>124</v>
      </c>
      <c r="J419" s="17">
        <v>6620000000</v>
      </c>
      <c r="L419" s="17"/>
      <c r="M419" s="3" t="n">
        <f>$E419+2</f>
        <v>126</v>
      </c>
      <c r="N419" s="17"/>
      <c r="O419" s="5" t="n">
        <f>$E419+4</f>
        <v>128</v>
      </c>
      <c r="P419" s="17"/>
      <c r="Q419" s="3" t="n">
        <f>$E419+6</f>
        <v>130</v>
      </c>
      <c r="R419" s="17"/>
      <c r="S419" s="5" t="n">
        <f>$E419+8</f>
        <v>132</v>
      </c>
      <c r="T419" s="17"/>
      <c r="U419" s="3" t="n">
        <f>$E419+11</f>
        <v>135</v>
      </c>
      <c r="V419" s="17"/>
      <c r="W419" s="5" t="n">
        <f>$E419+15</f>
        <v>139</v>
      </c>
      <c r="X419" s="17"/>
      <c r="Y419" s="3" t="n">
        <f>$E419+17</f>
        <v>141</v>
      </c>
      <c r="Z419" s="17"/>
      <c r="AA419" s="5" t="n">
        <f>$E419+19</f>
        <v>143</v>
      </c>
      <c r="AB419" s="17"/>
      <c r="AC419" s="3" t="n">
        <f>$E419+21</f>
        <v>145</v>
      </c>
      <c r="AD419" s="17"/>
      <c r="AE419" s="5" t="n">
        <f>$E419+24</f>
        <v>148</v>
      </c>
      <c r="AF419" s="17"/>
      <c r="AG419" s="3" t="n">
        <f>$E419+27</f>
        <v>151</v>
      </c>
      <c r="AH419" s="17"/>
    </row>
    <row r="420" ht="28" customHeight="1">
      <c r="A420" s="2" t="n">
        <v>430</v>
      </c>
      <c r="B420" s="16" t="str">
        <v>C. Tévez</v>
      </c>
      <c r="C420" s="16" t="str">
        <v>PRIME</v>
      </c>
      <c r="D420" s="2" t="str">
        <v>ST</v>
      </c>
      <c r="E420" s="2" t="n">
        <v>123</v>
      </c>
      <c r="F420" s="2" t="str">
        <v>Argentina</v>
      </c>
      <c r="G420" s="2" t="str">
        <v>Manchester Xanh</v>
      </c>
      <c r="H420" s="2" t="n">
        <v>32</v>
      </c>
      <c r="I420" s="3" t="n">
        <f>$E420+0</f>
        <v>123</v>
      </c>
      <c r="J420" s="17">
        <v>7930000000</v>
      </c>
      <c r="L420" s="17"/>
      <c r="M420" s="3" t="n">
        <f>$E420+2</f>
        <v>125</v>
      </c>
      <c r="N420" s="17"/>
      <c r="O420" s="5" t="n">
        <f>$E420+4</f>
        <v>127</v>
      </c>
      <c r="P420" s="17"/>
      <c r="Q420" s="3" t="n">
        <f>$E420+6</f>
        <v>129</v>
      </c>
      <c r="R420" s="17"/>
      <c r="S420" s="5" t="n">
        <f>$E420+8</f>
        <v>131</v>
      </c>
      <c r="T420" s="17"/>
      <c r="U420" s="3" t="n">
        <f>$E420+11</f>
        <v>134</v>
      </c>
      <c r="V420" s="17"/>
      <c r="W420" s="5" t="n">
        <f>$E420+15</f>
        <v>138</v>
      </c>
      <c r="X420" s="17"/>
      <c r="Y420" s="3" t="n">
        <f>$E420+17</f>
        <v>140</v>
      </c>
      <c r="Z420" s="17"/>
      <c r="AA420" s="5" t="n">
        <f>$E420+19</f>
        <v>142</v>
      </c>
      <c r="AB420" s="17"/>
      <c r="AC420" s="3" t="n">
        <f>$E420+21</f>
        <v>144</v>
      </c>
      <c r="AD420" s="17"/>
      <c r="AE420" s="5" t="n">
        <f>$E420+24</f>
        <v>147</v>
      </c>
      <c r="AF420" s="17"/>
      <c r="AG420" s="3" t="n">
        <f>$E420+27</f>
        <v>150</v>
      </c>
      <c r="AH420" s="17"/>
    </row>
    <row r="421" ht="28" customHeight="1">
      <c r="A421" s="2" t="n">
        <v>431</v>
      </c>
      <c r="B421" s="16" t="str">
        <v>João Cancelo</v>
      </c>
      <c r="C421" s="16" t="str">
        <v>PRIME</v>
      </c>
      <c r="D421" s="2" t="str">
        <v>LB</v>
      </c>
      <c r="E421" s="2" t="n">
        <v>123</v>
      </c>
      <c r="F421" s="2" t="str">
        <v>Bồ Đào Nha</v>
      </c>
      <c r="G421" s="2" t="str">
        <v>Al Hilal</v>
      </c>
      <c r="H421" s="2" t="n">
        <v>30</v>
      </c>
      <c r="I421" s="3" t="n">
        <f>$E421+0</f>
        <v>123</v>
      </c>
      <c r="J421" s="17">
        <v>2540000000</v>
      </c>
      <c r="L421" s="17"/>
      <c r="M421" s="3" t="n">
        <f>$E421+2</f>
        <v>125</v>
      </c>
      <c r="N421" s="17"/>
      <c r="O421" s="5" t="n">
        <f>$E421+4</f>
        <v>127</v>
      </c>
      <c r="P421" s="17"/>
      <c r="Q421" s="3" t="n">
        <f>$E421+6</f>
        <v>129</v>
      </c>
      <c r="R421" s="17"/>
      <c r="S421" s="5" t="n">
        <f>$E421+8</f>
        <v>131</v>
      </c>
      <c r="T421" s="17"/>
      <c r="U421" s="3" t="n">
        <f>$E421+11</f>
        <v>134</v>
      </c>
      <c r="V421" s="17"/>
      <c r="W421" s="5" t="n">
        <f>$E421+15</f>
        <v>138</v>
      </c>
      <c r="X421" s="17"/>
      <c r="Y421" s="3" t="n">
        <f>$E421+17</f>
        <v>140</v>
      </c>
      <c r="Z421" s="17"/>
      <c r="AA421" s="5" t="n">
        <f>$E421+19</f>
        <v>142</v>
      </c>
      <c r="AB421" s="17"/>
      <c r="AC421" s="3" t="n">
        <f>$E421+21</f>
        <v>144</v>
      </c>
      <c r="AD421" s="17"/>
      <c r="AE421" s="5" t="n">
        <f>$E421+24</f>
        <v>147</v>
      </c>
      <c r="AF421" s="17"/>
      <c r="AG421" s="3" t="n">
        <f>$E421+27</f>
        <v>150</v>
      </c>
      <c r="AH421" s="17"/>
    </row>
    <row r="422" ht="28" customHeight="1">
      <c r="A422" s="2" t="n">
        <v>432</v>
      </c>
      <c r="B422" s="16" t="str">
        <v>Guti</v>
      </c>
      <c r="C422" s="16" t="str">
        <v>PRIME</v>
      </c>
      <c r="D422" s="2" t="str">
        <v>CAM</v>
      </c>
      <c r="E422" s="2" t="n">
        <v>123</v>
      </c>
      <c r="F422" s="2" t="str">
        <v>Tây Ban Nha</v>
      </c>
      <c r="G422" s="2" t="str">
        <v>Madrid</v>
      </c>
      <c r="H422" s="2" t="n">
        <v>32</v>
      </c>
      <c r="I422" s="3" t="n">
        <f>$E422+0</f>
        <v>123</v>
      </c>
      <c r="J422" s="17">
        <v>1210000000</v>
      </c>
      <c r="L422" s="17"/>
      <c r="M422" s="3" t="n">
        <f>$E422+2</f>
        <v>125</v>
      </c>
      <c r="N422" s="17"/>
      <c r="O422" s="5" t="n">
        <f>$E422+4</f>
        <v>127</v>
      </c>
      <c r="P422" s="17"/>
      <c r="Q422" s="3" t="n">
        <f>$E422+6</f>
        <v>129</v>
      </c>
      <c r="R422" s="17"/>
      <c r="S422" s="5" t="n">
        <f>$E422+8</f>
        <v>131</v>
      </c>
      <c r="T422" s="17"/>
      <c r="U422" s="3" t="n">
        <f>$E422+11</f>
        <v>134</v>
      </c>
      <c r="V422" s="17"/>
      <c r="W422" s="5" t="n">
        <f>$E422+15</f>
        <v>138</v>
      </c>
      <c r="X422" s="17"/>
      <c r="Y422" s="3" t="n">
        <f>$E422+17</f>
        <v>140</v>
      </c>
      <c r="Z422" s="17"/>
      <c r="AA422" s="5" t="n">
        <f>$E422+19</f>
        <v>142</v>
      </c>
      <c r="AB422" s="17"/>
      <c r="AC422" s="3" t="n">
        <f>$E422+21</f>
        <v>144</v>
      </c>
      <c r="AD422" s="17"/>
      <c r="AE422" s="5" t="n">
        <f>$E422+24</f>
        <v>147</v>
      </c>
      <c r="AF422" s="17"/>
      <c r="AG422" s="3" t="n">
        <f>$E422+27</f>
        <v>150</v>
      </c>
      <c r="AH422" s="17"/>
    </row>
    <row r="423" ht="28" customHeight="1">
      <c r="A423" s="2" t="n">
        <v>433</v>
      </c>
      <c r="B423" s="16" t="str">
        <v>Nguyễn Xuân Son</v>
      </c>
      <c r="C423" s="16" t="str">
        <v>PRIME</v>
      </c>
      <c r="D423" s="2" t="str">
        <v>ST</v>
      </c>
      <c r="E423" s="2" t="n">
        <v>120</v>
      </c>
      <c r="F423" s="2" t="str">
        <v>Việt Nam</v>
      </c>
      <c r="G423" s="2" t="str">
        <v>Việt Nam</v>
      </c>
      <c r="H423" s="2" t="n">
        <v>30</v>
      </c>
      <c r="I423" s="3" t="n">
        <f>$E423+0</f>
        <v>120</v>
      </c>
      <c r="J423" s="17"/>
      <c r="K423" s="5" t="n">
        <f>$E423+1</f>
        <v>121</v>
      </c>
      <c r="L423" s="17"/>
      <c r="M423" s="3" t="n">
        <f>$E423+2</f>
        <v>122</v>
      </c>
      <c r="N423" s="17"/>
      <c r="O423" s="5" t="n">
        <f>$E423+4</f>
        <v>124</v>
      </c>
      <c r="P423" s="17"/>
      <c r="Q423" s="3" t="n">
        <f>$E423+6</f>
        <v>126</v>
      </c>
      <c r="R423" s="17"/>
      <c r="S423" s="5" t="n">
        <f>$E423+8</f>
        <v>128</v>
      </c>
      <c r="T423" s="17"/>
      <c r="U423" s="3" t="n">
        <f>$E423+11</f>
        <v>131</v>
      </c>
      <c r="V423" s="17"/>
      <c r="W423" s="5" t="n">
        <f>$E423+15</f>
        <v>135</v>
      </c>
      <c r="X423" s="17"/>
      <c r="Y423" s="3" t="n">
        <f>$E423+17</f>
        <v>137</v>
      </c>
      <c r="Z423" s="17"/>
      <c r="AA423" s="5" t="n">
        <f>$E423+19</f>
        <v>139</v>
      </c>
      <c r="AB423" s="17"/>
      <c r="AC423" s="3" t="n">
        <f>$E423+21</f>
        <v>141</v>
      </c>
      <c r="AD423" s="17"/>
      <c r="AE423" s="5" t="n">
        <f>$E423+24</f>
        <v>144</v>
      </c>
      <c r="AF423" s="17"/>
      <c r="AG423" s="3" t="n">
        <f>$E423+27</f>
        <v>147</v>
      </c>
      <c r="AH423" s="17"/>
    </row>
    <row r="424" ht="28" customHeight="1">
      <c r="A424" s="2" t="n">
        <v>434</v>
      </c>
      <c r="B424" s="16" t="str">
        <v>Nguyễn Công Phượng</v>
      </c>
      <c r="C424" s="16" t="str">
        <v>PRIME</v>
      </c>
      <c r="D424" s="2" t="str">
        <v>CF</v>
      </c>
      <c r="E424" s="2" t="n">
        <v>119</v>
      </c>
      <c r="F424" s="2" t="str">
        <v>Việt Nam</v>
      </c>
      <c r="G424" s="2" t="str">
        <v>Việt Nam</v>
      </c>
      <c r="H424" s="2" t="n">
        <v>29</v>
      </c>
      <c r="I424" s="3" t="n">
        <f>$E424+0</f>
        <v>119</v>
      </c>
      <c r="J424" s="17"/>
      <c r="K424" s="5" t="n">
        <f>$E424+1</f>
        <v>120</v>
      </c>
      <c r="L424" s="17"/>
      <c r="M424" s="3" t="n">
        <f>$E424+2</f>
        <v>121</v>
      </c>
      <c r="N424" s="17"/>
      <c r="O424" s="5" t="n">
        <f>$E424+4</f>
        <v>123</v>
      </c>
      <c r="P424" s="17"/>
      <c r="Q424" s="3" t="n">
        <f>$E424+6</f>
        <v>125</v>
      </c>
      <c r="R424" s="17"/>
      <c r="S424" s="5" t="n">
        <f>$E424+8</f>
        <v>127</v>
      </c>
      <c r="T424" s="17"/>
      <c r="U424" s="3" t="n">
        <f>$E424+11</f>
        <v>130</v>
      </c>
      <c r="V424" s="17"/>
      <c r="W424" s="5" t="n">
        <f>$E424+15</f>
        <v>134</v>
      </c>
      <c r="X424" s="17"/>
      <c r="Y424" s="3" t="n">
        <f>$E424+17</f>
        <v>136</v>
      </c>
      <c r="Z424" s="17"/>
      <c r="AA424" s="5" t="n">
        <f>$E424+19</f>
        <v>138</v>
      </c>
      <c r="AB424" s="17"/>
      <c r="AC424" s="3" t="n">
        <f>$E424+21</f>
        <v>140</v>
      </c>
      <c r="AD424" s="17"/>
      <c r="AE424" s="5" t="n">
        <f>$E424+24</f>
        <v>143</v>
      </c>
      <c r="AF424" s="17"/>
      <c r="AG424" s="3" t="n">
        <f>$E424+27</f>
        <v>146</v>
      </c>
      <c r="AH424" s="17"/>
    </row>
    <row r="425" ht="28" customHeight="1">
      <c r="A425" s="2" t="n">
        <v>435</v>
      </c>
      <c r="B425" s="16" t="str">
        <v>Lê Huỳnh Đức</v>
      </c>
      <c r="C425" s="16" t="str">
        <v>PRIME</v>
      </c>
      <c r="D425" s="2" t="str">
        <v>ST</v>
      </c>
      <c r="E425" s="2" t="n">
        <v>122</v>
      </c>
      <c r="F425" s="2" t="str">
        <v>Việt Nam</v>
      </c>
      <c r="G425" s="2" t="str">
        <v>Việt Nam</v>
      </c>
      <c r="H425" s="2" t="n">
        <v>31</v>
      </c>
      <c r="I425" s="3" t="n">
        <f>$E425+0</f>
        <v>122</v>
      </c>
      <c r="J425" s="17"/>
      <c r="K425" s="5" t="n">
        <f>$E425+1</f>
        <v>123</v>
      </c>
      <c r="L425" s="17"/>
      <c r="M425" s="3" t="n">
        <f>$E425+2</f>
        <v>124</v>
      </c>
      <c r="N425" s="17"/>
      <c r="O425" s="5" t="n">
        <f>$E425+4</f>
        <v>126</v>
      </c>
      <c r="P425" s="17"/>
      <c r="Q425" s="3" t="n">
        <f>$E425+6</f>
        <v>128</v>
      </c>
      <c r="R425" s="17"/>
      <c r="S425" s="5" t="n">
        <f>$E425+8</f>
        <v>130</v>
      </c>
      <c r="T425" s="17"/>
      <c r="U425" s="3" t="n">
        <f>$E425+11</f>
        <v>133</v>
      </c>
      <c r="V425" s="17"/>
      <c r="W425" s="5" t="n">
        <f>$E425+15</f>
        <v>137</v>
      </c>
      <c r="X425" s="17"/>
      <c r="Y425" s="3" t="n">
        <f>$E425+17</f>
        <v>139</v>
      </c>
      <c r="Z425" s="17"/>
      <c r="AA425" s="5" t="n">
        <f>$E425+19</f>
        <v>141</v>
      </c>
      <c r="AB425" s="17"/>
      <c r="AC425" s="3" t="n">
        <f>$E425+21</f>
        <v>143</v>
      </c>
      <c r="AD425" s="17"/>
      <c r="AE425" s="5" t="n">
        <f>$E425+24</f>
        <v>146</v>
      </c>
      <c r="AF425" s="17"/>
      <c r="AG425" s="3" t="n">
        <f>$E425+27</f>
        <v>149</v>
      </c>
      <c r="AH425" s="17"/>
    </row>
    <row r="426" ht="28" customHeight="1">
      <c r="A426" s="2" t="n">
        <v>436</v>
      </c>
      <c r="B426" s="16" t="str">
        <v>Nguyễn Hoàng Đức</v>
      </c>
      <c r="C426" s="16" t="str">
        <v>PRIME</v>
      </c>
      <c r="D426" s="2" t="str">
        <v>CM</v>
      </c>
      <c r="E426" s="2" t="n">
        <v>121</v>
      </c>
      <c r="F426" s="2" t="str">
        <v>Việt Nam</v>
      </c>
      <c r="G426" s="2" t="str">
        <v>Việt Nam</v>
      </c>
      <c r="H426" s="2" t="n">
        <v>31</v>
      </c>
      <c r="I426" s="3" t="n">
        <f>$E426+0</f>
        <v>121</v>
      </c>
      <c r="J426" s="17"/>
      <c r="K426" s="5" t="n">
        <f>$E426+1</f>
        <v>122</v>
      </c>
      <c r="L426" s="17"/>
      <c r="M426" s="3" t="n">
        <f>$E426+2</f>
        <v>123</v>
      </c>
      <c r="N426" s="17"/>
      <c r="O426" s="5" t="n">
        <f>$E426+4</f>
        <v>125</v>
      </c>
      <c r="P426" s="17"/>
      <c r="Q426" s="3" t="n">
        <f>$E426+6</f>
        <v>127</v>
      </c>
      <c r="R426" s="17"/>
      <c r="S426" s="5" t="n">
        <f>$E426+8</f>
        <v>129</v>
      </c>
      <c r="T426" s="17"/>
      <c r="U426" s="3" t="n">
        <f>$E426+11</f>
        <v>132</v>
      </c>
      <c r="V426" s="17"/>
      <c r="W426" s="5" t="n">
        <f>$E426+15</f>
        <v>136</v>
      </c>
      <c r="X426" s="17"/>
      <c r="Y426" s="3" t="n">
        <f>$E426+17</f>
        <v>138</v>
      </c>
      <c r="Z426" s="17"/>
      <c r="AA426" s="5" t="n">
        <f>$E426+19</f>
        <v>140</v>
      </c>
      <c r="AB426" s="17"/>
      <c r="AC426" s="3" t="n">
        <f>$E426+21</f>
        <v>142</v>
      </c>
      <c r="AD426" s="17"/>
      <c r="AE426" s="5" t="n">
        <f>$E426+24</f>
        <v>145</v>
      </c>
      <c r="AF426" s="17"/>
      <c r="AG426" s="3" t="n">
        <f>$E426+27</f>
        <v>148</v>
      </c>
      <c r="AH426" s="17"/>
    </row>
    <row r="427" ht="28" customHeight="1">
      <c r="A427" s="2" t="n">
        <v>437</v>
      </c>
      <c r="B427" s="16" t="str">
        <v>T. Müller</v>
      </c>
      <c r="C427" s="16" t="str">
        <v>PRIME</v>
      </c>
      <c r="D427" s="2" t="str">
        <v>CF</v>
      </c>
      <c r="E427" s="2" t="n">
        <v>124</v>
      </c>
      <c r="F427" s="2" t="str">
        <v>Đức</v>
      </c>
      <c r="G427" s="2" t="str">
        <v>Vancouver Whitecaps</v>
      </c>
      <c r="H427" s="2" t="n">
        <v>33</v>
      </c>
      <c r="I427" s="3" t="n">
        <f>$E427+0</f>
        <v>124</v>
      </c>
      <c r="J427" s="17">
        <v>11600000000</v>
      </c>
      <c r="L427" s="17"/>
      <c r="M427" s="3" t="n">
        <f>$E427+2</f>
        <v>126</v>
      </c>
      <c r="N427" s="17"/>
      <c r="O427" s="5" t="n">
        <f>$E427+4</f>
        <v>128</v>
      </c>
      <c r="P427" s="17"/>
      <c r="Q427" s="3" t="n">
        <f>$E427+6</f>
        <v>130</v>
      </c>
      <c r="R427" s="17"/>
      <c r="S427" s="5" t="n">
        <f>$E427+8</f>
        <v>132</v>
      </c>
      <c r="T427" s="17"/>
      <c r="U427" s="3" t="n">
        <f>$E427+11</f>
        <v>135</v>
      </c>
      <c r="V427" s="17"/>
      <c r="W427" s="5" t="n">
        <f>$E427+15</f>
        <v>139</v>
      </c>
      <c r="X427" s="17"/>
      <c r="Y427" s="3" t="n">
        <f>$E427+17</f>
        <v>141</v>
      </c>
      <c r="Z427" s="17"/>
      <c r="AA427" s="5" t="n">
        <f>$E427+19</f>
        <v>143</v>
      </c>
      <c r="AB427" s="17"/>
      <c r="AC427" s="3" t="n">
        <f>$E427+21</f>
        <v>145</v>
      </c>
      <c r="AD427" s="17"/>
      <c r="AE427" s="5" t="n">
        <f>$E427+24</f>
        <v>148</v>
      </c>
      <c r="AF427" s="17"/>
      <c r="AG427" s="3" t="n">
        <f>$E427+27</f>
        <v>151</v>
      </c>
      <c r="AH427" s="17"/>
    </row>
    <row r="428" ht="28" customHeight="1">
      <c r="A428" s="2" t="n">
        <v>438</v>
      </c>
      <c r="B428" s="16" t="str">
        <v>H. Son</v>
      </c>
      <c r="C428" s="16" t="str">
        <v>PRIME</v>
      </c>
      <c r="D428" s="2" t="str">
        <v>LW</v>
      </c>
      <c r="E428" s="2" t="n">
        <v>124</v>
      </c>
      <c r="F428" s="2" t="str">
        <v>Hàn Quốc</v>
      </c>
      <c r="G428" s="2" t="str">
        <v>LAFC</v>
      </c>
      <c r="H428" s="2" t="n">
        <v>33</v>
      </c>
      <c r="I428" s="3" t="n">
        <f>$E428+0</f>
        <v>124</v>
      </c>
      <c r="J428" s="17">
        <v>4160000000</v>
      </c>
      <c r="L428" s="17"/>
      <c r="M428" s="3" t="n">
        <f>$E428+2</f>
        <v>126</v>
      </c>
      <c r="N428" s="17"/>
      <c r="O428" s="5" t="n">
        <f>$E428+4</f>
        <v>128</v>
      </c>
      <c r="P428" s="17"/>
      <c r="Q428" s="3" t="n">
        <f>$E428+6</f>
        <v>130</v>
      </c>
      <c r="R428" s="17"/>
      <c r="S428" s="5" t="n">
        <f>$E428+8</f>
        <v>132</v>
      </c>
      <c r="T428" s="17"/>
      <c r="U428" s="3" t="n">
        <f>$E428+11</f>
        <v>135</v>
      </c>
      <c r="V428" s="17"/>
      <c r="W428" s="5" t="n">
        <f>$E428+15</f>
        <v>139</v>
      </c>
      <c r="X428" s="17"/>
      <c r="Y428" s="3" t="n">
        <f>$E428+17</f>
        <v>141</v>
      </c>
      <c r="Z428" s="17"/>
      <c r="AA428" s="5" t="n">
        <f>$E428+19</f>
        <v>143</v>
      </c>
      <c r="AB428" s="17"/>
      <c r="AC428" s="3" t="n">
        <f>$E428+21</f>
        <v>145</v>
      </c>
      <c r="AD428" s="17"/>
      <c r="AE428" s="5" t="n">
        <f>$E428+24</f>
        <v>148</v>
      </c>
      <c r="AF428" s="17"/>
      <c r="AG428" s="3" t="n">
        <f>$E428+27</f>
        <v>151</v>
      </c>
      <c r="AH428" s="17"/>
    </row>
    <row r="429" ht="28" customHeight="1">
      <c r="A429" s="2" t="n">
        <v>439</v>
      </c>
      <c r="B429" s="16" t="str">
        <v>S. Mané</v>
      </c>
      <c r="C429" s="16" t="str">
        <v>PRIME</v>
      </c>
      <c r="D429" s="2" t="str">
        <v>LW</v>
      </c>
      <c r="E429" s="2" t="n">
        <v>124</v>
      </c>
      <c r="F429" s="2" t="str">
        <v>Senegal</v>
      </c>
      <c r="G429" s="2" t="str">
        <v>Al Nassr</v>
      </c>
      <c r="H429" s="2" t="n">
        <v>33</v>
      </c>
      <c r="I429" s="3" t="n">
        <f>$E429+0</f>
        <v>124</v>
      </c>
      <c r="J429" s="17">
        <v>4810000000</v>
      </c>
      <c r="L429" s="17"/>
      <c r="M429" s="3" t="n">
        <f>$E429+2</f>
        <v>126</v>
      </c>
      <c r="N429" s="17"/>
      <c r="O429" s="5" t="n">
        <f>$E429+4</f>
        <v>128</v>
      </c>
      <c r="P429" s="17"/>
      <c r="Q429" s="3" t="n">
        <f>$E429+6</f>
        <v>130</v>
      </c>
      <c r="R429" s="17"/>
      <c r="S429" s="5" t="n">
        <f>$E429+8</f>
        <v>132</v>
      </c>
      <c r="T429" s="17"/>
      <c r="U429" s="3" t="n">
        <f>$E429+11</f>
        <v>135</v>
      </c>
      <c r="V429" s="17"/>
      <c r="W429" s="5" t="n">
        <f>$E429+15</f>
        <v>139</v>
      </c>
      <c r="X429" s="17"/>
      <c r="Y429" s="3" t="n">
        <f>$E429+17</f>
        <v>141</v>
      </c>
      <c r="Z429" s="17"/>
      <c r="AA429" s="5" t="n">
        <f>$E429+19</f>
        <v>143</v>
      </c>
      <c r="AB429" s="17"/>
      <c r="AC429" s="3" t="n">
        <f>$E429+21</f>
        <v>145</v>
      </c>
      <c r="AD429" s="17"/>
      <c r="AE429" s="5" t="n">
        <f>$E429+24</f>
        <v>148</v>
      </c>
      <c r="AF429" s="17"/>
      <c r="AG429" s="3" t="n">
        <f>$E429+27</f>
        <v>151</v>
      </c>
      <c r="AH429" s="17"/>
    </row>
    <row r="430" ht="28" customHeight="1">
      <c r="A430" s="2" t="n">
        <v>440</v>
      </c>
      <c r="B430" s="16" t="str">
        <v>K. Benzema</v>
      </c>
      <c r="C430" s="16" t="str">
        <v>PRIME</v>
      </c>
      <c r="D430" s="2" t="str">
        <v>CF</v>
      </c>
      <c r="E430" s="2" t="n">
        <v>125</v>
      </c>
      <c r="F430" s="2" t="str">
        <v>Pháp</v>
      </c>
      <c r="G430" s="2" t="str">
        <v>Al Ittihad</v>
      </c>
      <c r="H430" s="2" t="n">
        <v>34</v>
      </c>
      <c r="I430" s="3" t="n">
        <f>$E430+0</f>
        <v>125</v>
      </c>
      <c r="J430" s="17">
        <v>8360000000</v>
      </c>
      <c r="L430" s="17"/>
      <c r="M430" s="3" t="n">
        <f>$E430+2</f>
        <v>127</v>
      </c>
      <c r="N430" s="17"/>
      <c r="O430" s="5" t="n">
        <f>$E430+4</f>
        <v>129</v>
      </c>
      <c r="P430" s="17"/>
      <c r="Q430" s="3" t="n">
        <f>$E430+6</f>
        <v>131</v>
      </c>
      <c r="R430" s="17"/>
      <c r="S430" s="5" t="n">
        <f>$E430+8</f>
        <v>133</v>
      </c>
      <c r="T430" s="17"/>
      <c r="U430" s="3" t="n">
        <f>$E430+11</f>
        <v>136</v>
      </c>
      <c r="V430" s="17"/>
      <c r="W430" s="5" t="n">
        <f>$E430+15</f>
        <v>140</v>
      </c>
      <c r="X430" s="17"/>
      <c r="Y430" s="3" t="n">
        <f>$E430+17</f>
        <v>142</v>
      </c>
      <c r="Z430" s="17"/>
      <c r="AA430" s="5" t="n">
        <f>$E430+19</f>
        <v>144</v>
      </c>
      <c r="AB430" s="17"/>
      <c r="AC430" s="3" t="n">
        <f>$E430+21</f>
        <v>146</v>
      </c>
      <c r="AD430" s="17"/>
      <c r="AE430" s="5" t="n">
        <f>$E430+24</f>
        <v>149</v>
      </c>
      <c r="AF430" s="17"/>
      <c r="AG430" s="3" t="n">
        <f>$E430+27</f>
        <v>152</v>
      </c>
      <c r="AH430" s="17"/>
    </row>
    <row r="431" ht="28" customHeight="1">
      <c r="A431" s="2" t="n">
        <v>441</v>
      </c>
      <c r="B431" s="16" t="str">
        <v>Cristiano Ronaldo</v>
      </c>
      <c r="C431" s="16" t="str">
        <v>PRIME</v>
      </c>
      <c r="D431" s="2" t="str">
        <v>ST</v>
      </c>
      <c r="E431" s="2" t="n">
        <v>126</v>
      </c>
      <c r="F431" s="2" t="str">
        <v>Bồ Đào Nha</v>
      </c>
      <c r="G431" s="2" t="str">
        <v>Al Nassr</v>
      </c>
      <c r="H431" s="2" t="n">
        <v>35</v>
      </c>
      <c r="I431" s="3" t="n">
        <f>$E431+0</f>
        <v>126</v>
      </c>
      <c r="J431" s="17">
        <v>30500000000</v>
      </c>
      <c r="L431" s="17"/>
      <c r="M431" s="3" t="n">
        <f>$E431+2</f>
        <v>128</v>
      </c>
      <c r="N431" s="17"/>
      <c r="O431" s="5" t="n">
        <f>$E431+4</f>
        <v>130</v>
      </c>
      <c r="P431" s="17"/>
      <c r="Q431" s="3" t="n">
        <f>$E431+6</f>
        <v>132</v>
      </c>
      <c r="R431" s="17"/>
      <c r="S431" s="5" t="n">
        <f>$E431+8</f>
        <v>134</v>
      </c>
      <c r="T431" s="17"/>
      <c r="U431" s="3" t="n">
        <f>$E431+11</f>
        <v>137</v>
      </c>
      <c r="V431" s="17"/>
      <c r="W431" s="5" t="n">
        <f>$E431+15</f>
        <v>141</v>
      </c>
      <c r="X431" s="17"/>
      <c r="Y431" s="3" t="n">
        <f>$E431+17</f>
        <v>143</v>
      </c>
      <c r="Z431" s="17"/>
      <c r="AA431" s="5" t="n">
        <f>$E431+19</f>
        <v>145</v>
      </c>
      <c r="AB431" s="17"/>
      <c r="AC431" s="3" t="n">
        <f>$E431+21</f>
        <v>147</v>
      </c>
      <c r="AD431" s="17"/>
      <c r="AE431" s="5" t="n">
        <f>$E431+24</f>
        <v>150</v>
      </c>
      <c r="AF431" s="17"/>
      <c r="AG431" s="3" t="n">
        <f>$E431+27</f>
        <v>153</v>
      </c>
      <c r="AH431" s="17"/>
    </row>
    <row r="432" ht="28" customHeight="1">
      <c r="A432" s="2" t="n">
        <v>442</v>
      </c>
      <c r="B432" s="16" t="str">
        <v>L. Messi</v>
      </c>
      <c r="C432" s="16" t="str">
        <v>PRIME</v>
      </c>
      <c r="D432" s="2" t="str">
        <v>CAM</v>
      </c>
      <c r="E432" s="2" t="n">
        <v>126</v>
      </c>
      <c r="F432" s="2" t="str">
        <v>Argentina</v>
      </c>
      <c r="G432" s="2" t="str">
        <v>Inter Miami</v>
      </c>
      <c r="H432" s="2" t="n">
        <v>35</v>
      </c>
      <c r="I432" s="3" t="n">
        <f>$E432+0</f>
        <v>126</v>
      </c>
      <c r="J432" s="17">
        <v>20400000000</v>
      </c>
      <c r="L432" s="17"/>
      <c r="M432" s="3" t="n">
        <f>$E432+2</f>
        <v>128</v>
      </c>
      <c r="N432" s="17"/>
      <c r="O432" s="5" t="n">
        <f>$E432+4</f>
        <v>130</v>
      </c>
      <c r="P432" s="17"/>
      <c r="Q432" s="3" t="n">
        <f>$E432+6</f>
        <v>132</v>
      </c>
      <c r="R432" s="17"/>
      <c r="S432" s="5" t="n">
        <f>$E432+8</f>
        <v>134</v>
      </c>
      <c r="T432" s="17"/>
      <c r="U432" s="3" t="n">
        <f>$E432+11</f>
        <v>137</v>
      </c>
      <c r="V432" s="17"/>
      <c r="W432" s="5" t="n">
        <f>$E432+15</f>
        <v>141</v>
      </c>
      <c r="X432" s="17"/>
      <c r="Y432" s="3" t="n">
        <f>$E432+17</f>
        <v>143</v>
      </c>
      <c r="Z432" s="17"/>
      <c r="AA432" s="5" t="n">
        <f>$E432+19</f>
        <v>145</v>
      </c>
      <c r="AB432" s="17"/>
      <c r="AC432" s="3" t="n">
        <f>$E432+21</f>
        <v>147</v>
      </c>
      <c r="AD432" s="17"/>
      <c r="AE432" s="5" t="n">
        <f>$E432+24</f>
        <v>150</v>
      </c>
      <c r="AF432" s="17"/>
      <c r="AG432" s="3" t="n">
        <f>$E432+27</f>
        <v>153</v>
      </c>
      <c r="AH432" s="17"/>
    </row>
    <row r="433" ht="28" customHeight="1">
      <c r="A433" s="2" t="n">
        <v>443</v>
      </c>
      <c r="B433" s="16" t="str">
        <v>S. Gnabry</v>
      </c>
      <c r="C433" s="16" t="str">
        <v>MEDALIST</v>
      </c>
      <c r="D433" s="2" t="str">
        <v>LW</v>
      </c>
      <c r="E433" s="2" t="n">
        <v>114</v>
      </c>
      <c r="F433" s="2" t="str">
        <v>Đức</v>
      </c>
      <c r="G433" s="2" t="str">
        <v>Bayern</v>
      </c>
      <c r="H433" s="2" t="n">
        <v>28</v>
      </c>
      <c r="I433" s="3" t="n">
        <f>$E433+0</f>
        <v>114</v>
      </c>
      <c r="J433" s="18">
        <v>179000</v>
      </c>
      <c r="L433" s="18"/>
      <c r="M433" s="3" t="n">
        <f>$E433+2</f>
        <v>116</v>
      </c>
      <c r="N433" s="18"/>
      <c r="O433" s="5" t="n">
        <f>$E433+4</f>
        <v>118</v>
      </c>
      <c r="P433" s="18"/>
      <c r="Q433" s="3" t="n">
        <f>$E433+6</f>
        <v>120</v>
      </c>
      <c r="R433" s="18"/>
      <c r="S433" s="5" t="n">
        <f>$E433+8</f>
        <v>122</v>
      </c>
      <c r="T433" s="18"/>
      <c r="U433" s="3" t="n">
        <f>$E433+11</f>
        <v>125</v>
      </c>
      <c r="V433" s="18"/>
      <c r="W433" s="5" t="n">
        <f>$E433+15</f>
        <v>129</v>
      </c>
      <c r="X433" s="18"/>
      <c r="Y433" s="3" t="n">
        <f>$E433+17</f>
        <v>131</v>
      </c>
      <c r="Z433" s="18"/>
      <c r="AA433" s="5" t="n">
        <f>$E433+19</f>
        <v>133</v>
      </c>
      <c r="AB433" s="18"/>
      <c r="AC433" s="3" t="n">
        <f>$E433+21</f>
        <v>135</v>
      </c>
      <c r="AD433" s="18"/>
      <c r="AE433" s="5" t="n">
        <f>$E433+24</f>
        <v>138</v>
      </c>
      <c r="AF433" s="18"/>
      <c r="AG433" s="3" t="n">
        <f>$E433+27</f>
        <v>141</v>
      </c>
      <c r="AH433" s="18"/>
    </row>
    <row r="434" ht="28" customHeight="1">
      <c r="A434" s="2" t="n">
        <v>444</v>
      </c>
      <c r="B434" s="16" t="str">
        <v>Ji Dong Won</v>
      </c>
      <c r="C434" s="16" t="str">
        <v>MEDALIST</v>
      </c>
      <c r="D434" s="2" t="str">
        <v>ST</v>
      </c>
      <c r="E434" s="2" t="n">
        <v>106</v>
      </c>
      <c r="F434" s="2" t="str">
        <v>Hàn Quốc</v>
      </c>
      <c r="G434" s="2" t="str">
        <v>Seongnam FC</v>
      </c>
      <c r="H434" s="2" t="n">
        <v>24</v>
      </c>
      <c r="I434" s="3" t="n">
        <f>$E434+0</f>
        <v>106</v>
      </c>
      <c r="J434" s="18">
        <v>29600</v>
      </c>
      <c r="L434" s="18"/>
      <c r="M434" s="3" t="n">
        <f>$E434+2</f>
        <v>108</v>
      </c>
      <c r="N434" s="18"/>
      <c r="O434" s="5" t="n">
        <f>$E434+4</f>
        <v>110</v>
      </c>
      <c r="P434" s="18"/>
      <c r="Q434" s="3" t="n">
        <f>$E434+6</f>
        <v>112</v>
      </c>
      <c r="R434" s="18"/>
      <c r="S434" s="5" t="n">
        <f>$E434+8</f>
        <v>114</v>
      </c>
      <c r="T434" s="18"/>
      <c r="U434" s="3" t="n">
        <f>$E434+11</f>
        <v>117</v>
      </c>
      <c r="V434" s="18"/>
      <c r="W434" s="5" t="n">
        <f>$E434+15</f>
        <v>121</v>
      </c>
      <c r="X434" s="18"/>
      <c r="Y434" s="3" t="n">
        <f>$E434+17</f>
        <v>123</v>
      </c>
      <c r="Z434" s="18"/>
      <c r="AA434" s="5" t="n">
        <f>$E434+19</f>
        <v>125</v>
      </c>
      <c r="AB434" s="18"/>
      <c r="AC434" s="3" t="n">
        <f>$E434+21</f>
        <v>127</v>
      </c>
      <c r="AD434" s="18"/>
      <c r="AE434" s="5" t="n">
        <f>$E434+24</f>
        <v>130</v>
      </c>
      <c r="AF434" s="18"/>
      <c r="AG434" s="3" t="n">
        <f>$E434+27</f>
        <v>133</v>
      </c>
      <c r="AH434" s="18"/>
    </row>
    <row r="435" ht="28" customHeight="1">
      <c r="A435" s="2" t="n">
        <v>445</v>
      </c>
      <c r="B435" s="16" t="str">
        <v>J. Brandt</v>
      </c>
      <c r="C435" s="16" t="str">
        <v>MEDALIST</v>
      </c>
      <c r="D435" s="2" t="str">
        <v>CAM</v>
      </c>
      <c r="E435" s="2" t="n">
        <v>114</v>
      </c>
      <c r="F435" s="2" t="str">
        <v>Đức</v>
      </c>
      <c r="G435" s="2" t="str">
        <v>Dortmund</v>
      </c>
      <c r="H435" s="2" t="n">
        <v>28</v>
      </c>
      <c r="I435" s="3" t="n">
        <f>$E435+0</f>
        <v>114</v>
      </c>
      <c r="J435" s="18">
        <v>101000</v>
      </c>
      <c r="L435" s="18"/>
      <c r="M435" s="3" t="n">
        <f>$E435+2</f>
        <v>116</v>
      </c>
      <c r="N435" s="18"/>
      <c r="O435" s="5" t="n">
        <f>$E435+4</f>
        <v>118</v>
      </c>
      <c r="P435" s="18"/>
      <c r="Q435" s="3" t="n">
        <f>$E435+6</f>
        <v>120</v>
      </c>
      <c r="R435" s="18"/>
      <c r="S435" s="5" t="n">
        <f>$E435+8</f>
        <v>122</v>
      </c>
      <c r="T435" s="18"/>
      <c r="U435" s="3" t="n">
        <f>$E435+11</f>
        <v>125</v>
      </c>
      <c r="V435" s="18"/>
      <c r="W435" s="5" t="n">
        <f>$E435+15</f>
        <v>129</v>
      </c>
      <c r="X435" s="18"/>
      <c r="Y435" s="3" t="n">
        <f>$E435+17</f>
        <v>131</v>
      </c>
      <c r="Z435" s="18"/>
      <c r="AA435" s="5" t="n">
        <f>$E435+19</f>
        <v>133</v>
      </c>
      <c r="AB435" s="18"/>
      <c r="AC435" s="3" t="n">
        <f>$E435+21</f>
        <v>135</v>
      </c>
      <c r="AD435" s="18"/>
      <c r="AE435" s="5" t="n">
        <f>$E435+24</f>
        <v>138</v>
      </c>
      <c r="AF435" s="18"/>
      <c r="AG435" s="3" t="n">
        <f>$E435+27</f>
        <v>141</v>
      </c>
      <c r="AH435" s="18"/>
    </row>
    <row r="436" ht="28" customHeight="1">
      <c r="A436" s="2" t="n">
        <v>446</v>
      </c>
      <c r="B436" s="16" t="str">
        <v>Pedri</v>
      </c>
      <c r="C436" s="16" t="str">
        <v>MEDALIST</v>
      </c>
      <c r="D436" s="2" t="str">
        <v>CAM</v>
      </c>
      <c r="E436" s="2" t="n">
        <v>113</v>
      </c>
      <c r="F436" s="2" t="str">
        <v>Tây Ban Nha</v>
      </c>
      <c r="G436" s="2" t="str">
        <v>Barcelona</v>
      </c>
      <c r="H436" s="2" t="n">
        <v>27</v>
      </c>
      <c r="I436" s="3" t="n">
        <f>$E436+0</f>
        <v>113</v>
      </c>
      <c r="J436" s="18">
        <v>75000</v>
      </c>
      <c r="L436" s="18"/>
      <c r="M436" s="3" t="n">
        <f>$E436+2</f>
        <v>115</v>
      </c>
      <c r="N436" s="18"/>
      <c r="O436" s="5" t="n">
        <f>$E436+4</f>
        <v>117</v>
      </c>
      <c r="P436" s="18"/>
      <c r="Q436" s="3" t="n">
        <f>$E436+6</f>
        <v>119</v>
      </c>
      <c r="R436" s="18"/>
      <c r="S436" s="5" t="n">
        <f>$E436+8</f>
        <v>121</v>
      </c>
      <c r="T436" s="18"/>
      <c r="U436" s="3" t="n">
        <f>$E436+11</f>
        <v>124</v>
      </c>
      <c r="V436" s="18"/>
      <c r="W436" s="5" t="n">
        <f>$E436+15</f>
        <v>128</v>
      </c>
      <c r="X436" s="18"/>
      <c r="Y436" s="3" t="n">
        <f>$E436+17</f>
        <v>130</v>
      </c>
      <c r="Z436" s="18"/>
      <c r="AA436" s="5" t="n">
        <f>$E436+19</f>
        <v>132</v>
      </c>
      <c r="AB436" s="18"/>
      <c r="AC436" s="3" t="n">
        <f>$E436+21</f>
        <v>134</v>
      </c>
      <c r="AD436" s="18"/>
      <c r="AE436" s="5" t="n">
        <f>$E436+24</f>
        <v>137</v>
      </c>
      <c r="AF436" s="18"/>
      <c r="AG436" s="3" t="n">
        <f>$E436+27</f>
        <v>140</v>
      </c>
      <c r="AH436" s="18"/>
    </row>
    <row r="437" ht="28" customHeight="1">
      <c r="A437" s="2" t="n">
        <v>447</v>
      </c>
      <c r="B437" s="16" t="str">
        <v>Park Chu Young</v>
      </c>
      <c r="C437" s="16" t="str">
        <v>MEDALIST</v>
      </c>
      <c r="D437" s="2" t="str">
        <v>ST</v>
      </c>
      <c r="E437" s="2" t="n">
        <v>107</v>
      </c>
      <c r="F437" s="2" t="str">
        <v>Hàn Quốc</v>
      </c>
      <c r="G437" s="2" t="str">
        <v>Hàn Quốc</v>
      </c>
      <c r="H437" s="2" t="n">
        <v>25</v>
      </c>
      <c r="I437" s="3" t="n">
        <f>$E437+0</f>
        <v>107</v>
      </c>
      <c r="J437" s="18">
        <v>46800</v>
      </c>
      <c r="L437" s="18"/>
      <c r="M437" s="3" t="n">
        <f>$E437+2</f>
        <v>109</v>
      </c>
      <c r="N437" s="18"/>
      <c r="O437" s="5" t="n">
        <f>$E437+4</f>
        <v>111</v>
      </c>
      <c r="P437" s="18"/>
      <c r="Q437" s="3" t="n">
        <f>$E437+6</f>
        <v>113</v>
      </c>
      <c r="R437" s="18"/>
      <c r="S437" s="5" t="n">
        <f>$E437+8</f>
        <v>115</v>
      </c>
      <c r="T437" s="18"/>
      <c r="U437" s="3" t="n">
        <f>$E437+11</f>
        <v>118</v>
      </c>
      <c r="V437" s="18"/>
      <c r="W437" s="5" t="n">
        <f>$E437+15</f>
        <v>122</v>
      </c>
      <c r="X437" s="18"/>
      <c r="Y437" s="3" t="n">
        <f>$E437+17</f>
        <v>124</v>
      </c>
      <c r="Z437" s="18"/>
      <c r="AA437" s="5" t="n">
        <f>$E437+19</f>
        <v>126</v>
      </c>
      <c r="AB437" s="18"/>
      <c r="AC437" s="3" t="n">
        <f>$E437+21</f>
        <v>128</v>
      </c>
      <c r="AD437" s="18"/>
      <c r="AE437" s="5" t="n">
        <f>$E437+24</f>
        <v>131</v>
      </c>
      <c r="AF437" s="18"/>
      <c r="AG437" s="3" t="n">
        <f>$E437+27</f>
        <v>134</v>
      </c>
      <c r="AH437" s="18"/>
    </row>
    <row r="438" ht="28" customHeight="1">
      <c r="A438" s="2" t="n">
        <v>448</v>
      </c>
      <c r="B438" s="16" t="str">
        <v>Riquelme</v>
      </c>
      <c r="C438" s="16" t="str">
        <v>MEDALIST</v>
      </c>
      <c r="D438" s="2" t="str">
        <v>CAM</v>
      </c>
      <c r="E438" s="2" t="n">
        <v>112</v>
      </c>
      <c r="F438" s="2" t="str">
        <v>Argentina</v>
      </c>
      <c r="G438" s="2" t="str">
        <v>Argentina</v>
      </c>
      <c r="H438" s="2" t="n">
        <v>26</v>
      </c>
      <c r="I438" s="3" t="n">
        <f>$E438+0</f>
        <v>112</v>
      </c>
      <c r="J438" s="18">
        <v>154000</v>
      </c>
      <c r="L438" s="18"/>
      <c r="M438" s="3" t="n">
        <f>$E438+2</f>
        <v>114</v>
      </c>
      <c r="N438" s="18"/>
      <c r="O438" s="5" t="n">
        <f>$E438+4</f>
        <v>116</v>
      </c>
      <c r="P438" s="18"/>
      <c r="Q438" s="3" t="n">
        <f>$E438+6</f>
        <v>118</v>
      </c>
      <c r="R438" s="18"/>
      <c r="S438" s="5" t="n">
        <f>$E438+8</f>
        <v>120</v>
      </c>
      <c r="T438" s="18"/>
      <c r="U438" s="3" t="n">
        <f>$E438+11</f>
        <v>123</v>
      </c>
      <c r="V438" s="18"/>
      <c r="W438" s="5" t="n">
        <f>$E438+15</f>
        <v>127</v>
      </c>
      <c r="X438" s="18"/>
      <c r="Y438" s="3" t="n">
        <f>$E438+17</f>
        <v>129</v>
      </c>
      <c r="Z438" s="18"/>
      <c r="AA438" s="5" t="n">
        <f>$E438+19</f>
        <v>131</v>
      </c>
      <c r="AB438" s="18"/>
      <c r="AC438" s="3" t="n">
        <f>$E438+21</f>
        <v>133</v>
      </c>
      <c r="AD438" s="18"/>
      <c r="AE438" s="5" t="n">
        <f>$E438+24</f>
        <v>136</v>
      </c>
      <c r="AF438" s="18"/>
      <c r="AG438" s="3" t="n">
        <f>$E438+27</f>
        <v>139</v>
      </c>
      <c r="AH438" s="18"/>
    </row>
    <row r="439" ht="28" customHeight="1">
      <c r="A439" s="2" t="n">
        <v>449</v>
      </c>
      <c r="B439" s="16" t="str">
        <v>Oyarzabal</v>
      </c>
      <c r="C439" s="16" t="str">
        <v>MEDALIST</v>
      </c>
      <c r="D439" s="2" t="str">
        <v>CF</v>
      </c>
      <c r="E439" s="2" t="n">
        <v>113</v>
      </c>
      <c r="F439" s="2" t="str">
        <v>Tây Ban Nha</v>
      </c>
      <c r="G439" s="2" t="str">
        <v>Real Sociedad</v>
      </c>
      <c r="H439" s="2" t="n">
        <v>26</v>
      </c>
      <c r="I439" s="3" t="n">
        <f>$E439+0</f>
        <v>113</v>
      </c>
      <c r="J439" s="18">
        <v>277000</v>
      </c>
      <c r="L439" s="18"/>
      <c r="M439" s="3" t="n">
        <f>$E439+2</f>
        <v>115</v>
      </c>
      <c r="N439" s="18"/>
      <c r="O439" s="5" t="n">
        <f>$E439+4</f>
        <v>117</v>
      </c>
      <c r="P439" s="18"/>
      <c r="Q439" s="3" t="n">
        <f>$E439+6</f>
        <v>119</v>
      </c>
      <c r="R439" s="18"/>
      <c r="S439" s="5" t="n">
        <f>$E439+8</f>
        <v>121</v>
      </c>
      <c r="T439" s="18"/>
      <c r="U439" s="3" t="n">
        <f>$E439+11</f>
        <v>124</v>
      </c>
      <c r="V439" s="18"/>
      <c r="W439" s="5" t="n">
        <f>$E439+15</f>
        <v>128</v>
      </c>
      <c r="X439" s="18"/>
      <c r="Y439" s="3" t="n">
        <f>$E439+17</f>
        <v>130</v>
      </c>
      <c r="Z439" s="18"/>
      <c r="AA439" s="5" t="n">
        <f>$E439+19</f>
        <v>132</v>
      </c>
      <c r="AB439" s="18"/>
      <c r="AC439" s="3" t="n">
        <f>$E439+21</f>
        <v>134</v>
      </c>
      <c r="AD439" s="18"/>
      <c r="AE439" s="5" t="n">
        <f>$E439+24</f>
        <v>137</v>
      </c>
      <c r="AF439" s="18"/>
      <c r="AG439" s="3" t="n">
        <f>$E439+27</f>
        <v>140</v>
      </c>
      <c r="AH439" s="18"/>
    </row>
    <row r="440" ht="28" customHeight="1">
      <c r="A440" s="2" t="n">
        <v>450</v>
      </c>
      <c r="B440" s="16" t="str">
        <v>U. Sadiq</v>
      </c>
      <c r="C440" s="16" t="str">
        <v>MEDALIST</v>
      </c>
      <c r="D440" s="2" t="str">
        <v>ST</v>
      </c>
      <c r="E440" s="2" t="n">
        <v>112</v>
      </c>
      <c r="F440" s="2" t="str">
        <v>Nigeria</v>
      </c>
      <c r="G440" s="2" t="str">
        <v>Real Sociedad</v>
      </c>
      <c r="H440" s="2" t="n">
        <v>26</v>
      </c>
      <c r="I440" s="3" t="n">
        <f>$E440+0</f>
        <v>112</v>
      </c>
      <c r="J440" s="18">
        <v>352000</v>
      </c>
      <c r="L440" s="18"/>
      <c r="M440" s="3" t="n">
        <f>$E440+2</f>
        <v>114</v>
      </c>
      <c r="N440" s="18"/>
      <c r="O440" s="5" t="n">
        <f>$E440+4</f>
        <v>116</v>
      </c>
      <c r="P440" s="18"/>
      <c r="Q440" s="3" t="n">
        <f>$E440+6</f>
        <v>118</v>
      </c>
      <c r="R440" s="18"/>
      <c r="S440" s="5" t="n">
        <f>$E440+8</f>
        <v>120</v>
      </c>
      <c r="T440" s="18"/>
      <c r="U440" s="3" t="n">
        <f>$E440+11</f>
        <v>123</v>
      </c>
      <c r="V440" s="18"/>
      <c r="W440" s="5" t="n">
        <f>$E440+15</f>
        <v>127</v>
      </c>
      <c r="X440" s="18"/>
      <c r="Y440" s="3" t="n">
        <f>$E440+17</f>
        <v>129</v>
      </c>
      <c r="Z440" s="18"/>
      <c r="AA440" s="5" t="n">
        <f>$E440+19</f>
        <v>131</v>
      </c>
      <c r="AB440" s="18"/>
      <c r="AC440" s="3" t="n">
        <f>$E440+21</f>
        <v>133</v>
      </c>
      <c r="AD440" s="18"/>
      <c r="AE440" s="5" t="n">
        <f>$E440+24</f>
        <v>136</v>
      </c>
      <c r="AF440" s="18"/>
      <c r="AG440" s="3" t="n">
        <f>$E440+27</f>
        <v>139</v>
      </c>
      <c r="AH440" s="18"/>
    </row>
    <row r="441" ht="28" customHeight="1">
      <c r="A441" s="2" t="n">
        <v>451</v>
      </c>
      <c r="B441" s="16" t="str">
        <v>Matheus Cunha</v>
      </c>
      <c r="C441" s="16" t="str">
        <v>MEDALIST</v>
      </c>
      <c r="D441" s="2" t="str">
        <v>CF</v>
      </c>
      <c r="E441" s="2" t="n">
        <v>112</v>
      </c>
      <c r="F441" s="2" t="str">
        <v>Brazil</v>
      </c>
      <c r="G441" s="2" t="str">
        <v>Manchester Đỏ</v>
      </c>
      <c r="H441" s="2" t="n">
        <v>26</v>
      </c>
      <c r="I441" s="3" t="n">
        <f>$E441+0</f>
        <v>112</v>
      </c>
      <c r="J441" s="18">
        <v>157000</v>
      </c>
      <c r="L441" s="18"/>
      <c r="M441" s="3" t="n">
        <f>$E441+2</f>
        <v>114</v>
      </c>
      <c r="N441" s="18"/>
      <c r="O441" s="5" t="n">
        <f>$E441+4</f>
        <v>116</v>
      </c>
      <c r="P441" s="18"/>
      <c r="Q441" s="3" t="n">
        <f>$E441+6</f>
        <v>118</v>
      </c>
      <c r="R441" s="18"/>
      <c r="S441" s="5" t="n">
        <f>$E441+8</f>
        <v>120</v>
      </c>
      <c r="T441" s="18"/>
      <c r="U441" s="3" t="n">
        <f>$E441+11</f>
        <v>123</v>
      </c>
      <c r="V441" s="18"/>
      <c r="W441" s="5" t="n">
        <f>$E441+15</f>
        <v>127</v>
      </c>
      <c r="X441" s="18"/>
      <c r="Y441" s="3" t="n">
        <f>$E441+17</f>
        <v>129</v>
      </c>
      <c r="Z441" s="18"/>
      <c r="AA441" s="5" t="n">
        <f>$E441+19</f>
        <v>131</v>
      </c>
      <c r="AB441" s="18"/>
      <c r="AC441" s="3" t="n">
        <f>$E441+21</f>
        <v>133</v>
      </c>
      <c r="AD441" s="18"/>
      <c r="AE441" s="5" t="n">
        <f>$E441+24</f>
        <v>136</v>
      </c>
      <c r="AF441" s="18"/>
      <c r="AG441" s="3" t="n">
        <f>$E441+27</f>
        <v>139</v>
      </c>
      <c r="AH441" s="18"/>
    </row>
    <row r="442" ht="28" customHeight="1">
      <c r="A442" s="2" t="n">
        <v>452</v>
      </c>
      <c r="B442" s="16" t="str">
        <v>H. Crespo</v>
      </c>
      <c r="C442" s="16" t="str">
        <v>MEDALIST</v>
      </c>
      <c r="D442" s="2" t="str">
        <v>ST</v>
      </c>
      <c r="E442" s="2" t="n">
        <v>115</v>
      </c>
      <c r="F442" s="2" t="str">
        <v>Argentina</v>
      </c>
      <c r="G442" s="2" t="str">
        <v>Argentina</v>
      </c>
      <c r="H442" s="2" t="n">
        <v>29</v>
      </c>
      <c r="I442" s="3" t="n">
        <f>$E442+0</f>
        <v>115</v>
      </c>
      <c r="J442" s="18">
        <v>355000</v>
      </c>
      <c r="L442" s="18"/>
      <c r="M442" s="3" t="n">
        <f>$E442+2</f>
        <v>117</v>
      </c>
      <c r="N442" s="18"/>
      <c r="O442" s="5" t="n">
        <f>$E442+4</f>
        <v>119</v>
      </c>
      <c r="P442" s="18"/>
      <c r="Q442" s="3" t="n">
        <f>$E442+6</f>
        <v>121</v>
      </c>
      <c r="R442" s="18"/>
      <c r="S442" s="5" t="n">
        <f>$E442+8</f>
        <v>123</v>
      </c>
      <c r="T442" s="18"/>
      <c r="U442" s="3" t="n">
        <f>$E442+11</f>
        <v>126</v>
      </c>
      <c r="V442" s="18"/>
      <c r="W442" s="5" t="n">
        <f>$E442+15</f>
        <v>130</v>
      </c>
      <c r="X442" s="18"/>
      <c r="Y442" s="3" t="n">
        <f>$E442+17</f>
        <v>132</v>
      </c>
      <c r="Z442" s="18"/>
      <c r="AA442" s="5" t="n">
        <f>$E442+19</f>
        <v>134</v>
      </c>
      <c r="AB442" s="18"/>
      <c r="AC442" s="3" t="n">
        <f>$E442+21</f>
        <v>136</v>
      </c>
      <c r="AD442" s="18"/>
      <c r="AE442" s="5" t="n">
        <f>$E442+24</f>
        <v>139</v>
      </c>
      <c r="AF442" s="18"/>
      <c r="AG442" s="3" t="n">
        <f>$E442+27</f>
        <v>142</v>
      </c>
      <c r="AH442" s="18"/>
    </row>
    <row r="443" ht="28" customHeight="1">
      <c r="A443" s="2" t="n">
        <v>453</v>
      </c>
      <c r="B443" s="16" t="str">
        <v>Richarlison</v>
      </c>
      <c r="C443" s="16" t="str">
        <v>MEDALIST</v>
      </c>
      <c r="D443" s="2" t="str">
        <v>ST</v>
      </c>
      <c r="E443" s="2" t="n">
        <v>112</v>
      </c>
      <c r="F443" s="2" t="str">
        <v>Brazil</v>
      </c>
      <c r="G443" s="2" t="str">
        <v>Tottenham</v>
      </c>
      <c r="H443" s="2" t="n">
        <v>27</v>
      </c>
      <c r="I443" s="3" t="n">
        <f>$E443+0</f>
        <v>112</v>
      </c>
      <c r="J443" s="18">
        <v>96100</v>
      </c>
      <c r="L443" s="18"/>
      <c r="M443" s="3" t="n">
        <f>$E443+2</f>
        <v>114</v>
      </c>
      <c r="N443" s="18"/>
      <c r="O443" s="5" t="n">
        <f>$E443+4</f>
        <v>116</v>
      </c>
      <c r="P443" s="18"/>
      <c r="Q443" s="3" t="n">
        <f>$E443+6</f>
        <v>118</v>
      </c>
      <c r="R443" s="18"/>
      <c r="S443" s="5" t="n">
        <f>$E443+8</f>
        <v>120</v>
      </c>
      <c r="T443" s="18"/>
      <c r="U443" s="3" t="n">
        <f>$E443+11</f>
        <v>123</v>
      </c>
      <c r="V443" s="18"/>
      <c r="W443" s="5" t="n">
        <f>$E443+15</f>
        <v>127</v>
      </c>
      <c r="X443" s="18"/>
      <c r="Y443" s="3" t="n">
        <f>$E443+17</f>
        <v>129</v>
      </c>
      <c r="Z443" s="18"/>
      <c r="AA443" s="5" t="n">
        <f>$E443+19</f>
        <v>131</v>
      </c>
      <c r="AB443" s="18"/>
      <c r="AC443" s="3" t="n">
        <f>$E443+21</f>
        <v>133</v>
      </c>
      <c r="AD443" s="18"/>
      <c r="AE443" s="5" t="n">
        <f>$E443+24</f>
        <v>136</v>
      </c>
      <c r="AF443" s="18"/>
      <c r="AG443" s="3" t="n">
        <f>$E443+27</f>
        <v>139</v>
      </c>
      <c r="AH443" s="18"/>
    </row>
    <row r="444" ht="28" customHeight="1">
      <c r="A444" s="2" t="n">
        <v>454</v>
      </c>
      <c r="B444" s="16" t="str">
        <v>Ronaldo</v>
      </c>
      <c r="C444" s="16" t="str">
        <v>MEDALIST</v>
      </c>
      <c r="D444" s="2" t="str">
        <v>ST</v>
      </c>
      <c r="E444" s="2" t="n">
        <v>115</v>
      </c>
      <c r="F444" s="2" t="str">
        <v>Brazil</v>
      </c>
      <c r="G444" s="2" t="str">
        <v>Brazil</v>
      </c>
      <c r="H444" s="2" t="n">
        <v>30</v>
      </c>
      <c r="I444" s="3" t="n">
        <f>$E444+0</f>
        <v>115</v>
      </c>
      <c r="J444" s="18">
        <v>1800000</v>
      </c>
      <c r="L444" s="18"/>
      <c r="M444" s="3" t="n">
        <f>$E444+2</f>
        <v>117</v>
      </c>
      <c r="N444" s="18"/>
      <c r="O444" s="5" t="n">
        <f>$E444+4</f>
        <v>119</v>
      </c>
      <c r="P444" s="18"/>
      <c r="Q444" s="3" t="n">
        <f>$E444+6</f>
        <v>121</v>
      </c>
      <c r="R444" s="18"/>
      <c r="S444" s="5" t="n">
        <f>$E444+8</f>
        <v>123</v>
      </c>
      <c r="T444" s="18"/>
      <c r="U444" s="3" t="n">
        <f>$E444+11</f>
        <v>126</v>
      </c>
      <c r="V444" s="18"/>
      <c r="W444" s="5" t="n">
        <f>$E444+15</f>
        <v>130</v>
      </c>
      <c r="X444" s="18"/>
      <c r="Y444" s="3" t="n">
        <f>$E444+17</f>
        <v>132</v>
      </c>
      <c r="Z444" s="18"/>
      <c r="AA444" s="5" t="n">
        <f>$E444+19</f>
        <v>134</v>
      </c>
      <c r="AB444" s="18"/>
      <c r="AC444" s="3" t="n">
        <f>$E444+21</f>
        <v>136</v>
      </c>
      <c r="AD444" s="18"/>
      <c r="AE444" s="5" t="n">
        <f>$E444+24</f>
        <v>139</v>
      </c>
      <c r="AF444" s="18"/>
      <c r="AG444" s="3" t="n">
        <f>$E444+27</f>
        <v>142</v>
      </c>
      <c r="AH444" s="18"/>
    </row>
    <row r="445" ht="28" customHeight="1">
      <c r="A445" s="2" t="n">
        <v>455</v>
      </c>
      <c r="B445" s="16" t="str">
        <v>Rafa Mir</v>
      </c>
      <c r="C445" s="16" t="str">
        <v>MEDALIST</v>
      </c>
      <c r="D445" s="2" t="str">
        <v>ST</v>
      </c>
      <c r="E445" s="2" t="n">
        <v>109</v>
      </c>
      <c r="F445" s="2" t="str">
        <v>Tây Ban Nha</v>
      </c>
      <c r="G445" s="2" t="str">
        <v>Elche</v>
      </c>
      <c r="H445" s="2" t="n">
        <v>25</v>
      </c>
      <c r="I445" s="3" t="n">
        <f>$E445+0</f>
        <v>109</v>
      </c>
      <c r="J445" s="18">
        <v>70300</v>
      </c>
      <c r="L445" s="18"/>
      <c r="M445" s="3" t="n">
        <f>$E445+2</f>
        <v>111</v>
      </c>
      <c r="N445" s="18"/>
      <c r="O445" s="5" t="n">
        <f>$E445+4</f>
        <v>113</v>
      </c>
      <c r="P445" s="18"/>
      <c r="Q445" s="3" t="n">
        <f>$E445+6</f>
        <v>115</v>
      </c>
      <c r="R445" s="18"/>
      <c r="S445" s="5" t="n">
        <f>$E445+8</f>
        <v>117</v>
      </c>
      <c r="T445" s="18"/>
      <c r="U445" s="3" t="n">
        <f>$E445+11</f>
        <v>120</v>
      </c>
      <c r="V445" s="18"/>
      <c r="W445" s="5" t="n">
        <f>$E445+15</f>
        <v>124</v>
      </c>
      <c r="X445" s="18"/>
      <c r="Y445" s="3" t="n">
        <f>$E445+17</f>
        <v>126</v>
      </c>
      <c r="Z445" s="18"/>
      <c r="AA445" s="5" t="n">
        <f>$E445+19</f>
        <v>128</v>
      </c>
      <c r="AB445" s="18"/>
      <c r="AC445" s="3" t="n">
        <f>$E445+21</f>
        <v>130</v>
      </c>
      <c r="AD445" s="18"/>
      <c r="AE445" s="5" t="n">
        <f>$E445+24</f>
        <v>133</v>
      </c>
      <c r="AF445" s="18"/>
      <c r="AG445" s="3" t="n">
        <f>$E445+27</f>
        <v>136</v>
      </c>
      <c r="AH445" s="18"/>
    </row>
    <row r="446" ht="28" customHeight="1">
      <c r="A446" s="2" t="n">
        <v>456</v>
      </c>
      <c r="B446" s="16" t="str">
        <v>Dani Olmo</v>
      </c>
      <c r="C446" s="16" t="str">
        <v>MEDALIST</v>
      </c>
      <c r="D446" s="2" t="str">
        <v>LW</v>
      </c>
      <c r="E446" s="2" t="n">
        <v>111</v>
      </c>
      <c r="F446" s="2" t="str">
        <v>Tây Ban Nha</v>
      </c>
      <c r="G446" s="2" t="str">
        <v>Barcelona</v>
      </c>
      <c r="H446" s="2" t="n">
        <v>26</v>
      </c>
      <c r="I446" s="3" t="n">
        <f>$E446+0</f>
        <v>111</v>
      </c>
      <c r="J446" s="18">
        <v>111000</v>
      </c>
      <c r="L446" s="18"/>
      <c r="M446" s="3" t="n">
        <f>$E446+2</f>
        <v>113</v>
      </c>
      <c r="N446" s="18"/>
      <c r="O446" s="5" t="n">
        <f>$E446+4</f>
        <v>115</v>
      </c>
      <c r="P446" s="18"/>
      <c r="Q446" s="3" t="n">
        <f>$E446+6</f>
        <v>117</v>
      </c>
      <c r="R446" s="18"/>
      <c r="S446" s="5" t="n">
        <f>$E446+8</f>
        <v>119</v>
      </c>
      <c r="T446" s="18"/>
      <c r="U446" s="3" t="n">
        <f>$E446+11</f>
        <v>122</v>
      </c>
      <c r="V446" s="18"/>
      <c r="W446" s="5" t="n">
        <f>$E446+15</f>
        <v>126</v>
      </c>
      <c r="X446" s="18"/>
      <c r="Y446" s="3" t="n">
        <f>$E446+17</f>
        <v>128</v>
      </c>
      <c r="Z446" s="18"/>
      <c r="AA446" s="5" t="n">
        <f>$E446+19</f>
        <v>130</v>
      </c>
      <c r="AB446" s="18"/>
      <c r="AC446" s="3" t="n">
        <f>$E446+21</f>
        <v>132</v>
      </c>
      <c r="AD446" s="18"/>
      <c r="AE446" s="5" t="n">
        <f>$E446+24</f>
        <v>135</v>
      </c>
      <c r="AF446" s="18"/>
      <c r="AG446" s="3" t="n">
        <f>$E446+27</f>
        <v>138</v>
      </c>
      <c r="AH446" s="18"/>
    </row>
    <row r="447" ht="28" customHeight="1">
      <c r="A447" s="2" t="n">
        <v>457</v>
      </c>
      <c r="B447" s="16" t="str">
        <v>Walace</v>
      </c>
      <c r="C447" s="16" t="str">
        <v>MEDALIST</v>
      </c>
      <c r="D447" s="2" t="str">
        <v>CDM</v>
      </c>
      <c r="E447" s="2" t="n">
        <v>109</v>
      </c>
      <c r="F447" s="2" t="str">
        <v>Brazil</v>
      </c>
      <c r="G447" s="2" t="str">
        <v>Brazil</v>
      </c>
      <c r="H447" s="2" t="n">
        <v>24</v>
      </c>
      <c r="I447" s="3" t="n">
        <f>$E447+0</f>
        <v>109</v>
      </c>
      <c r="J447" s="18">
        <v>39000</v>
      </c>
      <c r="L447" s="18"/>
      <c r="M447" s="3" t="n">
        <f>$E447+2</f>
        <v>111</v>
      </c>
      <c r="N447" s="18"/>
      <c r="O447" s="5" t="n">
        <f>$E447+4</f>
        <v>113</v>
      </c>
      <c r="P447" s="18"/>
      <c r="Q447" s="3" t="n">
        <f>$E447+6</f>
        <v>115</v>
      </c>
      <c r="R447" s="18"/>
      <c r="S447" s="5" t="n">
        <f>$E447+8</f>
        <v>117</v>
      </c>
      <c r="T447" s="18"/>
      <c r="U447" s="3" t="n">
        <f>$E447+11</f>
        <v>120</v>
      </c>
      <c r="V447" s="18"/>
      <c r="W447" s="5" t="n">
        <f>$E447+15</f>
        <v>124</v>
      </c>
      <c r="X447" s="18"/>
      <c r="Y447" s="3" t="n">
        <f>$E447+17</f>
        <v>126</v>
      </c>
      <c r="Z447" s="18"/>
      <c r="AA447" s="5" t="n">
        <f>$E447+19</f>
        <v>128</v>
      </c>
      <c r="AB447" s="18"/>
      <c r="AC447" s="3" t="n">
        <f>$E447+21</f>
        <v>130</v>
      </c>
      <c r="AD447" s="18"/>
      <c r="AE447" s="5" t="n">
        <f>$E447+24</f>
        <v>133</v>
      </c>
      <c r="AF447" s="18"/>
      <c r="AG447" s="3" t="n">
        <f>$E447+27</f>
        <v>136</v>
      </c>
      <c r="AH447" s="18"/>
    </row>
    <row r="448" ht="28" customHeight="1">
      <c r="A448" s="2" t="n">
        <v>458</v>
      </c>
      <c r="B448" s="16" t="str">
        <v>Jung Woo Young</v>
      </c>
      <c r="C448" s="16" t="str">
        <v>MEDALIST</v>
      </c>
      <c r="D448" s="2" t="str">
        <v>CDM</v>
      </c>
      <c r="E448" s="2" t="n">
        <v>100</v>
      </c>
      <c r="F448" s="2" t="str">
        <v>Hàn Quốc</v>
      </c>
      <c r="G448" s="2" t="str">
        <v>Ulsan HD</v>
      </c>
      <c r="H448" s="2" t="n">
        <v>19</v>
      </c>
      <c r="I448" s="3" t="n">
        <f>$E448+0</f>
        <v>100</v>
      </c>
      <c r="J448" s="18">
        <v>19900</v>
      </c>
      <c r="L448" s="18"/>
      <c r="M448" s="3" t="n">
        <f>$E448+2</f>
        <v>102</v>
      </c>
      <c r="N448" s="18"/>
      <c r="O448" s="5" t="n">
        <f>$E448+4</f>
        <v>104</v>
      </c>
      <c r="P448" s="18"/>
      <c r="Q448" s="3" t="n">
        <f>$E448+6</f>
        <v>106</v>
      </c>
      <c r="R448" s="18"/>
      <c r="S448" s="5" t="n">
        <f>$E448+8</f>
        <v>108</v>
      </c>
      <c r="T448" s="18"/>
      <c r="U448" s="3" t="n">
        <f>$E448+11</f>
        <v>111</v>
      </c>
      <c r="V448" s="18"/>
      <c r="W448" s="5" t="n">
        <f>$E448+15</f>
        <v>115</v>
      </c>
      <c r="X448" s="18"/>
      <c r="Y448" s="3" t="n">
        <f>$E448+17</f>
        <v>117</v>
      </c>
      <c r="Z448" s="18"/>
      <c r="AA448" s="5" t="n">
        <f>$E448+19</f>
        <v>119</v>
      </c>
      <c r="AB448" s="18"/>
      <c r="AC448" s="3" t="n">
        <f>$E448+21</f>
        <v>121</v>
      </c>
      <c r="AD448" s="18"/>
      <c r="AE448" s="5" t="n">
        <f>$E448+24</f>
        <v>124</v>
      </c>
      <c r="AF448" s="18"/>
      <c r="AG448" s="3" t="n">
        <f>$E448+27</f>
        <v>127</v>
      </c>
      <c r="AH448" s="18"/>
    </row>
    <row r="449" ht="28" customHeight="1">
      <c r="A449" s="2" t="n">
        <v>459</v>
      </c>
      <c r="B449" s="16" t="str">
        <v>D. Selke</v>
      </c>
      <c r="C449" s="16" t="str">
        <v>MEDALIST</v>
      </c>
      <c r="D449" s="2" t="str">
        <v>ST</v>
      </c>
      <c r="E449" s="2" t="n">
        <v>110</v>
      </c>
      <c r="F449" s="2" t="str">
        <v>Đức</v>
      </c>
      <c r="G449" s="2" t="str">
        <v>Başakşehir</v>
      </c>
      <c r="H449" s="2" t="n">
        <v>26</v>
      </c>
      <c r="I449" s="3" t="n">
        <f>$E449+0</f>
        <v>110</v>
      </c>
      <c r="J449" s="18">
        <v>67100</v>
      </c>
      <c r="L449" s="18"/>
      <c r="M449" s="3" t="n">
        <f>$E449+2</f>
        <v>112</v>
      </c>
      <c r="N449" s="18"/>
      <c r="O449" s="5" t="n">
        <f>$E449+4</f>
        <v>114</v>
      </c>
      <c r="P449" s="18"/>
      <c r="Q449" s="3" t="n">
        <f>$E449+6</f>
        <v>116</v>
      </c>
      <c r="R449" s="18"/>
      <c r="S449" s="5" t="n">
        <f>$E449+8</f>
        <v>118</v>
      </c>
      <c r="T449" s="18"/>
      <c r="U449" s="3" t="n">
        <f>$E449+11</f>
        <v>121</v>
      </c>
      <c r="V449" s="18"/>
      <c r="W449" s="5" t="n">
        <f>$E449+15</f>
        <v>125</v>
      </c>
      <c r="X449" s="18"/>
      <c r="Y449" s="3" t="n">
        <f>$E449+17</f>
        <v>127</v>
      </c>
      <c r="Z449" s="18"/>
      <c r="AA449" s="5" t="n">
        <f>$E449+19</f>
        <v>129</v>
      </c>
      <c r="AB449" s="18"/>
      <c r="AC449" s="3" t="n">
        <f>$E449+21</f>
        <v>131</v>
      </c>
      <c r="AD449" s="18"/>
      <c r="AE449" s="5" t="n">
        <f>$E449+24</f>
        <v>134</v>
      </c>
      <c r="AF449" s="18"/>
      <c r="AG449" s="3" t="n">
        <f>$E449+27</f>
        <v>137</v>
      </c>
      <c r="AH449" s="18"/>
    </row>
    <row r="450" ht="28" customHeight="1">
      <c r="A450" s="2" t="n">
        <v>460</v>
      </c>
      <c r="B450" s="16" t="str">
        <v>N. Kanu</v>
      </c>
      <c r="C450" s="16" t="str">
        <v>MEDALIST</v>
      </c>
      <c r="D450" s="2" t="str">
        <v>ST</v>
      </c>
      <c r="E450" s="2" t="n">
        <v>112</v>
      </c>
      <c r="F450" s="2" t="str">
        <v>Nigeria</v>
      </c>
      <c r="G450" s="2" t="str">
        <v>Nigeria</v>
      </c>
      <c r="H450" s="2" t="n">
        <v>27</v>
      </c>
      <c r="I450" s="3" t="n">
        <f>$E450+0</f>
        <v>112</v>
      </c>
      <c r="J450" s="18">
        <v>115000</v>
      </c>
      <c r="L450" s="18"/>
      <c r="M450" s="3" t="n">
        <f>$E450+2</f>
        <v>114</v>
      </c>
      <c r="N450" s="18"/>
      <c r="O450" s="5" t="n">
        <f>$E450+4</f>
        <v>116</v>
      </c>
      <c r="P450" s="18"/>
      <c r="Q450" s="3" t="n">
        <f>$E450+6</f>
        <v>118</v>
      </c>
      <c r="R450" s="18"/>
      <c r="S450" s="5" t="n">
        <f>$E450+8</f>
        <v>120</v>
      </c>
      <c r="T450" s="18"/>
      <c r="U450" s="3" t="n">
        <f>$E450+11</f>
        <v>123</v>
      </c>
      <c r="V450" s="18"/>
      <c r="W450" s="5" t="n">
        <f>$E450+15</f>
        <v>127</v>
      </c>
      <c r="X450" s="18"/>
      <c r="Y450" s="3" t="n">
        <f>$E450+17</f>
        <v>129</v>
      </c>
      <c r="Z450" s="18"/>
      <c r="AA450" s="5" t="n">
        <f>$E450+19</f>
        <v>131</v>
      </c>
      <c r="AB450" s="18"/>
      <c r="AC450" s="3" t="n">
        <f>$E450+21</f>
        <v>133</v>
      </c>
      <c r="AD450" s="18"/>
      <c r="AE450" s="5" t="n">
        <f>$E450+24</f>
        <v>136</v>
      </c>
      <c r="AF450" s="18"/>
      <c r="AG450" s="3" t="n">
        <f>$E450+27</f>
        <v>139</v>
      </c>
      <c r="AH450" s="18"/>
    </row>
    <row r="451" ht="28" customHeight="1">
      <c r="A451" s="2" t="n">
        <v>461</v>
      </c>
      <c r="B451" s="16" t="str">
        <v>Capdevila</v>
      </c>
      <c r="C451" s="16" t="str">
        <v>MEDALIST</v>
      </c>
      <c r="D451" s="2" t="str">
        <v>LB</v>
      </c>
      <c r="E451" s="2" t="n">
        <v>109</v>
      </c>
      <c r="F451" s="2" t="str">
        <v>Tây Ban Nha</v>
      </c>
      <c r="G451" s="2" t="str">
        <v>Tây Ban Nha</v>
      </c>
      <c r="H451" s="2" t="n">
        <v>25</v>
      </c>
      <c r="I451" s="3" t="n">
        <f>$E451+0</f>
        <v>109</v>
      </c>
      <c r="J451" s="18">
        <v>75700</v>
      </c>
      <c r="L451" s="18"/>
      <c r="M451" s="3" t="n">
        <f>$E451+2</f>
        <v>111</v>
      </c>
      <c r="N451" s="18"/>
      <c r="O451" s="5" t="n">
        <f>$E451+4</f>
        <v>113</v>
      </c>
      <c r="P451" s="18"/>
      <c r="Q451" s="3" t="n">
        <f>$E451+6</f>
        <v>115</v>
      </c>
      <c r="R451" s="18"/>
      <c r="S451" s="5" t="n">
        <f>$E451+8</f>
        <v>117</v>
      </c>
      <c r="T451" s="18"/>
      <c r="U451" s="3" t="n">
        <f>$E451+11</f>
        <v>120</v>
      </c>
      <c r="V451" s="18"/>
      <c r="W451" s="5" t="n">
        <f>$E451+15</f>
        <v>124</v>
      </c>
      <c r="X451" s="18"/>
      <c r="Y451" s="3" t="n">
        <f>$E451+17</f>
        <v>126</v>
      </c>
      <c r="Z451" s="18"/>
      <c r="AA451" s="5" t="n">
        <f>$E451+19</f>
        <v>128</v>
      </c>
      <c r="AB451" s="18"/>
      <c r="AC451" s="3" t="n">
        <f>$E451+21</f>
        <v>130</v>
      </c>
      <c r="AD451" s="18"/>
      <c r="AE451" s="5" t="n">
        <f>$E451+24</f>
        <v>133</v>
      </c>
      <c r="AF451" s="18"/>
      <c r="AG451" s="3" t="n">
        <f>$E451+27</f>
        <v>136</v>
      </c>
      <c r="AH451" s="18"/>
    </row>
    <row r="452" ht="28" customHeight="1">
      <c r="A452" s="2" t="n">
        <v>462</v>
      </c>
      <c r="B452" s="16" t="str">
        <v>L. Klostermann</v>
      </c>
      <c r="C452" s="16" t="str">
        <v>MEDALIST</v>
      </c>
      <c r="D452" s="2" t="str">
        <v>LB</v>
      </c>
      <c r="E452" s="2" t="n">
        <v>110</v>
      </c>
      <c r="F452" s="2" t="str">
        <v>Đức</v>
      </c>
      <c r="G452" s="2" t="str">
        <v>Leipzig</v>
      </c>
      <c r="H452" s="2" t="n">
        <v>25</v>
      </c>
      <c r="I452" s="3" t="n">
        <f>$E452+0</f>
        <v>110</v>
      </c>
      <c r="J452" s="18">
        <v>66100</v>
      </c>
      <c r="L452" s="18"/>
      <c r="M452" s="3" t="n">
        <f>$E452+2</f>
        <v>112</v>
      </c>
      <c r="N452" s="18"/>
      <c r="O452" s="5" t="n">
        <f>$E452+4</f>
        <v>114</v>
      </c>
      <c r="P452" s="18"/>
      <c r="Q452" s="3" t="n">
        <f>$E452+6</f>
        <v>116</v>
      </c>
      <c r="R452" s="18"/>
      <c r="S452" s="5" t="n">
        <f>$E452+8</f>
        <v>118</v>
      </c>
      <c r="T452" s="18"/>
      <c r="U452" s="3" t="n">
        <f>$E452+11</f>
        <v>121</v>
      </c>
      <c r="V452" s="18"/>
      <c r="W452" s="5" t="n">
        <f>$E452+15</f>
        <v>125</v>
      </c>
      <c r="X452" s="18"/>
      <c r="Y452" s="3" t="n">
        <f>$E452+17</f>
        <v>127</v>
      </c>
      <c r="Z452" s="18"/>
      <c r="AA452" s="5" t="n">
        <f>$E452+19</f>
        <v>129</v>
      </c>
      <c r="AB452" s="18"/>
      <c r="AC452" s="3" t="n">
        <f>$E452+21</f>
        <v>131</v>
      </c>
      <c r="AD452" s="18"/>
      <c r="AE452" s="5" t="n">
        <f>$E452+24</f>
        <v>134</v>
      </c>
      <c r="AF452" s="18"/>
      <c r="AG452" s="3" t="n">
        <f>$E452+27</f>
        <v>137</v>
      </c>
      <c r="AH452" s="18"/>
    </row>
    <row r="453" ht="28" customHeight="1">
      <c r="A453" s="2" t="n">
        <v>463</v>
      </c>
      <c r="B453" s="16" t="str">
        <v>P. Max</v>
      </c>
      <c r="C453" s="16" t="str">
        <v>MEDALIST</v>
      </c>
      <c r="D453" s="2" t="str">
        <v>LB</v>
      </c>
      <c r="E453" s="2" t="n">
        <v>104</v>
      </c>
      <c r="F453" s="2" t="str">
        <v>Đức</v>
      </c>
      <c r="G453" s="2" t="str">
        <v>Panathinaikos</v>
      </c>
      <c r="H453" s="2" t="n">
        <v>21</v>
      </c>
      <c r="I453" s="3" t="n">
        <f>$E453+0</f>
        <v>104</v>
      </c>
      <c r="J453" s="18">
        <v>18400</v>
      </c>
      <c r="L453" s="18"/>
      <c r="M453" s="3" t="n">
        <f>$E453+2</f>
        <v>106</v>
      </c>
      <c r="N453" s="18"/>
      <c r="O453" s="5" t="n">
        <f>$E453+4</f>
        <v>108</v>
      </c>
      <c r="P453" s="18"/>
      <c r="Q453" s="3" t="n">
        <f>$E453+6</f>
        <v>110</v>
      </c>
      <c r="R453" s="18"/>
      <c r="S453" s="5" t="n">
        <f>$E453+8</f>
        <v>112</v>
      </c>
      <c r="T453" s="18"/>
      <c r="U453" s="3" t="n">
        <f>$E453+11</f>
        <v>115</v>
      </c>
      <c r="V453" s="18"/>
      <c r="W453" s="5" t="n">
        <f>$E453+15</f>
        <v>119</v>
      </c>
      <c r="X453" s="18"/>
      <c r="Y453" s="3" t="n">
        <f>$E453+17</f>
        <v>121</v>
      </c>
      <c r="Z453" s="18"/>
      <c r="AA453" s="5" t="n">
        <f>$E453+19</f>
        <v>123</v>
      </c>
      <c r="AB453" s="18"/>
      <c r="AC453" s="3" t="n">
        <f>$E453+21</f>
        <v>125</v>
      </c>
      <c r="AD453" s="18"/>
      <c r="AE453" s="5" t="n">
        <f>$E453+24</f>
        <v>128</v>
      </c>
      <c r="AF453" s="18"/>
      <c r="AG453" s="3" t="n">
        <f>$E453+27</f>
        <v>131</v>
      </c>
      <c r="AH453" s="18"/>
    </row>
    <row r="454" ht="28" customHeight="1">
      <c r="A454" s="2" t="n">
        <v>464</v>
      </c>
      <c r="B454" s="16" t="str">
        <v>C. Tévez</v>
      </c>
      <c r="C454" s="16" t="str">
        <v>MEDALIST</v>
      </c>
      <c r="D454" s="2" t="str">
        <v>ST</v>
      </c>
      <c r="E454" s="2" t="n">
        <v>115</v>
      </c>
      <c r="F454" s="2" t="str">
        <v>Argentina</v>
      </c>
      <c r="G454" s="2" t="str">
        <v>Argentina</v>
      </c>
      <c r="H454" s="2" t="n">
        <v>29</v>
      </c>
      <c r="I454" s="3" t="n">
        <f>$E454+0</f>
        <v>115</v>
      </c>
      <c r="J454" s="18">
        <v>422000</v>
      </c>
      <c r="L454" s="18"/>
      <c r="M454" s="3" t="n">
        <f>$E454+2</f>
        <v>117</v>
      </c>
      <c r="N454" s="18"/>
      <c r="O454" s="5" t="n">
        <f>$E454+4</f>
        <v>119</v>
      </c>
      <c r="P454" s="18"/>
      <c r="Q454" s="3" t="n">
        <f>$E454+6</f>
        <v>121</v>
      </c>
      <c r="R454" s="18"/>
      <c r="S454" s="5" t="n">
        <f>$E454+8</f>
        <v>123</v>
      </c>
      <c r="T454" s="18"/>
      <c r="U454" s="3" t="n">
        <f>$E454+11</f>
        <v>126</v>
      </c>
      <c r="V454" s="18"/>
      <c r="W454" s="5" t="n">
        <f>$E454+15</f>
        <v>130</v>
      </c>
      <c r="X454" s="18"/>
      <c r="Y454" s="3" t="n">
        <f>$E454+17</f>
        <v>132</v>
      </c>
      <c r="Z454" s="18"/>
      <c r="AA454" s="5" t="n">
        <f>$E454+19</f>
        <v>134</v>
      </c>
      <c r="AB454" s="18"/>
      <c r="AC454" s="3" t="n">
        <f>$E454+21</f>
        <v>136</v>
      </c>
      <c r="AD454" s="18"/>
      <c r="AE454" s="5" t="n">
        <f>$E454+24</f>
        <v>139</v>
      </c>
      <c r="AF454" s="18"/>
      <c r="AG454" s="3" t="n">
        <f>$E454+27</f>
        <v>142</v>
      </c>
      <c r="AH454" s="18"/>
    </row>
    <row r="455" ht="28" customHeight="1">
      <c r="A455" s="2" t="n">
        <v>465</v>
      </c>
      <c r="B455" s="16" t="str">
        <v>Neymar Jr</v>
      </c>
      <c r="C455" s="16" t="str">
        <v>MEDALIST</v>
      </c>
      <c r="D455" s="2" t="str">
        <v>LW</v>
      </c>
      <c r="E455" s="2" t="n">
        <v>114</v>
      </c>
      <c r="F455" s="2" t="str">
        <v>Brazil</v>
      </c>
      <c r="G455" s="2" t="str">
        <v>Tự do</v>
      </c>
      <c r="H455" s="2" t="n">
        <v>28</v>
      </c>
      <c r="I455" s="3" t="n">
        <f>$E455+0</f>
        <v>114</v>
      </c>
      <c r="J455" s="18">
        <v>164000</v>
      </c>
      <c r="L455" s="18"/>
      <c r="M455" s="3" t="n">
        <f>$E455+2</f>
        <v>116</v>
      </c>
      <c r="N455" s="18"/>
      <c r="O455" s="5" t="n">
        <f>$E455+4</f>
        <v>118</v>
      </c>
      <c r="P455" s="18"/>
      <c r="Q455" s="3" t="n">
        <f>$E455+6</f>
        <v>120</v>
      </c>
      <c r="R455" s="18"/>
      <c r="S455" s="5" t="n">
        <f>$E455+8</f>
        <v>122</v>
      </c>
      <c r="T455" s="18"/>
      <c r="U455" s="3" t="n">
        <f>$E455+11</f>
        <v>125</v>
      </c>
      <c r="V455" s="18"/>
      <c r="W455" s="5" t="n">
        <f>$E455+15</f>
        <v>129</v>
      </c>
      <c r="X455" s="18"/>
      <c r="Y455" s="3" t="n">
        <f>$E455+17</f>
        <v>131</v>
      </c>
      <c r="Z455" s="18"/>
      <c r="AA455" s="5" t="n">
        <f>$E455+19</f>
        <v>133</v>
      </c>
      <c r="AB455" s="18"/>
      <c r="AC455" s="3" t="n">
        <f>$E455+21</f>
        <v>135</v>
      </c>
      <c r="AD455" s="18"/>
      <c r="AE455" s="5" t="n">
        <f>$E455+24</f>
        <v>138</v>
      </c>
      <c r="AF455" s="18"/>
      <c r="AG455" s="3" t="n">
        <f>$E455+27</f>
        <v>141</v>
      </c>
      <c r="AH455" s="18"/>
    </row>
    <row r="456" ht="28" customHeight="1">
      <c r="A456" s="2" t="n">
        <v>466</v>
      </c>
      <c r="B456" s="16" t="str">
        <v>Gabriel Jesus</v>
      </c>
      <c r="C456" s="16" t="str">
        <v>MEDALIST</v>
      </c>
      <c r="D456" s="2" t="str">
        <v>ST</v>
      </c>
      <c r="E456" s="2" t="n">
        <v>111</v>
      </c>
      <c r="F456" s="2" t="str">
        <v>Brazil</v>
      </c>
      <c r="G456" s="2" t="str">
        <v>Arsenal</v>
      </c>
      <c r="H456" s="2" t="n">
        <v>26</v>
      </c>
      <c r="I456" s="3" t="n">
        <f>$E456+0</f>
        <v>111</v>
      </c>
      <c r="J456" s="18">
        <v>128000</v>
      </c>
      <c r="L456" s="18"/>
      <c r="M456" s="3" t="n">
        <f>$E456+2</f>
        <v>113</v>
      </c>
      <c r="N456" s="18"/>
      <c r="O456" s="5" t="n">
        <f>$E456+4</f>
        <v>115</v>
      </c>
      <c r="P456" s="18"/>
      <c r="Q456" s="3" t="n">
        <f>$E456+6</f>
        <v>117</v>
      </c>
      <c r="R456" s="18"/>
      <c r="S456" s="5" t="n">
        <f>$E456+8</f>
        <v>119</v>
      </c>
      <c r="T456" s="18"/>
      <c r="U456" s="3" t="n">
        <f>$E456+11</f>
        <v>122</v>
      </c>
      <c r="V456" s="18"/>
      <c r="W456" s="5" t="n">
        <f>$E456+15</f>
        <v>126</v>
      </c>
      <c r="X456" s="18"/>
      <c r="Y456" s="3" t="n">
        <f>$E456+17</f>
        <v>128</v>
      </c>
      <c r="Z456" s="18"/>
      <c r="AA456" s="5" t="n">
        <f>$E456+19</f>
        <v>130</v>
      </c>
      <c r="AB456" s="18"/>
      <c r="AC456" s="3" t="n">
        <f>$E456+21</f>
        <v>132</v>
      </c>
      <c r="AD456" s="18"/>
      <c r="AE456" s="5" t="n">
        <f>$E456+24</f>
        <v>135</v>
      </c>
      <c r="AF456" s="18"/>
      <c r="AG456" s="3" t="n">
        <f>$E456+27</f>
        <v>138</v>
      </c>
      <c r="AH456" s="18"/>
    </row>
    <row r="457" ht="28" customHeight="1">
      <c r="A457" s="2" t="n">
        <v>467</v>
      </c>
      <c r="B457" s="16" t="str">
        <v>C. Puyol</v>
      </c>
      <c r="C457" s="16" t="str">
        <v>MEDALIST</v>
      </c>
      <c r="D457" s="2" t="str">
        <v>CB</v>
      </c>
      <c r="E457" s="2" t="n">
        <v>111</v>
      </c>
      <c r="F457" s="2" t="str">
        <v>Tây Ban Nha</v>
      </c>
      <c r="G457" s="2" t="str">
        <v>Tây Ban Nha</v>
      </c>
      <c r="H457" s="2" t="n">
        <v>26</v>
      </c>
      <c r="I457" s="3" t="n">
        <f>$E457+0</f>
        <v>111</v>
      </c>
      <c r="J457" s="18">
        <v>167000</v>
      </c>
      <c r="L457" s="18"/>
      <c r="M457" s="3" t="n">
        <f>$E457+2</f>
        <v>113</v>
      </c>
      <c r="N457" s="18"/>
      <c r="O457" s="5" t="n">
        <f>$E457+4</f>
        <v>115</v>
      </c>
      <c r="P457" s="18"/>
      <c r="Q457" s="3" t="n">
        <f>$E457+6</f>
        <v>117</v>
      </c>
      <c r="R457" s="18"/>
      <c r="S457" s="5" t="n">
        <f>$E457+8</f>
        <v>119</v>
      </c>
      <c r="T457" s="18"/>
      <c r="U457" s="3" t="n">
        <f>$E457+11</f>
        <v>122</v>
      </c>
      <c r="V457" s="18"/>
      <c r="W457" s="5" t="n">
        <f>$E457+15</f>
        <v>126</v>
      </c>
      <c r="X457" s="18"/>
      <c r="Y457" s="3" t="n">
        <f>$E457+17</f>
        <v>128</v>
      </c>
      <c r="Z457" s="18"/>
      <c r="AA457" s="5" t="n">
        <f>$E457+19</f>
        <v>130</v>
      </c>
      <c r="AB457" s="18"/>
      <c r="AC457" s="3" t="n">
        <f>$E457+21</f>
        <v>132</v>
      </c>
      <c r="AD457" s="18"/>
      <c r="AE457" s="5" t="n">
        <f>$E457+24</f>
        <v>135</v>
      </c>
      <c r="AF457" s="18"/>
      <c r="AG457" s="3" t="n">
        <f>$E457+27</f>
        <v>138</v>
      </c>
      <c r="AH457" s="18"/>
    </row>
    <row r="458" ht="28" customHeight="1">
      <c r="A458" s="2" t="n">
        <v>468</v>
      </c>
      <c r="B458" s="16" t="str">
        <v>Juan Miranda</v>
      </c>
      <c r="C458" s="16" t="str">
        <v>MEDALIST</v>
      </c>
      <c r="D458" s="2" t="str">
        <v>LB</v>
      </c>
      <c r="E458" s="2" t="n">
        <v>107</v>
      </c>
      <c r="F458" s="2" t="str">
        <v>Tây Ban Nha</v>
      </c>
      <c r="G458" s="2" t="str">
        <v>Bologna</v>
      </c>
      <c r="H458" s="2" t="n">
        <v>24</v>
      </c>
      <c r="I458" s="3" t="n">
        <f>$E458+0</f>
        <v>107</v>
      </c>
      <c r="J458" s="18">
        <v>52900</v>
      </c>
      <c r="L458" s="18"/>
      <c r="M458" s="3" t="n">
        <f>$E458+2</f>
        <v>109</v>
      </c>
      <c r="N458" s="18"/>
      <c r="O458" s="5" t="n">
        <f>$E458+4</f>
        <v>111</v>
      </c>
      <c r="P458" s="18"/>
      <c r="Q458" s="3" t="n">
        <f>$E458+6</f>
        <v>113</v>
      </c>
      <c r="R458" s="18"/>
      <c r="S458" s="5" t="n">
        <f>$E458+8</f>
        <v>115</v>
      </c>
      <c r="T458" s="18"/>
      <c r="U458" s="3" t="n">
        <f>$E458+11</f>
        <v>118</v>
      </c>
      <c r="V458" s="18"/>
      <c r="W458" s="5" t="n">
        <f>$E458+15</f>
        <v>122</v>
      </c>
      <c r="X458" s="18"/>
      <c r="Y458" s="3" t="n">
        <f>$E458+17</f>
        <v>124</v>
      </c>
      <c r="Z458" s="18"/>
      <c r="AA458" s="5" t="n">
        <f>$E458+19</f>
        <v>126</v>
      </c>
      <c r="AB458" s="18"/>
      <c r="AC458" s="3" t="n">
        <f>$E458+21</f>
        <v>128</v>
      </c>
      <c r="AD458" s="18"/>
      <c r="AE458" s="5" t="n">
        <f>$E458+24</f>
        <v>131</v>
      </c>
      <c r="AF458" s="18"/>
      <c r="AG458" s="3" t="n">
        <f>$E458+27</f>
        <v>134</v>
      </c>
      <c r="AH458" s="18"/>
    </row>
    <row r="459" ht="28" customHeight="1">
      <c r="A459" s="2" t="n">
        <v>469</v>
      </c>
      <c r="B459" s="16" t="str">
        <v>Roberto Carlos</v>
      </c>
      <c r="C459" s="16" t="str">
        <v>MEDALIST</v>
      </c>
      <c r="D459" s="2" t="str">
        <v>LB</v>
      </c>
      <c r="E459" s="2" t="n">
        <v>111</v>
      </c>
      <c r="F459" s="2" t="str">
        <v>Brazil</v>
      </c>
      <c r="G459" s="2" t="str">
        <v>Brazil</v>
      </c>
      <c r="H459" s="2" t="n">
        <v>26</v>
      </c>
      <c r="I459" s="3" t="n">
        <f>$E459+0</f>
        <v>111</v>
      </c>
      <c r="J459" s="18">
        <v>145000</v>
      </c>
      <c r="L459" s="18"/>
      <c r="M459" s="3" t="n">
        <f>$E459+2</f>
        <v>113</v>
      </c>
      <c r="N459" s="18"/>
      <c r="O459" s="5" t="n">
        <f>$E459+4</f>
        <v>115</v>
      </c>
      <c r="P459" s="18"/>
      <c r="Q459" s="3" t="n">
        <f>$E459+6</f>
        <v>117</v>
      </c>
      <c r="R459" s="18"/>
      <c r="S459" s="5" t="n">
        <f>$E459+8</f>
        <v>119</v>
      </c>
      <c r="T459" s="18"/>
      <c r="U459" s="3" t="n">
        <f>$E459+11</f>
        <v>122</v>
      </c>
      <c r="V459" s="18"/>
      <c r="W459" s="5" t="n">
        <f>$E459+15</f>
        <v>126</v>
      </c>
      <c r="X459" s="18"/>
      <c r="Y459" s="3" t="n">
        <f>$E459+17</f>
        <v>128</v>
      </c>
      <c r="Z459" s="18"/>
      <c r="AA459" s="5" t="n">
        <f>$E459+19</f>
        <v>130</v>
      </c>
      <c r="AB459" s="18"/>
      <c r="AC459" s="3" t="n">
        <f>$E459+21</f>
        <v>132</v>
      </c>
      <c r="AD459" s="18"/>
      <c r="AE459" s="5" t="n">
        <f>$E459+24</f>
        <v>135</v>
      </c>
      <c r="AF459" s="18"/>
      <c r="AG459" s="3" t="n">
        <f>$E459+27</f>
        <v>138</v>
      </c>
      <c r="AH459" s="18"/>
    </row>
    <row r="460" ht="28" customHeight="1">
      <c r="A460" s="2" t="n">
        <v>470</v>
      </c>
      <c r="B460" s="16" t="str">
        <v>C. Montes</v>
      </c>
      <c r="C460" s="16" t="str">
        <v>MEDALIST</v>
      </c>
      <c r="D460" s="2" t="str">
        <v>CB</v>
      </c>
      <c r="E460" s="2" t="n">
        <v>108</v>
      </c>
      <c r="F460" s="2" t="str">
        <v>Mexico</v>
      </c>
      <c r="G460" s="2" t="str">
        <v>Tự do</v>
      </c>
      <c r="H460" s="2" t="n">
        <v>24</v>
      </c>
      <c r="I460" s="3" t="n">
        <f>$E460+0</f>
        <v>108</v>
      </c>
      <c r="J460" s="18">
        <v>82800</v>
      </c>
      <c r="L460" s="18"/>
      <c r="M460" s="3" t="n">
        <f>$E460+2</f>
        <v>110</v>
      </c>
      <c r="N460" s="18"/>
      <c r="O460" s="5" t="n">
        <f>$E460+4</f>
        <v>112</v>
      </c>
      <c r="P460" s="18"/>
      <c r="Q460" s="3" t="n">
        <f>$E460+6</f>
        <v>114</v>
      </c>
      <c r="R460" s="18"/>
      <c r="S460" s="5" t="n">
        <f>$E460+8</f>
        <v>116</v>
      </c>
      <c r="T460" s="18"/>
      <c r="U460" s="3" t="n">
        <f>$E460+11</f>
        <v>119</v>
      </c>
      <c r="V460" s="18"/>
      <c r="W460" s="5" t="n">
        <f>$E460+15</f>
        <v>123</v>
      </c>
      <c r="X460" s="18"/>
      <c r="Y460" s="3" t="n">
        <f>$E460+17</f>
        <v>125</v>
      </c>
      <c r="Z460" s="18"/>
      <c r="AA460" s="5" t="n">
        <f>$E460+19</f>
        <v>127</v>
      </c>
      <c r="AB460" s="18"/>
      <c r="AC460" s="3" t="n">
        <f>$E460+21</f>
        <v>129</v>
      </c>
      <c r="AD460" s="18"/>
      <c r="AE460" s="5" t="n">
        <f>$E460+24</f>
        <v>132</v>
      </c>
      <c r="AF460" s="18"/>
      <c r="AG460" s="3" t="n">
        <f>$E460+27</f>
        <v>135</v>
      </c>
      <c r="AH460" s="18"/>
    </row>
    <row r="461" ht="28" customHeight="1">
      <c r="A461" s="2" t="n">
        <v>471</v>
      </c>
      <c r="B461" s="16" t="str">
        <v>Thiago Silva</v>
      </c>
      <c r="C461" s="16" t="str">
        <v>MEDALIST</v>
      </c>
      <c r="D461" s="2" t="str">
        <v>CB</v>
      </c>
      <c r="E461" s="2" t="n">
        <v>111</v>
      </c>
      <c r="F461" s="2" t="str">
        <v>Brazil</v>
      </c>
      <c r="G461" s="2" t="str">
        <v>Porto</v>
      </c>
      <c r="H461" s="2" t="n">
        <v>25</v>
      </c>
      <c r="I461" s="3" t="n">
        <f>$E461+0</f>
        <v>111</v>
      </c>
      <c r="J461" s="18">
        <v>184000</v>
      </c>
      <c r="L461" s="18"/>
      <c r="M461" s="3" t="n">
        <f>$E461+2</f>
        <v>113</v>
      </c>
      <c r="N461" s="18"/>
      <c r="O461" s="5" t="n">
        <f>$E461+4</f>
        <v>115</v>
      </c>
      <c r="P461" s="18"/>
      <c r="Q461" s="3" t="n">
        <f>$E461+6</f>
        <v>117</v>
      </c>
      <c r="R461" s="18"/>
      <c r="S461" s="5" t="n">
        <f>$E461+8</f>
        <v>119</v>
      </c>
      <c r="T461" s="18"/>
      <c r="U461" s="3" t="n">
        <f>$E461+11</f>
        <v>122</v>
      </c>
      <c r="V461" s="18"/>
      <c r="W461" s="5" t="n">
        <f>$E461+15</f>
        <v>126</v>
      </c>
      <c r="X461" s="18"/>
      <c r="Y461" s="3" t="n">
        <f>$E461+17</f>
        <v>128</v>
      </c>
      <c r="Z461" s="18"/>
      <c r="AA461" s="5" t="n">
        <f>$E461+19</f>
        <v>130</v>
      </c>
      <c r="AB461" s="18"/>
      <c r="AC461" s="3" t="n">
        <f>$E461+21</f>
        <v>132</v>
      </c>
      <c r="AD461" s="18"/>
      <c r="AE461" s="5" t="n">
        <f>$E461+24</f>
        <v>135</v>
      </c>
      <c r="AF461" s="18"/>
      <c r="AG461" s="3" t="n">
        <f>$E461+27</f>
        <v>138</v>
      </c>
      <c r="AH461" s="18"/>
    </row>
    <row r="462" ht="28" customHeight="1">
      <c r="A462" s="2" t="n">
        <v>472</v>
      </c>
      <c r="B462" s="16" t="str">
        <v>M. Ginter</v>
      </c>
      <c r="C462" s="16" t="str">
        <v>MEDALIST</v>
      </c>
      <c r="D462" s="2" t="str">
        <v>CB</v>
      </c>
      <c r="E462" s="2" t="n">
        <v>110</v>
      </c>
      <c r="F462" s="2" t="str">
        <v>Đức</v>
      </c>
      <c r="G462" s="2" t="str">
        <v>Freiburg</v>
      </c>
      <c r="H462" s="2" t="n">
        <v>25</v>
      </c>
      <c r="I462" s="3" t="n">
        <f>$E462+0</f>
        <v>110</v>
      </c>
      <c r="J462" s="18">
        <v>68400</v>
      </c>
      <c r="L462" s="18"/>
      <c r="M462" s="3" t="n">
        <f>$E462+2</f>
        <v>112</v>
      </c>
      <c r="N462" s="18"/>
      <c r="O462" s="5" t="n">
        <f>$E462+4</f>
        <v>114</v>
      </c>
      <c r="P462" s="18"/>
      <c r="Q462" s="3" t="n">
        <f>$E462+6</f>
        <v>116</v>
      </c>
      <c r="R462" s="18"/>
      <c r="S462" s="5" t="n">
        <f>$E462+8</f>
        <v>118</v>
      </c>
      <c r="T462" s="18"/>
      <c r="U462" s="3" t="n">
        <f>$E462+11</f>
        <v>121</v>
      </c>
      <c r="V462" s="18"/>
      <c r="W462" s="5" t="n">
        <f>$E462+15</f>
        <v>125</v>
      </c>
      <c r="X462" s="18"/>
      <c r="Y462" s="3" t="n">
        <f>$E462+17</f>
        <v>127</v>
      </c>
      <c r="Z462" s="18"/>
      <c r="AA462" s="5" t="n">
        <f>$E462+19</f>
        <v>129</v>
      </c>
      <c r="AB462" s="18"/>
      <c r="AC462" s="3" t="n">
        <f>$E462+21</f>
        <v>131</v>
      </c>
      <c r="AD462" s="18"/>
      <c r="AE462" s="5" t="n">
        <f>$E462+24</f>
        <v>134</v>
      </c>
      <c r="AF462" s="18"/>
      <c r="AG462" s="3" t="n">
        <f>$E462+27</f>
        <v>137</v>
      </c>
      <c r="AH462" s="18"/>
    </row>
    <row r="463" ht="28" customHeight="1">
      <c r="A463" s="2" t="n">
        <v>473</v>
      </c>
      <c r="B463" s="16" t="str">
        <v>J. Zanetti</v>
      </c>
      <c r="C463" s="16" t="str">
        <v>MEDALIST</v>
      </c>
      <c r="D463" s="2" t="str">
        <v>RB</v>
      </c>
      <c r="E463" s="2" t="n">
        <v>112</v>
      </c>
      <c r="F463" s="2" t="str">
        <v>Argentina</v>
      </c>
      <c r="G463" s="2" t="str">
        <v>Argentina</v>
      </c>
      <c r="H463" s="2" t="n">
        <v>26</v>
      </c>
      <c r="I463" s="3" t="n">
        <f>$E463+0</f>
        <v>112</v>
      </c>
      <c r="J463" s="18">
        <v>242000</v>
      </c>
      <c r="L463" s="18"/>
      <c r="M463" s="3" t="n">
        <f>$E463+2</f>
        <v>114</v>
      </c>
      <c r="N463" s="18"/>
      <c r="O463" s="5" t="n">
        <f>$E463+4</f>
        <v>116</v>
      </c>
      <c r="P463" s="18"/>
      <c r="Q463" s="3" t="n">
        <f>$E463+6</f>
        <v>118</v>
      </c>
      <c r="R463" s="18"/>
      <c r="S463" s="5" t="n">
        <f>$E463+8</f>
        <v>120</v>
      </c>
      <c r="T463" s="18"/>
      <c r="U463" s="3" t="n">
        <f>$E463+11</f>
        <v>123</v>
      </c>
      <c r="V463" s="18"/>
      <c r="W463" s="5" t="n">
        <f>$E463+15</f>
        <v>127</v>
      </c>
      <c r="X463" s="18"/>
      <c r="Y463" s="3" t="n">
        <f>$E463+17</f>
        <v>129</v>
      </c>
      <c r="Z463" s="18"/>
      <c r="AA463" s="5" t="n">
        <f>$E463+19</f>
        <v>131</v>
      </c>
      <c r="AB463" s="18"/>
      <c r="AC463" s="3" t="n">
        <f>$E463+21</f>
        <v>133</v>
      </c>
      <c r="AD463" s="18"/>
      <c r="AE463" s="5" t="n">
        <f>$E463+24</f>
        <v>136</v>
      </c>
      <c r="AF463" s="18"/>
      <c r="AG463" s="3" t="n">
        <f>$E463+27</f>
        <v>139</v>
      </c>
      <c r="AH463" s="18"/>
    </row>
    <row r="464" ht="28" customHeight="1">
      <c r="A464" s="2" t="n">
        <v>474</v>
      </c>
      <c r="B464" s="16" t="str">
        <v>R. Bauer</v>
      </c>
      <c r="C464" s="16" t="str">
        <v>MEDALIST</v>
      </c>
      <c r="D464" s="2" t="str">
        <v>RB</v>
      </c>
      <c r="E464" s="2" t="n">
        <v>102</v>
      </c>
      <c r="F464" s="2" t="str">
        <v>Đức</v>
      </c>
      <c r="G464" s="2" t="str">
        <v>Đức</v>
      </c>
      <c r="H464" s="2" t="n">
        <v>21</v>
      </c>
      <c r="I464" s="3" t="n">
        <f>$E464+0</f>
        <v>102</v>
      </c>
      <c r="J464" s="18">
        <v>4430</v>
      </c>
      <c r="L464" s="18"/>
      <c r="M464" s="3" t="n">
        <f>$E464+2</f>
        <v>104</v>
      </c>
      <c r="N464" s="18"/>
      <c r="O464" s="5" t="n">
        <f>$E464+4</f>
        <v>106</v>
      </c>
      <c r="P464" s="18"/>
      <c r="Q464" s="3" t="n">
        <f>$E464+6</f>
        <v>108</v>
      </c>
      <c r="R464" s="18"/>
      <c r="S464" s="5" t="n">
        <f>$E464+8</f>
        <v>110</v>
      </c>
      <c r="T464" s="18"/>
      <c r="U464" s="3" t="n">
        <f>$E464+11</f>
        <v>113</v>
      </c>
      <c r="V464" s="18"/>
      <c r="W464" s="5" t="n">
        <f>$E464+15</f>
        <v>117</v>
      </c>
      <c r="X464" s="18"/>
      <c r="Y464" s="3" t="n">
        <f>$E464+17</f>
        <v>119</v>
      </c>
      <c r="Z464" s="18"/>
      <c r="AA464" s="5" t="n">
        <f>$E464+19</f>
        <v>121</v>
      </c>
      <c r="AB464" s="18"/>
      <c r="AC464" s="3" t="n">
        <f>$E464+21</f>
        <v>123</v>
      </c>
      <c r="AD464" s="18"/>
      <c r="AE464" s="5" t="n">
        <f>$E464+24</f>
        <v>126</v>
      </c>
      <c r="AF464" s="18"/>
      <c r="AG464" s="3" t="n">
        <f>$E464+27</f>
        <v>129</v>
      </c>
      <c r="AH464" s="18"/>
    </row>
    <row r="465" ht="28" customHeight="1">
      <c r="A465" s="2" t="n">
        <v>475</v>
      </c>
      <c r="B465" s="16" t="str">
        <v>Diego Carlos</v>
      </c>
      <c r="C465" s="16" t="str">
        <v>MEDALIST</v>
      </c>
      <c r="D465" s="2" t="str">
        <v>CB</v>
      </c>
      <c r="E465" s="2" t="n">
        <v>110</v>
      </c>
      <c r="F465" s="2" t="str">
        <v>Brazil</v>
      </c>
      <c r="G465" s="2" t="str">
        <v>Como</v>
      </c>
      <c r="H465" s="2" t="n">
        <v>25</v>
      </c>
      <c r="I465" s="3" t="n">
        <f>$E465+0</f>
        <v>110</v>
      </c>
      <c r="J465" s="18">
        <v>80400</v>
      </c>
      <c r="L465" s="18"/>
      <c r="M465" s="3" t="n">
        <f>$E465+2</f>
        <v>112</v>
      </c>
      <c r="N465" s="18"/>
      <c r="O465" s="5" t="n">
        <f>$E465+4</f>
        <v>114</v>
      </c>
      <c r="P465" s="18"/>
      <c r="Q465" s="3" t="n">
        <f>$E465+6</f>
        <v>116</v>
      </c>
      <c r="R465" s="18"/>
      <c r="S465" s="5" t="n">
        <f>$E465+8</f>
        <v>118</v>
      </c>
      <c r="T465" s="18"/>
      <c r="U465" s="3" t="n">
        <f>$E465+11</f>
        <v>121</v>
      </c>
      <c r="V465" s="18"/>
      <c r="W465" s="5" t="n">
        <f>$E465+15</f>
        <v>125</v>
      </c>
      <c r="X465" s="18"/>
      <c r="Y465" s="3" t="n">
        <f>$E465+17</f>
        <v>127</v>
      </c>
      <c r="Z465" s="18"/>
      <c r="AA465" s="5" t="n">
        <f>$E465+19</f>
        <v>129</v>
      </c>
      <c r="AB465" s="18"/>
      <c r="AC465" s="3" t="n">
        <f>$E465+21</f>
        <v>131</v>
      </c>
      <c r="AD465" s="18"/>
      <c r="AE465" s="5" t="n">
        <f>$E465+24</f>
        <v>134</v>
      </c>
      <c r="AF465" s="18"/>
      <c r="AG465" s="3" t="n">
        <f>$E465+27</f>
        <v>137</v>
      </c>
      <c r="AH465" s="18"/>
    </row>
    <row r="466" ht="28" customHeight="1">
      <c r="A466" s="2" t="n">
        <v>476</v>
      </c>
      <c r="B466" s="16" t="str">
        <v>Eric García</v>
      </c>
      <c r="C466" s="16" t="str">
        <v>MEDALIST</v>
      </c>
      <c r="D466" s="2" t="str">
        <v>CB</v>
      </c>
      <c r="E466" s="2" t="n">
        <v>110</v>
      </c>
      <c r="F466" s="2" t="str">
        <v>Tây Ban Nha</v>
      </c>
      <c r="G466" s="2" t="str">
        <v>Barcelona</v>
      </c>
      <c r="H466" s="2" t="n">
        <v>25</v>
      </c>
      <c r="I466" s="3" t="n">
        <f>$E466+0</f>
        <v>110</v>
      </c>
      <c r="J466" s="18">
        <v>90300</v>
      </c>
      <c r="L466" s="18"/>
      <c r="M466" s="3" t="n">
        <f>$E466+2</f>
        <v>112</v>
      </c>
      <c r="N466" s="18"/>
      <c r="O466" s="5" t="n">
        <f>$E466+4</f>
        <v>114</v>
      </c>
      <c r="P466" s="18"/>
      <c r="Q466" s="3" t="n">
        <f>$E466+6</f>
        <v>116</v>
      </c>
      <c r="R466" s="18"/>
      <c r="S466" s="5" t="n">
        <f>$E466+8</f>
        <v>118</v>
      </c>
      <c r="T466" s="18"/>
      <c r="U466" s="3" t="n">
        <f>$E466+11</f>
        <v>121</v>
      </c>
      <c r="V466" s="18"/>
      <c r="W466" s="5" t="n">
        <f>$E466+15</f>
        <v>125</v>
      </c>
      <c r="X466" s="18"/>
      <c r="Y466" s="3" t="n">
        <f>$E466+17</f>
        <v>127</v>
      </c>
      <c r="Z466" s="18"/>
      <c r="AA466" s="5" t="n">
        <f>$E466+19</f>
        <v>129</v>
      </c>
      <c r="AB466" s="18"/>
      <c r="AC466" s="3" t="n">
        <f>$E466+21</f>
        <v>131</v>
      </c>
      <c r="AD466" s="18"/>
      <c r="AE466" s="5" t="n">
        <f>$E466+24</f>
        <v>134</v>
      </c>
      <c r="AF466" s="18"/>
      <c r="AG466" s="3" t="n">
        <f>$E466+27</f>
        <v>137</v>
      </c>
      <c r="AH466" s="18"/>
    </row>
    <row r="467" ht="28" customHeight="1">
      <c r="A467" s="2" t="n">
        <v>477</v>
      </c>
      <c r="B467" s="16" t="str">
        <v>Vallejo</v>
      </c>
      <c r="C467" s="16" t="str">
        <v>MEDALIST</v>
      </c>
      <c r="D467" s="2" t="str">
        <v>CB</v>
      </c>
      <c r="E467" s="2" t="n">
        <v>107</v>
      </c>
      <c r="F467" s="2" t="str">
        <v>Tây Ban Nha</v>
      </c>
      <c r="G467" s="2" t="str">
        <v>Albacete</v>
      </c>
      <c r="H467" s="2" t="n">
        <v>24</v>
      </c>
      <c r="I467" s="3" t="n">
        <f>$E467+0</f>
        <v>107</v>
      </c>
      <c r="J467" s="18">
        <v>55100</v>
      </c>
      <c r="L467" s="18"/>
      <c r="M467" s="3" t="n">
        <f>$E467+2</f>
        <v>109</v>
      </c>
      <c r="N467" s="18"/>
      <c r="O467" s="5" t="n">
        <f>$E467+4</f>
        <v>111</v>
      </c>
      <c r="P467" s="18"/>
      <c r="Q467" s="3" t="n">
        <f>$E467+6</f>
        <v>113</v>
      </c>
      <c r="R467" s="18"/>
      <c r="S467" s="5" t="n">
        <f>$E467+8</f>
        <v>115</v>
      </c>
      <c r="T467" s="18"/>
      <c r="U467" s="3" t="n">
        <f>$E467+11</f>
        <v>118</v>
      </c>
      <c r="V467" s="18"/>
      <c r="W467" s="5" t="n">
        <f>$E467+15</f>
        <v>122</v>
      </c>
      <c r="X467" s="18"/>
      <c r="Y467" s="3" t="n">
        <f>$E467+17</f>
        <v>124</v>
      </c>
      <c r="Z467" s="18"/>
      <c r="AA467" s="5" t="n">
        <f>$E467+19</f>
        <v>126</v>
      </c>
      <c r="AB467" s="18"/>
      <c r="AC467" s="3" t="n">
        <f>$E467+21</f>
        <v>128</v>
      </c>
      <c r="AD467" s="18"/>
      <c r="AE467" s="5" t="n">
        <f>$E467+24</f>
        <v>131</v>
      </c>
      <c r="AF467" s="18"/>
      <c r="AG467" s="3" t="n">
        <f>$E467+27</f>
        <v>134</v>
      </c>
      <c r="AH467" s="18"/>
    </row>
    <row r="468" ht="28" customHeight="1">
      <c r="A468" s="2" t="n">
        <v>478</v>
      </c>
      <c r="B468" s="16" t="str">
        <v>Ronaldinho</v>
      </c>
      <c r="C468" s="16" t="str">
        <v>MEDALIST</v>
      </c>
      <c r="D468" s="2" t="str">
        <v>LW</v>
      </c>
      <c r="E468" s="2" t="n">
        <v>112</v>
      </c>
      <c r="F468" s="2" t="str">
        <v>Brazil</v>
      </c>
      <c r="G468" s="2" t="str">
        <v>Brazil</v>
      </c>
      <c r="H468" s="2" t="n">
        <v>27</v>
      </c>
      <c r="I468" s="3" t="n">
        <f>$E468+0</f>
        <v>112</v>
      </c>
      <c r="J468" s="18">
        <v>234000</v>
      </c>
      <c r="L468" s="18"/>
      <c r="M468" s="3" t="n">
        <f>$E468+2</f>
        <v>114</v>
      </c>
      <c r="N468" s="18"/>
      <c r="O468" s="5" t="n">
        <f>$E468+4</f>
        <v>116</v>
      </c>
      <c r="P468" s="18"/>
      <c r="Q468" s="3" t="n">
        <f>$E468+6</f>
        <v>118</v>
      </c>
      <c r="R468" s="18"/>
      <c r="S468" s="5" t="n">
        <f>$E468+8</f>
        <v>120</v>
      </c>
      <c r="T468" s="18"/>
      <c r="U468" s="3" t="n">
        <f>$E468+11</f>
        <v>123</v>
      </c>
      <c r="V468" s="18"/>
      <c r="W468" s="5" t="n">
        <f>$E468+15</f>
        <v>127</v>
      </c>
      <c r="X468" s="18"/>
      <c r="Y468" s="3" t="n">
        <f>$E468+17</f>
        <v>129</v>
      </c>
      <c r="Z468" s="18"/>
      <c r="AA468" s="5" t="n">
        <f>$E468+19</f>
        <v>131</v>
      </c>
      <c r="AB468" s="18"/>
      <c r="AC468" s="3" t="n">
        <f>$E468+21</f>
        <v>133</v>
      </c>
      <c r="AD468" s="18"/>
      <c r="AE468" s="5" t="n">
        <f>$E468+24</f>
        <v>136</v>
      </c>
      <c r="AF468" s="18"/>
      <c r="AG468" s="3" t="n">
        <f>$E468+27</f>
        <v>139</v>
      </c>
      <c r="AH468" s="18"/>
    </row>
    <row r="469" ht="28" customHeight="1">
      <c r="A469" s="2" t="n">
        <v>479</v>
      </c>
      <c r="B469" s="16" t="str">
        <v>G. Ochoa</v>
      </c>
      <c r="C469" s="16" t="str">
        <v>MEDALIST</v>
      </c>
      <c r="D469" s="2" t="str">
        <v>GK</v>
      </c>
      <c r="E469" s="2" t="n">
        <v>109</v>
      </c>
      <c r="F469" s="2" t="str">
        <v>Mexico</v>
      </c>
      <c r="G469" s="2" t="str">
        <v>Tự do</v>
      </c>
      <c r="H469" s="2" t="n">
        <v>22</v>
      </c>
      <c r="I469" s="3" t="n">
        <f>$E469+0</f>
        <v>109</v>
      </c>
      <c r="J469" s="18">
        <v>72400</v>
      </c>
      <c r="L469" s="18"/>
      <c r="M469" s="3" t="n">
        <f>$E469+2</f>
        <v>111</v>
      </c>
      <c r="N469" s="18"/>
      <c r="O469" s="5" t="n">
        <f>$E469+4</f>
        <v>113</v>
      </c>
      <c r="P469" s="18"/>
      <c r="Q469" s="3" t="n">
        <f>$E469+6</f>
        <v>115</v>
      </c>
      <c r="R469" s="18"/>
      <c r="S469" s="5" t="n">
        <f>$E469+8</f>
        <v>117</v>
      </c>
      <c r="T469" s="18"/>
      <c r="U469" s="3" t="n">
        <f>$E469+11</f>
        <v>120</v>
      </c>
      <c r="V469" s="18"/>
      <c r="W469" s="5" t="n">
        <f>$E469+15</f>
        <v>124</v>
      </c>
      <c r="X469" s="18"/>
      <c r="Y469" s="3" t="n">
        <f>$E469+17</f>
        <v>126</v>
      </c>
      <c r="Z469" s="18"/>
      <c r="AA469" s="5" t="n">
        <f>$E469+19</f>
        <v>128</v>
      </c>
      <c r="AB469" s="18"/>
      <c r="AC469" s="3" t="n">
        <f>$E469+21</f>
        <v>130</v>
      </c>
      <c r="AD469" s="18"/>
      <c r="AE469" s="5" t="n">
        <f>$E469+24</f>
        <v>133</v>
      </c>
      <c r="AF469" s="18"/>
      <c r="AG469" s="3" t="n">
        <f>$E469+27</f>
        <v>136</v>
      </c>
      <c r="AH469" s="18"/>
    </row>
    <row r="470" ht="28" customHeight="1">
      <c r="A470" s="2" t="n">
        <v>480</v>
      </c>
      <c r="B470" s="16" t="str">
        <v>Hwang Seok Ho</v>
      </c>
      <c r="C470" s="16" t="str">
        <v>MEDALIST</v>
      </c>
      <c r="D470" s="2" t="str">
        <v>CB</v>
      </c>
      <c r="E470" s="2" t="n">
        <v>106</v>
      </c>
      <c r="F470" s="2" t="str">
        <v>Hàn Quốc</v>
      </c>
      <c r="G470" s="2" t="str">
        <v>Suwon Samsung</v>
      </c>
      <c r="H470" s="2" t="n">
        <v>23</v>
      </c>
      <c r="I470" s="3" t="n">
        <f>$E470+0</f>
        <v>106</v>
      </c>
      <c r="J470" s="18">
        <v>25800</v>
      </c>
      <c r="L470" s="18"/>
      <c r="M470" s="3" t="n">
        <f>$E470+2</f>
        <v>108</v>
      </c>
      <c r="N470" s="18"/>
      <c r="O470" s="5" t="n">
        <f>$E470+4</f>
        <v>110</v>
      </c>
      <c r="P470" s="18"/>
      <c r="Q470" s="3" t="n">
        <f>$E470+6</f>
        <v>112</v>
      </c>
      <c r="R470" s="18"/>
      <c r="S470" s="5" t="n">
        <f>$E470+8</f>
        <v>114</v>
      </c>
      <c r="T470" s="18"/>
      <c r="U470" s="3" t="n">
        <f>$E470+11</f>
        <v>117</v>
      </c>
      <c r="V470" s="18"/>
      <c r="W470" s="5" t="n">
        <f>$E470+15</f>
        <v>121</v>
      </c>
      <c r="X470" s="18"/>
      <c r="Y470" s="3" t="n">
        <f>$E470+17</f>
        <v>123</v>
      </c>
      <c r="Z470" s="18"/>
      <c r="AA470" s="5" t="n">
        <f>$E470+19</f>
        <v>125</v>
      </c>
      <c r="AB470" s="18"/>
      <c r="AC470" s="3" t="n">
        <f>$E470+21</f>
        <v>127</v>
      </c>
      <c r="AD470" s="18"/>
      <c r="AE470" s="5" t="n">
        <f>$E470+24</f>
        <v>130</v>
      </c>
      <c r="AF470" s="18"/>
      <c r="AG470" s="3" t="n">
        <f>$E470+27</f>
        <v>133</v>
      </c>
      <c r="AH470" s="18"/>
    </row>
    <row r="471" ht="28" customHeight="1">
      <c r="A471" s="2" t="n">
        <v>481</v>
      </c>
      <c r="B471" s="16" t="str">
        <v>J. Toljan</v>
      </c>
      <c r="C471" s="16" t="str">
        <v>MEDALIST</v>
      </c>
      <c r="D471" s="2" t="str">
        <v>RB</v>
      </c>
      <c r="E471" s="2" t="n">
        <v>109</v>
      </c>
      <c r="F471" s="2" t="str">
        <v>Đức</v>
      </c>
      <c r="G471" s="2" t="str">
        <v>Levante</v>
      </c>
      <c r="H471" s="2" t="n">
        <v>24</v>
      </c>
      <c r="I471" s="3" t="n">
        <f>$E471+0</f>
        <v>109</v>
      </c>
      <c r="J471" s="18">
        <v>72400</v>
      </c>
      <c r="L471" s="18"/>
      <c r="M471" s="3" t="n">
        <f>$E471+2</f>
        <v>111</v>
      </c>
      <c r="N471" s="18"/>
      <c r="O471" s="5" t="n">
        <f>$E471+4</f>
        <v>113</v>
      </c>
      <c r="P471" s="18"/>
      <c r="Q471" s="3" t="n">
        <f>$E471+6</f>
        <v>115</v>
      </c>
      <c r="R471" s="18"/>
      <c r="S471" s="5" t="n">
        <f>$E471+8</f>
        <v>117</v>
      </c>
      <c r="T471" s="18"/>
      <c r="U471" s="3" t="n">
        <f>$E471+11</f>
        <v>120</v>
      </c>
      <c r="V471" s="18"/>
      <c r="W471" s="5" t="n">
        <f>$E471+15</f>
        <v>124</v>
      </c>
      <c r="X471" s="18"/>
      <c r="Y471" s="3" t="n">
        <f>$E471+17</f>
        <v>126</v>
      </c>
      <c r="Z471" s="18"/>
      <c r="AA471" s="5" t="n">
        <f>$E471+19</f>
        <v>128</v>
      </c>
      <c r="AB471" s="18"/>
      <c r="AC471" s="3" t="n">
        <f>$E471+21</f>
        <v>130</v>
      </c>
      <c r="AD471" s="18"/>
      <c r="AE471" s="5" t="n">
        <f>$E471+24</f>
        <v>133</v>
      </c>
      <c r="AF471" s="18"/>
      <c r="AG471" s="3" t="n">
        <f>$E471+27</f>
        <v>136</v>
      </c>
      <c r="AH471" s="18"/>
    </row>
    <row r="472" ht="28" customHeight="1">
      <c r="A472" s="2" t="n">
        <v>482</v>
      </c>
      <c r="B472" s="16" t="str">
        <v>J. Vásquez</v>
      </c>
      <c r="C472" s="16" t="str">
        <v>MEDALIST</v>
      </c>
      <c r="D472" s="2" t="str">
        <v>CB</v>
      </c>
      <c r="E472" s="2" t="n">
        <v>108</v>
      </c>
      <c r="F472" s="2" t="str">
        <v>Mexico</v>
      </c>
      <c r="G472" s="2" t="str">
        <v>Genoa</v>
      </c>
      <c r="H472" s="2" t="n">
        <v>24</v>
      </c>
      <c r="I472" s="3" t="n">
        <f>$E472+0</f>
        <v>108</v>
      </c>
      <c r="J472" s="18">
        <v>82800</v>
      </c>
      <c r="L472" s="18"/>
      <c r="M472" s="3" t="n">
        <f>$E472+2</f>
        <v>110</v>
      </c>
      <c r="N472" s="18"/>
      <c r="O472" s="5" t="n">
        <f>$E472+4</f>
        <v>112</v>
      </c>
      <c r="P472" s="18"/>
      <c r="Q472" s="3" t="n">
        <f>$E472+6</f>
        <v>114</v>
      </c>
      <c r="R472" s="18"/>
      <c r="S472" s="5" t="n">
        <f>$E472+8</f>
        <v>116</v>
      </c>
      <c r="T472" s="18"/>
      <c r="U472" s="3" t="n">
        <f>$E472+11</f>
        <v>119</v>
      </c>
      <c r="V472" s="18"/>
      <c r="W472" s="5" t="n">
        <f>$E472+15</f>
        <v>123</v>
      </c>
      <c r="X472" s="18"/>
      <c r="Y472" s="3" t="n">
        <f>$E472+17</f>
        <v>125</v>
      </c>
      <c r="Z472" s="18"/>
      <c r="AA472" s="5" t="n">
        <f>$E472+19</f>
        <v>127</v>
      </c>
      <c r="AB472" s="18"/>
      <c r="AC472" s="3" t="n">
        <f>$E472+21</f>
        <v>129</v>
      </c>
      <c r="AD472" s="18"/>
      <c r="AE472" s="5" t="n">
        <f>$E472+24</f>
        <v>132</v>
      </c>
      <c r="AF472" s="18"/>
      <c r="AG472" s="3" t="n">
        <f>$E472+27</f>
        <v>135</v>
      </c>
      <c r="AH472" s="18"/>
    </row>
    <row r="473" ht="28" customHeight="1">
      <c r="A473" s="2" t="n">
        <v>483</v>
      </c>
      <c r="B473" s="16" t="str">
        <v>V. van Dijk</v>
      </c>
      <c r="C473" s="16" t="str">
        <v>FC AMBASSADOR</v>
      </c>
      <c r="D473" s="2" t="str">
        <v>CB</v>
      </c>
      <c r="E473" s="2" t="n">
        <v>112</v>
      </c>
      <c r="F473" s="2" t="str">
        <v>Hà Lan</v>
      </c>
      <c r="G473" s="2" t="str">
        <v>Liverpool</v>
      </c>
      <c r="H473" s="2" t="n">
        <v>28</v>
      </c>
      <c r="I473" s="3" t="n">
        <f>$E473+0</f>
        <v>112</v>
      </c>
      <c r="J473" s="18">
        <v>194000</v>
      </c>
      <c r="L473" s="18"/>
      <c r="M473" s="3" t="n">
        <f>$E473+2</f>
        <v>114</v>
      </c>
      <c r="N473" s="18"/>
      <c r="O473" s="5" t="n">
        <f>$E473+4</f>
        <v>116</v>
      </c>
      <c r="P473" s="18"/>
      <c r="Q473" s="3" t="n">
        <f>$E473+6</f>
        <v>118</v>
      </c>
      <c r="R473" s="18"/>
      <c r="S473" s="5" t="n">
        <f>$E473+8</f>
        <v>120</v>
      </c>
      <c r="T473" s="18"/>
      <c r="U473" s="3" t="n">
        <f>$E473+11</f>
        <v>123</v>
      </c>
      <c r="V473" s="18"/>
      <c r="W473" s="5" t="n">
        <f>$E473+15</f>
        <v>127</v>
      </c>
      <c r="X473" s="18"/>
      <c r="Y473" s="3" t="n">
        <f>$E473+17</f>
        <v>129</v>
      </c>
      <c r="Z473" s="18"/>
      <c r="AA473" s="5" t="n">
        <f>$E473+19</f>
        <v>131</v>
      </c>
      <c r="AB473" s="18"/>
      <c r="AC473" s="3" t="n">
        <f>$E473+21</f>
        <v>133</v>
      </c>
      <c r="AD473" s="18"/>
      <c r="AE473" s="5" t="n">
        <f>$E473+24</f>
        <v>136</v>
      </c>
      <c r="AF473" s="18"/>
      <c r="AG473" s="3" t="n">
        <f>$E473+27</f>
        <v>139</v>
      </c>
      <c r="AH473" s="18"/>
    </row>
    <row r="474" ht="28" customHeight="1">
      <c r="A474" s="2" t="n">
        <v>484</v>
      </c>
      <c r="B474" s="16" t="str">
        <v>Y. Moukoko</v>
      </c>
      <c r="C474" s="16" t="str">
        <v>FC AMBASSADOR</v>
      </c>
      <c r="D474" s="2" t="str">
        <v>ST</v>
      </c>
      <c r="E474" s="2" t="n">
        <v>106</v>
      </c>
      <c r="F474" s="2" t="str">
        <v>Đức</v>
      </c>
      <c r="G474" s="2" t="str">
        <v>FC Copenhagen</v>
      </c>
      <c r="H474" s="2" t="n">
        <v>23</v>
      </c>
      <c r="I474" s="3" t="n">
        <f>$E474+0</f>
        <v>106</v>
      </c>
      <c r="J474" s="18">
        <v>32700</v>
      </c>
      <c r="L474" s="18"/>
      <c r="M474" s="3" t="n">
        <f>$E474+2</f>
        <v>108</v>
      </c>
      <c r="N474" s="18"/>
      <c r="O474" s="5" t="n">
        <f>$E474+4</f>
        <v>110</v>
      </c>
      <c r="P474" s="18"/>
      <c r="Q474" s="3" t="n">
        <f>$E474+6</f>
        <v>112</v>
      </c>
      <c r="R474" s="18"/>
      <c r="S474" s="5" t="n">
        <f>$E474+8</f>
        <v>114</v>
      </c>
      <c r="T474" s="18"/>
      <c r="U474" s="3" t="n">
        <f>$E474+11</f>
        <v>117</v>
      </c>
      <c r="V474" s="18"/>
      <c r="W474" s="5" t="n">
        <f>$E474+15</f>
        <v>121</v>
      </c>
      <c r="X474" s="18"/>
      <c r="Y474" s="3" t="n">
        <f>$E474+17</f>
        <v>123</v>
      </c>
      <c r="Z474" s="18"/>
      <c r="AA474" s="5" t="n">
        <f>$E474+19</f>
        <v>125</v>
      </c>
      <c r="AB474" s="18"/>
      <c r="AC474" s="3" t="n">
        <f>$E474+21</f>
        <v>127</v>
      </c>
      <c r="AD474" s="18"/>
      <c r="AE474" s="5" t="n">
        <f>$E474+24</f>
        <v>130</v>
      </c>
      <c r="AF474" s="18"/>
      <c r="AG474" s="3" t="n">
        <f>$E474+27</f>
        <v>133</v>
      </c>
      <c r="AH474" s="18"/>
    </row>
    <row r="475" ht="28" customHeight="1">
      <c r="A475" s="2" t="n">
        <v>485</v>
      </c>
      <c r="B475" s="16" t="str">
        <v>H. Son</v>
      </c>
      <c r="C475" s="16" t="str">
        <v>FC AMBASSADOR</v>
      </c>
      <c r="D475" s="2" t="str">
        <v>LW</v>
      </c>
      <c r="E475" s="2" t="n">
        <v>111</v>
      </c>
      <c r="F475" s="2" t="str">
        <v>Hàn Quốc</v>
      </c>
      <c r="G475" s="2" t="str">
        <v>LAFC</v>
      </c>
      <c r="H475" s="2" t="n">
        <v>27</v>
      </c>
      <c r="I475" s="3" t="n">
        <f>$E475+0</f>
        <v>111</v>
      </c>
      <c r="J475" s="18">
        <v>105000</v>
      </c>
      <c r="L475" s="18"/>
      <c r="M475" s="3" t="n">
        <f>$E475+2</f>
        <v>113</v>
      </c>
      <c r="N475" s="18"/>
      <c r="O475" s="5" t="n">
        <f>$E475+4</f>
        <v>115</v>
      </c>
      <c r="P475" s="18"/>
      <c r="Q475" s="3" t="n">
        <f>$E475+6</f>
        <v>117</v>
      </c>
      <c r="R475" s="18"/>
      <c r="S475" s="5" t="n">
        <f>$E475+8</f>
        <v>119</v>
      </c>
      <c r="T475" s="18"/>
      <c r="U475" s="3" t="n">
        <f>$E475+11</f>
        <v>122</v>
      </c>
      <c r="V475" s="18"/>
      <c r="W475" s="5" t="n">
        <f>$E475+15</f>
        <v>126</v>
      </c>
      <c r="X475" s="18"/>
      <c r="Y475" s="3" t="n">
        <f>$E475+17</f>
        <v>128</v>
      </c>
      <c r="Z475" s="18"/>
      <c r="AA475" s="5" t="n">
        <f>$E475+19</f>
        <v>130</v>
      </c>
      <c r="AB475" s="18"/>
      <c r="AC475" s="3" t="n">
        <f>$E475+21</f>
        <v>132</v>
      </c>
      <c r="AD475" s="18"/>
      <c r="AE475" s="5" t="n">
        <f>$E475+24</f>
        <v>135</v>
      </c>
      <c r="AF475" s="18"/>
      <c r="AG475" s="3" t="n">
        <f>$E475+27</f>
        <v>138</v>
      </c>
      <c r="AH475" s="18"/>
    </row>
    <row r="476" ht="28" customHeight="1">
      <c r="A476" s="2" t="n">
        <v>486</v>
      </c>
      <c r="B476" s="16" t="str">
        <v>F. Chiesa</v>
      </c>
      <c r="C476" s="16" t="str">
        <v>FC AMBASSADOR</v>
      </c>
      <c r="D476" s="2" t="str">
        <v>LW</v>
      </c>
      <c r="E476" s="2" t="n">
        <v>109</v>
      </c>
      <c r="F476" s="2" t="str">
        <v>Ý</v>
      </c>
      <c r="G476" s="2" t="str">
        <v>Liverpool</v>
      </c>
      <c r="H476" s="2" t="n">
        <v>26</v>
      </c>
      <c r="I476" s="3" t="n">
        <f>$E476+0</f>
        <v>109</v>
      </c>
      <c r="J476" s="18">
        <v>361000</v>
      </c>
      <c r="L476" s="18"/>
      <c r="M476" s="3" t="n">
        <f>$E476+2</f>
        <v>111</v>
      </c>
      <c r="N476" s="18"/>
      <c r="O476" s="5" t="n">
        <f>$E476+4</f>
        <v>113</v>
      </c>
      <c r="P476" s="18"/>
      <c r="Q476" s="3" t="n">
        <f>$E476+6</f>
        <v>115</v>
      </c>
      <c r="R476" s="18"/>
      <c r="S476" s="5" t="n">
        <f>$E476+8</f>
        <v>117</v>
      </c>
      <c r="T476" s="18"/>
      <c r="U476" s="3" t="n">
        <f>$E476+11</f>
        <v>120</v>
      </c>
      <c r="V476" s="18"/>
      <c r="W476" s="5" t="n">
        <f>$E476+15</f>
        <v>124</v>
      </c>
      <c r="X476" s="18"/>
      <c r="Y476" s="3" t="n">
        <f>$E476+17</f>
        <v>126</v>
      </c>
      <c r="Z476" s="18"/>
      <c r="AA476" s="5" t="n">
        <f>$E476+19</f>
        <v>128</v>
      </c>
      <c r="AB476" s="18"/>
      <c r="AC476" s="3" t="n">
        <f>$E476+21</f>
        <v>130</v>
      </c>
      <c r="AD476" s="18"/>
      <c r="AE476" s="5" t="n">
        <f>$E476+24</f>
        <v>133</v>
      </c>
      <c r="AF476" s="18"/>
      <c r="AG476" s="3" t="n">
        <f>$E476+27</f>
        <v>136</v>
      </c>
      <c r="AH476" s="18"/>
    </row>
    <row r="477" ht="28" customHeight="1">
      <c r="A477" s="2" t="n">
        <v>487</v>
      </c>
      <c r="B477" s="16" t="str">
        <v>J. Grealish</v>
      </c>
      <c r="C477" s="16" t="str">
        <v>FC AMBASSADOR</v>
      </c>
      <c r="D477" s="2" t="str">
        <v>LW</v>
      </c>
      <c r="E477" s="2" t="n">
        <v>109</v>
      </c>
      <c r="F477" s="2" t="str">
        <v>Anh</v>
      </c>
      <c r="G477" s="2" t="str">
        <v>Everton</v>
      </c>
      <c r="H477" s="2" t="n">
        <v>25</v>
      </c>
      <c r="I477" s="3" t="n">
        <f>$E477+0</f>
        <v>109</v>
      </c>
      <c r="J477" s="18">
        <v>206000</v>
      </c>
      <c r="L477" s="18"/>
      <c r="M477" s="3" t="n">
        <f>$E477+2</f>
        <v>111</v>
      </c>
      <c r="N477" s="18"/>
      <c r="O477" s="5" t="n">
        <f>$E477+4</f>
        <v>113</v>
      </c>
      <c r="P477" s="18"/>
      <c r="Q477" s="3" t="n">
        <f>$E477+6</f>
        <v>115</v>
      </c>
      <c r="R477" s="18"/>
      <c r="S477" s="5" t="n">
        <f>$E477+8</f>
        <v>117</v>
      </c>
      <c r="T477" s="18"/>
      <c r="U477" s="3" t="n">
        <f>$E477+11</f>
        <v>120</v>
      </c>
      <c r="V477" s="18"/>
      <c r="W477" s="5" t="n">
        <f>$E477+15</f>
        <v>124</v>
      </c>
      <c r="X477" s="18"/>
      <c r="Y477" s="3" t="n">
        <f>$E477+17</f>
        <v>126</v>
      </c>
      <c r="Z477" s="18"/>
      <c r="AA477" s="5" t="n">
        <f>$E477+19</f>
        <v>128</v>
      </c>
      <c r="AB477" s="18"/>
      <c r="AC477" s="3" t="n">
        <f>$E477+21</f>
        <v>130</v>
      </c>
      <c r="AD477" s="18"/>
      <c r="AE477" s="5" t="n">
        <f>$E477+24</f>
        <v>133</v>
      </c>
      <c r="AF477" s="18"/>
      <c r="AG477" s="3" t="n">
        <f>$E477+27</f>
        <v>136</v>
      </c>
      <c r="AH477" s="18"/>
    </row>
    <row r="478" ht="28" customHeight="1">
      <c r="A478" s="2" t="n">
        <v>488</v>
      </c>
      <c r="B478" s="16" t="str">
        <v>E. Fernández</v>
      </c>
      <c r="C478" s="16" t="str">
        <v>FC AMBASSADOR</v>
      </c>
      <c r="D478" s="2" t="str">
        <v>CM</v>
      </c>
      <c r="E478" s="2" t="n">
        <v>108</v>
      </c>
      <c r="F478" s="2" t="str">
        <v>Argentina</v>
      </c>
      <c r="G478" s="2" t="str">
        <v>Chelsea</v>
      </c>
      <c r="H478" s="2" t="n">
        <v>24</v>
      </c>
      <c r="I478" s="3" t="n">
        <f>$E478+0</f>
        <v>108</v>
      </c>
      <c r="J478" s="18">
        <v>114000</v>
      </c>
      <c r="L478" s="18"/>
      <c r="M478" s="3" t="n">
        <f>$E478+2</f>
        <v>110</v>
      </c>
      <c r="N478" s="18"/>
      <c r="O478" s="5" t="n">
        <f>$E478+4</f>
        <v>112</v>
      </c>
      <c r="P478" s="18"/>
      <c r="Q478" s="3" t="n">
        <f>$E478+6</f>
        <v>114</v>
      </c>
      <c r="R478" s="18"/>
      <c r="S478" s="5" t="n">
        <f>$E478+8</f>
        <v>116</v>
      </c>
      <c r="T478" s="18"/>
      <c r="U478" s="3" t="n">
        <f>$E478+11</f>
        <v>119</v>
      </c>
      <c r="V478" s="18"/>
      <c r="W478" s="5" t="n">
        <f>$E478+15</f>
        <v>123</v>
      </c>
      <c r="X478" s="18"/>
      <c r="Y478" s="3" t="n">
        <f>$E478+17</f>
        <v>125</v>
      </c>
      <c r="Z478" s="18"/>
      <c r="AA478" s="5" t="n">
        <f>$E478+19</f>
        <v>127</v>
      </c>
      <c r="AB478" s="18"/>
      <c r="AC478" s="3" t="n">
        <f>$E478+21</f>
        <v>129</v>
      </c>
      <c r="AD478" s="18"/>
      <c r="AE478" s="5" t="n">
        <f>$E478+24</f>
        <v>132</v>
      </c>
      <c r="AF478" s="18"/>
      <c r="AG478" s="3" t="n">
        <f>$E478+27</f>
        <v>135</v>
      </c>
      <c r="AH478" s="18"/>
    </row>
    <row r="479" ht="28" customHeight="1">
      <c r="A479" s="2" t="n">
        <v>489</v>
      </c>
      <c r="B479" s="16" t="str">
        <v>Vini Jr.</v>
      </c>
      <c r="C479" s="16" t="str">
        <v>FC AMBASSADOR</v>
      </c>
      <c r="D479" s="2" t="str">
        <v>LW</v>
      </c>
      <c r="E479" s="2" t="n">
        <v>111</v>
      </c>
      <c r="F479" s="2" t="str">
        <v>Brazil</v>
      </c>
      <c r="G479" s="2" t="str">
        <v>Madrid</v>
      </c>
      <c r="H479" s="2" t="n">
        <v>26</v>
      </c>
      <c r="I479" s="3" t="n">
        <f>$E479+0</f>
        <v>111</v>
      </c>
      <c r="J479" s="18">
        <v>69700</v>
      </c>
      <c r="L479" s="18"/>
      <c r="M479" s="3" t="n">
        <f>$E479+2</f>
        <v>113</v>
      </c>
      <c r="N479" s="18"/>
      <c r="O479" s="5" t="n">
        <f>$E479+4</f>
        <v>115</v>
      </c>
      <c r="P479" s="18"/>
      <c r="Q479" s="3" t="n">
        <f>$E479+6</f>
        <v>117</v>
      </c>
      <c r="R479" s="18"/>
      <c r="S479" s="5" t="n">
        <f>$E479+8</f>
        <v>119</v>
      </c>
      <c r="T479" s="18"/>
      <c r="U479" s="3" t="n">
        <f>$E479+11</f>
        <v>122</v>
      </c>
      <c r="V479" s="18"/>
      <c r="W479" s="5" t="n">
        <f>$E479+15</f>
        <v>126</v>
      </c>
      <c r="X479" s="18"/>
      <c r="Y479" s="3" t="n">
        <f>$E479+17</f>
        <v>128</v>
      </c>
      <c r="Z479" s="18"/>
      <c r="AA479" s="5" t="n">
        <f>$E479+19</f>
        <v>130</v>
      </c>
      <c r="AB479" s="18"/>
      <c r="AC479" s="3" t="n">
        <f>$E479+21</f>
        <v>132</v>
      </c>
      <c r="AD479" s="18"/>
      <c r="AE479" s="5" t="n">
        <f>$E479+24</f>
        <v>135</v>
      </c>
      <c r="AF479" s="18"/>
      <c r="AG479" s="3" t="n">
        <f>$E479+27</f>
        <v>138</v>
      </c>
      <c r="AH479" s="18"/>
    </row>
    <row r="480" ht="28" customHeight="1">
      <c r="A480" s="2" t="n">
        <v>490</v>
      </c>
      <c r="B480" s="16" t="str">
        <v>J. Bellingham</v>
      </c>
      <c r="C480" s="16" t="str">
        <v>FC AMBASSADOR</v>
      </c>
      <c r="D480" s="2" t="str">
        <v>CM</v>
      </c>
      <c r="E480" s="2" t="n">
        <v>112</v>
      </c>
      <c r="F480" s="2" t="str">
        <v>Anh</v>
      </c>
      <c r="G480" s="2" t="str">
        <v>Madrid</v>
      </c>
      <c r="H480" s="2" t="n">
        <v>26</v>
      </c>
      <c r="I480" s="3" t="n">
        <f>$E480+0</f>
        <v>112</v>
      </c>
      <c r="J480" s="18">
        <v>614000</v>
      </c>
      <c r="L480" s="18"/>
      <c r="M480" s="3" t="n">
        <f>$E480+2</f>
        <v>114</v>
      </c>
      <c r="N480" s="18"/>
      <c r="O480" s="5" t="n">
        <f>$E480+4</f>
        <v>116</v>
      </c>
      <c r="P480" s="18"/>
      <c r="Q480" s="3" t="n">
        <f>$E480+6</f>
        <v>118</v>
      </c>
      <c r="R480" s="18"/>
      <c r="S480" s="5" t="n">
        <f>$E480+8</f>
        <v>120</v>
      </c>
      <c r="T480" s="18"/>
      <c r="U480" s="3" t="n">
        <f>$E480+11</f>
        <v>123</v>
      </c>
      <c r="V480" s="18"/>
      <c r="W480" s="5" t="n">
        <f>$E480+15</f>
        <v>127</v>
      </c>
      <c r="X480" s="18"/>
      <c r="Y480" s="3" t="n">
        <f>$E480+17</f>
        <v>129</v>
      </c>
      <c r="Z480" s="18"/>
      <c r="AA480" s="5" t="n">
        <f>$E480+19</f>
        <v>131</v>
      </c>
      <c r="AB480" s="18"/>
      <c r="AC480" s="3" t="n">
        <f>$E480+21</f>
        <v>133</v>
      </c>
      <c r="AD480" s="18"/>
      <c r="AE480" s="5" t="n">
        <f>$E480+24</f>
        <v>136</v>
      </c>
      <c r="AF480" s="18"/>
      <c r="AG480" s="3" t="n">
        <f>$E480+27</f>
        <v>139</v>
      </c>
      <c r="AH480" s="18"/>
    </row>
    <row r="481" ht="28" customHeight="1">
      <c r="A481" s="2" t="n">
        <v>491</v>
      </c>
      <c r="B481" s="16" t="str">
        <v>E. Haaland</v>
      </c>
      <c r="C481" s="16" t="str">
        <v>FC AMBASSADOR</v>
      </c>
      <c r="D481" s="2" t="str">
        <v>ST</v>
      </c>
      <c r="E481" s="2" t="n">
        <v>112</v>
      </c>
      <c r="F481" s="2" t="str">
        <v>Na Uy</v>
      </c>
      <c r="G481" s="2" t="str">
        <v>Manchester Xanh</v>
      </c>
      <c r="H481" s="2" t="n">
        <v>27</v>
      </c>
      <c r="I481" s="3" t="n">
        <f>$E481+0</f>
        <v>112</v>
      </c>
      <c r="J481" s="18">
        <v>412000</v>
      </c>
      <c r="L481" s="18"/>
      <c r="M481" s="3" t="n">
        <f>$E481+2</f>
        <v>114</v>
      </c>
      <c r="N481" s="18"/>
      <c r="O481" s="5" t="n">
        <f>$E481+4</f>
        <v>116</v>
      </c>
      <c r="P481" s="18"/>
      <c r="Q481" s="3" t="n">
        <f>$E481+6</f>
        <v>118</v>
      </c>
      <c r="R481" s="18"/>
      <c r="S481" s="5" t="n">
        <f>$E481+8</f>
        <v>120</v>
      </c>
      <c r="T481" s="18"/>
      <c r="U481" s="3" t="n">
        <f>$E481+11</f>
        <v>123</v>
      </c>
      <c r="V481" s="18"/>
      <c r="W481" s="5" t="n">
        <f>$E481+15</f>
        <v>127</v>
      </c>
      <c r="X481" s="18"/>
      <c r="Y481" s="3" t="n">
        <f>$E481+17</f>
        <v>129</v>
      </c>
      <c r="Z481" s="18"/>
      <c r="AA481" s="5" t="n">
        <f>$E481+19</f>
        <v>131</v>
      </c>
      <c r="AB481" s="18"/>
      <c r="AC481" s="3" t="n">
        <f>$E481+21</f>
        <v>133</v>
      </c>
      <c r="AD481" s="18"/>
      <c r="AE481" s="5" t="n">
        <f>$E481+24</f>
        <v>136</v>
      </c>
      <c r="AF481" s="18"/>
      <c r="AG481" s="3" t="n">
        <f>$E481+27</f>
        <v>139</v>
      </c>
      <c r="AH481" s="18"/>
    </row>
  </sheetData>
  <mergeCells>
    <mergeCell ref="AC1:AD1"/>
    <mergeCell ref="AE1:AF1"/>
    <mergeCell ref="AG1:AH1"/>
    <mergeCell ref="A1:A2"/>
    <mergeCell ref="B1:B2"/>
    <mergeCell ref="C1:C2"/>
    <mergeCell ref="D1:D2"/>
    <mergeCell ref="E1:E2"/>
    <mergeCell ref="F1:F2"/>
    <mergeCell ref="G1:G2"/>
    <mergeCell ref="H1:H2"/>
    <mergeCell ref="S1:T1"/>
    <mergeCell ref="U1:V1"/>
    <mergeCell ref="W1:X1"/>
    <mergeCell ref="Y1:Z1"/>
    <mergeCell ref="AA1:AB1"/>
    <mergeCell ref="I1:J1"/>
    <mergeCell ref="K1:L1"/>
    <mergeCell ref="M1:N1"/>
    <mergeCell ref="O1:P1"/>
    <mergeCell ref="Q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4.399999618530273"/>
  <cols>
    <col min="1" max="1" width="130" customWidth="1"/>
  </cols>
  <sheetData>
    <row r="1" ht="15.600000381469727">
      <c r="A1" s="7" t="s">
        <v>495</v>
      </c>
      <c r="C1" s="11" t="s">
        <v>0</v>
      </c>
      <c r="D1" s="11" t="s">
        <v>496</v>
      </c>
      <c r="E1" s="11" t="s">
        <v>497</v>
      </c>
    </row>
    <row r="2">
      <c r="A2" t="s">
        <v>498</v>
      </c>
      <c r="C2" s="12">
        <v>1</v>
      </c>
      <c r="D2" s="12">
        <v>1</v>
      </c>
      <c r="E2" s="12"/>
    </row>
    <row r="3">
      <c r="A3" s="8" t="s">
        <v>499</v>
      </c>
      <c r="C3" s="12">
        <v>31</v>
      </c>
      <c r="D3" s="12">
        <v>1</v>
      </c>
      <c r="E3" s="12"/>
    </row>
    <row r="4">
      <c r="A4" s="8" t="s">
        <v>500</v>
      </c>
      <c r="C4" s="12">
        <v>32</v>
      </c>
      <c r="D4" s="12">
        <v>1</v>
      </c>
      <c r="E4" s="12"/>
    </row>
    <row r="5">
      <c r="A5" s="8" t="s">
        <v>501</v>
      </c>
      <c r="C5" s="12">
        <v>33</v>
      </c>
      <c r="D5" s="12">
        <v>1</v>
      </c>
      <c r="E5" s="12"/>
    </row>
    <row r="6">
      <c r="A6" s="8" t="s">
        <v>502</v>
      </c>
      <c r="C6" s="12">
        <v>5</v>
      </c>
      <c r="D6" s="12">
        <v>1</v>
      </c>
      <c r="E6" s="12"/>
    </row>
    <row r="7">
      <c r="A7" s="8" t="s">
        <v>503</v>
      </c>
      <c r="C7" s="12">
        <v>34</v>
      </c>
      <c r="D7" s="12">
        <v>1</v>
      </c>
      <c r="E7" s="12"/>
    </row>
    <row r="8">
      <c r="A8" s="8" t="s">
        <v>504</v>
      </c>
      <c r="C8" s="12">
        <v>35</v>
      </c>
      <c r="D8" s="12">
        <v>1</v>
      </c>
      <c r="E8" s="12"/>
    </row>
    <row r="9">
      <c r="A9" s="8" t="s">
        <v>505</v>
      </c>
      <c r="C9" s="12">
        <v>36</v>
      </c>
      <c r="D9" s="12">
        <v>1</v>
      </c>
      <c r="E9" s="12"/>
    </row>
    <row r="10">
      <c r="A10" s="8" t="s">
        <v>506</v>
      </c>
      <c r="C10" s="12">
        <v>37</v>
      </c>
      <c r="D10" s="12">
        <v>1</v>
      </c>
      <c r="E10" s="12"/>
    </row>
    <row r="11">
      <c r="A11" t="s">
        <v>507</v>
      </c>
      <c r="C11" s="12">
        <v>3</v>
      </c>
      <c r="D11" s="12">
        <v>1</v>
      </c>
      <c r="E11" s="12"/>
    </row>
    <row r="12">
      <c r="C12" s="12">
        <v>4</v>
      </c>
      <c r="D12" s="12">
        <v>1</v>
      </c>
      <c r="E12" s="12"/>
    </row>
    <row r="13">
      <c r="C13" s="12">
        <v>8</v>
      </c>
      <c r="D13" s="12">
        <v>1</v>
      </c>
      <c r="E13" s="12"/>
    </row>
    <row r="14">
      <c r="C14" s="12">
        <v>38</v>
      </c>
      <c r="D14" s="12">
        <v>1</v>
      </c>
      <c r="E14" s="12"/>
    </row>
    <row r="15">
      <c r="C15" s="12">
        <v>39</v>
      </c>
      <c r="D15" s="12">
        <v>1</v>
      </c>
      <c r="E15" s="12"/>
    </row>
    <row r="16">
      <c r="C16" s="12">
        <v>40</v>
      </c>
      <c r="D16" s="12">
        <v>1</v>
      </c>
      <c r="E16" s="12"/>
    </row>
    <row r="17">
      <c r="C17" s="12">
        <v>41</v>
      </c>
      <c r="D17" s="12">
        <v>2</v>
      </c>
      <c r="E17" s="12"/>
    </row>
    <row r="18">
      <c r="C18" s="12">
        <v>42</v>
      </c>
      <c r="D18" s="12">
        <v>2</v>
      </c>
      <c r="E18" s="12"/>
    </row>
    <row r="19">
      <c r="C19" s="12">
        <v>6</v>
      </c>
      <c r="D19" s="12">
        <v>1</v>
      </c>
      <c r="E19" s="12"/>
    </row>
    <row r="20">
      <c r="C20" s="12">
        <v>43</v>
      </c>
      <c r="D20" s="12">
        <v>2</v>
      </c>
      <c r="E20" s="12"/>
    </row>
    <row r="21">
      <c r="C21" s="12">
        <v>44</v>
      </c>
      <c r="D21" s="12">
        <v>2</v>
      </c>
      <c r="E21" s="12"/>
    </row>
    <row r="22">
      <c r="C22" s="12">
        <v>45</v>
      </c>
      <c r="D22" s="12">
        <v>2</v>
      </c>
      <c r="E22" s="12"/>
    </row>
    <row r="23">
      <c r="C23" s="12">
        <v>46</v>
      </c>
      <c r="D23" s="12">
        <v>3</v>
      </c>
      <c r="E23" s="12" t="s">
        <v>508</v>
      </c>
    </row>
    <row r="24">
      <c r="C24" s="12">
        <v>47</v>
      </c>
      <c r="D24" s="12">
        <v>2</v>
      </c>
      <c r="E24" s="12"/>
    </row>
    <row r="25">
      <c r="C25" s="12">
        <v>48</v>
      </c>
      <c r="D25" s="12">
        <v>3</v>
      </c>
      <c r="E25" s="12" t="s">
        <v>508</v>
      </c>
    </row>
    <row r="26">
      <c r="C26" s="12">
        <v>49</v>
      </c>
      <c r="D26" s="12">
        <v>1</v>
      </c>
      <c r="E26" s="12"/>
    </row>
    <row r="27">
      <c r="C27" s="12">
        <v>50</v>
      </c>
      <c r="D27" s="12">
        <v>1</v>
      </c>
      <c r="E27" s="12"/>
    </row>
    <row r="28">
      <c r="C28" s="12">
        <v>51</v>
      </c>
      <c r="D28" s="12">
        <v>1</v>
      </c>
      <c r="E28" s="12"/>
    </row>
    <row r="29">
      <c r="C29" s="12">
        <v>52</v>
      </c>
      <c r="D29" s="12">
        <v>1</v>
      </c>
      <c r="E29" s="12"/>
    </row>
    <row r="30">
      <c r="C30" s="12">
        <v>53</v>
      </c>
      <c r="D30" s="12">
        <v>2</v>
      </c>
      <c r="E30" s="12"/>
    </row>
    <row r="31">
      <c r="C31" s="12">
        <v>54</v>
      </c>
      <c r="D31" s="12">
        <v>1</v>
      </c>
      <c r="E31" s="12"/>
    </row>
    <row r="32">
      <c r="C32" s="12">
        <v>55</v>
      </c>
      <c r="D32" s="12">
        <v>1</v>
      </c>
      <c r="E32" s="12"/>
    </row>
    <row r="33">
      <c r="C33" s="12">
        <v>56</v>
      </c>
      <c r="D33" s="12">
        <v>2</v>
      </c>
      <c r="E33" s="12"/>
    </row>
    <row r="34">
      <c r="C34" s="12">
        <v>57</v>
      </c>
      <c r="D34" s="12">
        <v>2</v>
      </c>
      <c r="E34" s="12"/>
    </row>
    <row r="35">
      <c r="C35" s="12">
        <v>58</v>
      </c>
      <c r="D35" s="12">
        <v>1</v>
      </c>
      <c r="E35" s="12"/>
    </row>
    <row r="36">
      <c r="C36" s="12">
        <v>59</v>
      </c>
      <c r="D36" s="12">
        <v>2</v>
      </c>
      <c r="E36" s="12"/>
    </row>
    <row r="37">
      <c r="C37" s="12">
        <v>60</v>
      </c>
      <c r="D37" s="12">
        <v>1</v>
      </c>
      <c r="E37" s="12"/>
    </row>
    <row r="38">
      <c r="C38" s="12">
        <v>61</v>
      </c>
      <c r="D38" s="12">
        <v>1</v>
      </c>
      <c r="E38" s="12"/>
    </row>
    <row r="39">
      <c r="C39" s="12">
        <v>62</v>
      </c>
      <c r="D39" s="12">
        <v>2</v>
      </c>
      <c r="E39" s="12"/>
    </row>
    <row r="40">
      <c r="C40" s="12">
        <v>63</v>
      </c>
      <c r="D40" s="12">
        <v>3</v>
      </c>
      <c r="E40" s="12" t="s">
        <v>508</v>
      </c>
    </row>
    <row r="41">
      <c r="C41" s="12">
        <v>64</v>
      </c>
      <c r="D41" s="12">
        <v>1</v>
      </c>
      <c r="E41" s="12"/>
    </row>
    <row r="42">
      <c r="C42" s="12">
        <v>65</v>
      </c>
      <c r="D42" s="12">
        <v>1</v>
      </c>
      <c r="E42" s="12"/>
    </row>
    <row r="43">
      <c r="C43" s="12">
        <v>66</v>
      </c>
      <c r="D43" s="12">
        <v>1</v>
      </c>
      <c r="E43" s="12"/>
    </row>
    <row r="44">
      <c r="C44" s="12">
        <v>67</v>
      </c>
      <c r="D44" s="12">
        <v>1</v>
      </c>
      <c r="E44" s="12"/>
    </row>
    <row r="45">
      <c r="C45" s="12">
        <v>68</v>
      </c>
      <c r="D45" s="12">
        <v>1</v>
      </c>
      <c r="E45" s="12"/>
    </row>
    <row r="46">
      <c r="C46" s="12">
        <v>9</v>
      </c>
      <c r="D46" s="12">
        <v>2</v>
      </c>
      <c r="E46" s="12"/>
    </row>
    <row r="47">
      <c r="C47" s="12">
        <v>10</v>
      </c>
      <c r="D47" s="12">
        <v>3</v>
      </c>
      <c r="E47" s="12" t="s">
        <v>508</v>
      </c>
    </row>
    <row r="48">
      <c r="C48" s="12">
        <v>69</v>
      </c>
      <c r="D48" s="12">
        <v>1</v>
      </c>
      <c r="E48" s="12"/>
    </row>
    <row r="49">
      <c r="C49" s="12">
        <v>70</v>
      </c>
      <c r="D49" s="12">
        <v>2</v>
      </c>
      <c r="E49" s="12"/>
    </row>
    <row r="50">
      <c r="C50" s="12">
        <v>71</v>
      </c>
      <c r="D50" s="12">
        <v>2</v>
      </c>
      <c r="E50" s="12"/>
    </row>
    <row r="51">
      <c r="C51" s="12">
        <v>72</v>
      </c>
      <c r="D51" s="12">
        <v>1</v>
      </c>
      <c r="E51" s="12"/>
    </row>
    <row r="52">
      <c r="C52" s="12">
        <v>73</v>
      </c>
      <c r="D52" s="12">
        <v>1</v>
      </c>
      <c r="E52" s="12"/>
    </row>
    <row r="53">
      <c r="C53" s="12">
        <v>74</v>
      </c>
      <c r="D53" s="12">
        <v>2</v>
      </c>
      <c r="E53" s="12"/>
    </row>
    <row r="54">
      <c r="C54" s="12">
        <v>75</v>
      </c>
      <c r="D54" s="12">
        <v>2</v>
      </c>
      <c r="E54" s="12"/>
    </row>
    <row r="55">
      <c r="C55" s="12">
        <v>76</v>
      </c>
      <c r="D55" s="12">
        <v>2</v>
      </c>
      <c r="E55" s="12"/>
    </row>
    <row r="56">
      <c r="C56" s="12">
        <v>77</v>
      </c>
      <c r="D56" s="12">
        <v>3</v>
      </c>
      <c r="E56" s="12" t="s">
        <v>508</v>
      </c>
    </row>
    <row r="57">
      <c r="C57" s="12">
        <v>78</v>
      </c>
      <c r="D57" s="12">
        <v>2</v>
      </c>
      <c r="E57" s="12"/>
    </row>
    <row r="58">
      <c r="C58" s="12">
        <v>79</v>
      </c>
      <c r="D58" s="12">
        <v>2</v>
      </c>
      <c r="E58" s="12"/>
    </row>
    <row r="59">
      <c r="C59" s="12">
        <v>80</v>
      </c>
      <c r="D59" s="12">
        <v>3</v>
      </c>
      <c r="E59" s="12" t="s">
        <v>508</v>
      </c>
    </row>
    <row r="60">
      <c r="C60" s="12">
        <v>81</v>
      </c>
      <c r="D60" s="12">
        <v>2</v>
      </c>
      <c r="E60" s="12"/>
    </row>
    <row r="61">
      <c r="C61" s="12">
        <v>82</v>
      </c>
      <c r="D61" s="12">
        <v>2</v>
      </c>
      <c r="E61" s="12"/>
    </row>
    <row r="62">
      <c r="C62" s="12">
        <v>83</v>
      </c>
      <c r="D62" s="12">
        <v>1</v>
      </c>
      <c r="E62" s="12"/>
    </row>
    <row r="63">
      <c r="C63" s="12">
        <v>84</v>
      </c>
      <c r="D63" s="12">
        <v>1</v>
      </c>
      <c r="E63" s="12"/>
    </row>
    <row r="64">
      <c r="C64" s="12">
        <v>85</v>
      </c>
      <c r="D64" s="12">
        <v>1</v>
      </c>
      <c r="E64" s="12"/>
    </row>
    <row r="65">
      <c r="C65" s="12">
        <v>86</v>
      </c>
      <c r="D65" s="12">
        <v>3</v>
      </c>
      <c r="E65" s="12" t="s">
        <v>508</v>
      </c>
    </row>
    <row r="66">
      <c r="C66" s="12">
        <v>87</v>
      </c>
      <c r="D66" s="12">
        <v>2</v>
      </c>
      <c r="E66" s="12"/>
    </row>
    <row r="67">
      <c r="C67" s="12">
        <v>88</v>
      </c>
      <c r="D67" s="12">
        <v>1</v>
      </c>
      <c r="E67" s="12"/>
    </row>
    <row r="68">
      <c r="C68" s="12">
        <v>89</v>
      </c>
      <c r="D68" s="12">
        <v>2</v>
      </c>
      <c r="E68" s="12"/>
    </row>
    <row r="69">
      <c r="C69" s="12">
        <v>90</v>
      </c>
      <c r="D69" s="12">
        <v>2</v>
      </c>
      <c r="E69" s="12"/>
    </row>
    <row r="70">
      <c r="C70" s="12">
        <v>91</v>
      </c>
      <c r="D70" s="12">
        <v>2</v>
      </c>
      <c r="E70" s="12"/>
    </row>
    <row r="71">
      <c r="C71" s="12">
        <v>92</v>
      </c>
      <c r="D71" s="12">
        <v>3</v>
      </c>
      <c r="E71" s="12" t="s">
        <v>508</v>
      </c>
    </row>
    <row r="72">
      <c r="C72" s="12">
        <v>93</v>
      </c>
      <c r="D72" s="12">
        <v>2</v>
      </c>
      <c r="E72" s="12"/>
    </row>
    <row r="73">
      <c r="C73" s="12">
        <v>94</v>
      </c>
      <c r="D73" s="12">
        <v>3</v>
      </c>
      <c r="E73" s="12" t="s">
        <v>508</v>
      </c>
    </row>
    <row r="74">
      <c r="C74" s="12">
        <v>95</v>
      </c>
      <c r="D74" s="12">
        <v>2</v>
      </c>
      <c r="E74" s="12"/>
    </row>
    <row r="75">
      <c r="C75" s="12">
        <v>96</v>
      </c>
      <c r="D75" s="12">
        <v>2</v>
      </c>
      <c r="E75" s="12"/>
    </row>
    <row r="76">
      <c r="C76" s="12">
        <v>97</v>
      </c>
      <c r="D76" s="12">
        <v>1</v>
      </c>
      <c r="E76" s="12"/>
    </row>
    <row r="77">
      <c r="C77" s="12">
        <v>98</v>
      </c>
      <c r="D77" s="12">
        <v>2</v>
      </c>
      <c r="E77" s="12"/>
    </row>
    <row r="78">
      <c r="C78" s="12">
        <v>99</v>
      </c>
      <c r="D78" s="12">
        <v>2</v>
      </c>
      <c r="E78" s="12"/>
    </row>
    <row r="79">
      <c r="C79" s="12">
        <v>100</v>
      </c>
      <c r="D79" s="12">
        <v>1</v>
      </c>
      <c r="E79" s="12"/>
    </row>
    <row r="80">
      <c r="C80" s="12">
        <v>101</v>
      </c>
      <c r="D80" s="12">
        <v>3</v>
      </c>
      <c r="E80" s="12" t="s">
        <v>508</v>
      </c>
    </row>
    <row r="81">
      <c r="C81" s="12">
        <v>102</v>
      </c>
      <c r="D81" s="12">
        <v>2</v>
      </c>
      <c r="E81" s="12"/>
    </row>
    <row r="82">
      <c r="C82" s="12">
        <v>103</v>
      </c>
      <c r="D82" s="12">
        <v>3</v>
      </c>
      <c r="E82" s="12" t="s">
        <v>508</v>
      </c>
    </row>
    <row r="83">
      <c r="C83" s="12">
        <v>104</v>
      </c>
      <c r="D83" s="12">
        <v>1</v>
      </c>
      <c r="E83" s="12"/>
    </row>
    <row r="84">
      <c r="C84" s="12">
        <v>105</v>
      </c>
      <c r="D84" s="12">
        <v>3</v>
      </c>
      <c r="E84" s="12" t="s">
        <v>508</v>
      </c>
    </row>
    <row r="85">
      <c r="C85" s="12">
        <v>106</v>
      </c>
      <c r="D85" s="12">
        <v>3</v>
      </c>
      <c r="E85" s="12" t="s">
        <v>508</v>
      </c>
    </row>
    <row r="86">
      <c r="C86" s="12">
        <v>107</v>
      </c>
      <c r="D86" s="12">
        <v>2</v>
      </c>
      <c r="E86" s="12"/>
    </row>
    <row r="87">
      <c r="C87" s="12">
        <v>108</v>
      </c>
      <c r="D87" s="12">
        <v>1</v>
      </c>
      <c r="E87" s="12"/>
    </row>
    <row r="88">
      <c r="C88" s="12">
        <v>109</v>
      </c>
      <c r="D88" s="12">
        <v>2</v>
      </c>
      <c r="E88" s="12"/>
    </row>
    <row r="89">
      <c r="C89" s="12">
        <v>110</v>
      </c>
      <c r="D89" s="12">
        <v>2</v>
      </c>
      <c r="E89" s="12"/>
    </row>
    <row r="90">
      <c r="C90" s="12">
        <v>111</v>
      </c>
      <c r="D90" s="12">
        <v>2</v>
      </c>
      <c r="E90" s="12"/>
    </row>
    <row r="91">
      <c r="C91" s="12">
        <v>112</v>
      </c>
      <c r="D91" s="12">
        <v>2</v>
      </c>
      <c r="E91" s="12"/>
    </row>
    <row r="92">
      <c r="C92" s="12">
        <v>113</v>
      </c>
      <c r="D92" s="12">
        <v>1</v>
      </c>
      <c r="E92" s="12"/>
    </row>
    <row r="93">
      <c r="C93" s="12">
        <v>114</v>
      </c>
      <c r="D93" s="12">
        <v>3</v>
      </c>
      <c r="E93" s="12" t="s">
        <v>508</v>
      </c>
    </row>
    <row r="94">
      <c r="C94" s="12">
        <v>115</v>
      </c>
      <c r="D94" s="12">
        <v>1</v>
      </c>
      <c r="E94" s="12"/>
    </row>
    <row r="95">
      <c r="C95" s="12">
        <v>116</v>
      </c>
      <c r="D95" s="12">
        <v>2</v>
      </c>
      <c r="E95" s="12"/>
    </row>
    <row r="96">
      <c r="C96" s="12">
        <v>117</v>
      </c>
      <c r="D96" s="12">
        <v>2</v>
      </c>
      <c r="E96" s="12"/>
    </row>
    <row r="97">
      <c r="C97" s="12">
        <v>118</v>
      </c>
      <c r="D97" s="12">
        <v>2</v>
      </c>
      <c r="E97" s="12"/>
    </row>
    <row r="98">
      <c r="C98" s="12">
        <v>119</v>
      </c>
      <c r="D98" s="12">
        <v>2</v>
      </c>
      <c r="E98" s="12"/>
    </row>
    <row r="99">
      <c r="C99" s="12">
        <v>120</v>
      </c>
      <c r="D99" s="12">
        <v>2</v>
      </c>
      <c r="E99" s="12"/>
    </row>
    <row r="100">
      <c r="C100" s="12">
        <v>121</v>
      </c>
      <c r="D100" s="12">
        <v>2</v>
      </c>
      <c r="E100" s="12"/>
    </row>
    <row r="101">
      <c r="C101" s="12">
        <v>122</v>
      </c>
      <c r="D101" s="12">
        <v>3</v>
      </c>
      <c r="E101" s="12" t="s">
        <v>508</v>
      </c>
    </row>
    <row r="102">
      <c r="C102" s="12">
        <v>236</v>
      </c>
      <c r="D102" s="12">
        <v>1</v>
      </c>
      <c r="E102" s="12"/>
    </row>
    <row r="103">
      <c r="C103" s="12">
        <v>237</v>
      </c>
      <c r="D103" s="12">
        <v>2</v>
      </c>
      <c r="E103" s="12"/>
    </row>
    <row r="104">
      <c r="C104" s="12">
        <v>238</v>
      </c>
      <c r="D104" s="12">
        <v>2</v>
      </c>
      <c r="E104" s="12"/>
    </row>
    <row r="105">
      <c r="C105" s="12">
        <v>239</v>
      </c>
      <c r="D105" s="12">
        <v>3</v>
      </c>
      <c r="E105" s="12" t="s">
        <v>508</v>
      </c>
    </row>
    <row r="106">
      <c r="C106" s="12">
        <v>240</v>
      </c>
      <c r="D106" s="12">
        <v>2</v>
      </c>
      <c r="E106" s="12"/>
    </row>
    <row r="107">
      <c r="C107" s="12">
        <v>241</v>
      </c>
      <c r="D107" s="12">
        <v>2</v>
      </c>
      <c r="E107" s="12"/>
    </row>
    <row r="108">
      <c r="C108" s="12">
        <v>242</v>
      </c>
      <c r="D108" s="12">
        <v>2</v>
      </c>
      <c r="E108" s="12"/>
    </row>
    <row r="109">
      <c r="C109" s="12">
        <v>243</v>
      </c>
      <c r="D109" s="12">
        <v>3</v>
      </c>
      <c r="E109" s="12" t="s">
        <v>508</v>
      </c>
    </row>
    <row r="110">
      <c r="C110" s="12">
        <v>244</v>
      </c>
      <c r="D110" s="12">
        <v>2</v>
      </c>
      <c r="E110" s="12"/>
    </row>
    <row r="111">
      <c r="C111" s="12">
        <v>245</v>
      </c>
      <c r="D111" s="12">
        <v>3</v>
      </c>
      <c r="E111" s="12" t="s">
        <v>508</v>
      </c>
    </row>
    <row r="112">
      <c r="C112" s="12">
        <v>246</v>
      </c>
      <c r="D112" s="12">
        <v>2</v>
      </c>
      <c r="E112" s="12"/>
    </row>
    <row r="113">
      <c r="C113" s="12">
        <v>247</v>
      </c>
      <c r="D113" s="12">
        <v>3</v>
      </c>
      <c r="E113" s="12" t="s">
        <v>508</v>
      </c>
    </row>
    <row r="114">
      <c r="C114" s="12">
        <v>248</v>
      </c>
      <c r="D114" s="12">
        <v>3</v>
      </c>
      <c r="E114" s="12" t="s">
        <v>508</v>
      </c>
    </row>
    <row r="115">
      <c r="C115" s="12">
        <v>249</v>
      </c>
      <c r="D115" s="12">
        <v>3</v>
      </c>
      <c r="E115" s="12" t="s">
        <v>508</v>
      </c>
    </row>
    <row r="116">
      <c r="C116" s="12">
        <v>250</v>
      </c>
      <c r="D116" s="12">
        <v>3</v>
      </c>
      <c r="E116" s="12" t="s">
        <v>508</v>
      </c>
    </row>
    <row r="117">
      <c r="C117" s="12">
        <v>251</v>
      </c>
      <c r="D117" s="12">
        <v>3</v>
      </c>
      <c r="E117" s="12" t="s">
        <v>508</v>
      </c>
    </row>
    <row r="118">
      <c r="C118" s="12">
        <v>252</v>
      </c>
      <c r="D118" s="12">
        <v>3</v>
      </c>
      <c r="E118" s="12" t="s">
        <v>508</v>
      </c>
    </row>
    <row r="119">
      <c r="C119" s="12">
        <v>253</v>
      </c>
      <c r="D119" s="12">
        <v>3</v>
      </c>
      <c r="E119" s="12" t="s">
        <v>508</v>
      </c>
    </row>
    <row r="120">
      <c r="C120" s="12">
        <v>254</v>
      </c>
      <c r="D120" s="12">
        <v>3</v>
      </c>
      <c r="E120" s="12" t="s">
        <v>508</v>
      </c>
    </row>
    <row r="121">
      <c r="C121" s="12">
        <v>255</v>
      </c>
      <c r="D121" s="12">
        <v>3</v>
      </c>
      <c r="E121" s="12" t="s">
        <v>508</v>
      </c>
    </row>
    <row r="122">
      <c r="C122" s="12">
        <v>256</v>
      </c>
      <c r="D122" s="12">
        <v>3</v>
      </c>
      <c r="E122" s="12" t="s">
        <v>508</v>
      </c>
    </row>
    <row r="123">
      <c r="C123" s="12">
        <v>257</v>
      </c>
      <c r="D123" s="12">
        <v>3</v>
      </c>
      <c r="E123" s="12" t="s">
        <v>508</v>
      </c>
    </row>
    <row r="124">
      <c r="C124" s="12">
        <v>258</v>
      </c>
      <c r="D124" s="12">
        <v>3</v>
      </c>
      <c r="E124" s="12" t="s">
        <v>508</v>
      </c>
    </row>
    <row r="125">
      <c r="C125" s="12">
        <v>259</v>
      </c>
      <c r="D125" s="12">
        <v>3</v>
      </c>
      <c r="E125" s="12" t="s">
        <v>508</v>
      </c>
    </row>
    <row r="126">
      <c r="C126" s="12">
        <v>260</v>
      </c>
      <c r="D126" s="12">
        <v>3</v>
      </c>
      <c r="E126" s="12" t="s">
        <v>508</v>
      </c>
    </row>
    <row r="127">
      <c r="C127" s="12">
        <v>261</v>
      </c>
      <c r="D127" s="12">
        <v>3</v>
      </c>
      <c r="E127" s="12" t="s">
        <v>508</v>
      </c>
    </row>
    <row r="128">
      <c r="C128" s="12">
        <v>13</v>
      </c>
      <c r="D128" s="12">
        <v>1</v>
      </c>
      <c r="E128" s="12"/>
    </row>
    <row r="129">
      <c r="C129" s="12">
        <v>11</v>
      </c>
      <c r="D129" s="12">
        <v>1</v>
      </c>
      <c r="E129" s="12"/>
    </row>
    <row r="130">
      <c r="C130" s="12">
        <v>14</v>
      </c>
      <c r="D130" s="12">
        <v>1</v>
      </c>
      <c r="E130" s="12"/>
    </row>
    <row r="131">
      <c r="C131" s="12">
        <v>15</v>
      </c>
      <c r="D131" s="12">
        <v>1</v>
      </c>
      <c r="E131" s="12"/>
    </row>
    <row r="132">
      <c r="C132" s="12">
        <v>12</v>
      </c>
      <c r="D132" s="12">
        <v>1</v>
      </c>
      <c r="E132" s="12"/>
    </row>
    <row r="133">
      <c r="C133" s="12">
        <v>16</v>
      </c>
      <c r="D133" s="12">
        <v>1</v>
      </c>
      <c r="E133" s="12"/>
    </row>
    <row r="134">
      <c r="C134" s="12">
        <v>17</v>
      </c>
      <c r="D134" s="12">
        <v>2</v>
      </c>
      <c r="E134" s="12"/>
    </row>
    <row r="135">
      <c r="C135" s="12">
        <v>18</v>
      </c>
      <c r="D135" s="12">
        <v>1</v>
      </c>
      <c r="E135" s="12"/>
    </row>
    <row r="136">
      <c r="C136" s="12">
        <v>123</v>
      </c>
      <c r="D136" s="12">
        <v>1</v>
      </c>
      <c r="E136" s="12"/>
    </row>
    <row r="137">
      <c r="C137" s="12">
        <v>20</v>
      </c>
      <c r="D137" s="12">
        <v>1</v>
      </c>
      <c r="E137" s="12"/>
    </row>
    <row r="138">
      <c r="C138" s="12">
        <v>124</v>
      </c>
      <c r="D138" s="12">
        <v>2</v>
      </c>
      <c r="E138" s="12"/>
    </row>
    <row r="139">
      <c r="C139" s="12">
        <v>19</v>
      </c>
      <c r="D139" s="12">
        <v>1</v>
      </c>
      <c r="E139" s="12"/>
    </row>
    <row r="140">
      <c r="C140" s="12">
        <v>125</v>
      </c>
      <c r="D140" s="12">
        <v>2</v>
      </c>
      <c r="E140" s="12"/>
    </row>
    <row r="141">
      <c r="C141" s="12">
        <v>126</v>
      </c>
      <c r="D141" s="12">
        <v>2</v>
      </c>
      <c r="E141" s="12"/>
    </row>
    <row r="142">
      <c r="C142" s="12">
        <v>127</v>
      </c>
      <c r="D142" s="12">
        <v>1</v>
      </c>
      <c r="E142" s="12"/>
    </row>
    <row r="143">
      <c r="C143" s="12">
        <v>128</v>
      </c>
      <c r="D143" s="12">
        <v>2</v>
      </c>
      <c r="E143" s="12"/>
    </row>
    <row r="144">
      <c r="C144" s="12">
        <v>129</v>
      </c>
      <c r="D144" s="12">
        <v>1</v>
      </c>
      <c r="E144" s="12"/>
    </row>
    <row r="145">
      <c r="C145" s="12">
        <v>130</v>
      </c>
      <c r="D145" s="12">
        <v>1</v>
      </c>
      <c r="E145" s="12"/>
    </row>
    <row r="146">
      <c r="C146" s="12">
        <v>131</v>
      </c>
      <c r="D146" s="12">
        <v>1</v>
      </c>
      <c r="E146" s="12"/>
    </row>
    <row r="147">
      <c r="C147" s="12">
        <v>132</v>
      </c>
      <c r="D147" s="12">
        <v>2</v>
      </c>
      <c r="E147" s="12"/>
    </row>
    <row r="148">
      <c r="C148" s="12">
        <v>133</v>
      </c>
      <c r="D148" s="12">
        <v>1</v>
      </c>
      <c r="E148" s="12"/>
    </row>
    <row r="149">
      <c r="C149" s="12">
        <v>134</v>
      </c>
      <c r="D149" s="12">
        <v>2</v>
      </c>
      <c r="E149" s="12"/>
    </row>
    <row r="150">
      <c r="C150" s="12">
        <v>135</v>
      </c>
      <c r="D150" s="12">
        <v>2</v>
      </c>
      <c r="E150" s="12"/>
    </row>
    <row r="151">
      <c r="C151" s="12">
        <v>136</v>
      </c>
      <c r="D151" s="12">
        <v>3</v>
      </c>
      <c r="E151" s="12" t="s">
        <v>508</v>
      </c>
    </row>
    <row r="152">
      <c r="C152" s="12">
        <v>137</v>
      </c>
      <c r="D152" s="12">
        <v>1</v>
      </c>
      <c r="E152" s="12"/>
    </row>
    <row r="153">
      <c r="C153" s="12">
        <v>138</v>
      </c>
      <c r="D153" s="12">
        <v>1</v>
      </c>
      <c r="E153" s="12"/>
    </row>
    <row r="154">
      <c r="C154" s="12">
        <v>139</v>
      </c>
      <c r="D154" s="12">
        <v>3</v>
      </c>
      <c r="E154" s="12" t="s">
        <v>508</v>
      </c>
    </row>
    <row r="155">
      <c r="C155" s="12">
        <v>140</v>
      </c>
      <c r="D155" s="12">
        <v>2</v>
      </c>
      <c r="E155" s="12"/>
    </row>
    <row r="156">
      <c r="C156" s="12">
        <v>141</v>
      </c>
      <c r="D156" s="12">
        <v>1</v>
      </c>
      <c r="E156" s="12"/>
    </row>
    <row r="157">
      <c r="C157" s="12">
        <v>142</v>
      </c>
      <c r="D157" s="12">
        <v>2</v>
      </c>
      <c r="E157" s="12"/>
    </row>
    <row r="158">
      <c r="C158" s="12">
        <v>143</v>
      </c>
      <c r="D158" s="12">
        <v>2</v>
      </c>
      <c r="E158" s="12"/>
    </row>
    <row r="159">
      <c r="C159" s="12">
        <v>144</v>
      </c>
      <c r="D159" s="12">
        <v>1</v>
      </c>
      <c r="E159" s="12"/>
    </row>
    <row r="160">
      <c r="C160" s="12">
        <v>145</v>
      </c>
      <c r="D160" s="12">
        <v>2</v>
      </c>
      <c r="E160" s="12"/>
    </row>
    <row r="161">
      <c r="C161" s="12">
        <v>146</v>
      </c>
      <c r="D161" s="12">
        <v>1</v>
      </c>
      <c r="E161" s="12"/>
    </row>
    <row r="162">
      <c r="C162" s="12">
        <v>147</v>
      </c>
      <c r="D162" s="12">
        <v>3</v>
      </c>
      <c r="E162" s="12" t="s">
        <v>508</v>
      </c>
    </row>
    <row r="163">
      <c r="C163" s="12">
        <v>148</v>
      </c>
      <c r="D163" s="12">
        <v>1</v>
      </c>
      <c r="E163" s="12"/>
    </row>
    <row r="164">
      <c r="C164" s="12">
        <v>149</v>
      </c>
      <c r="D164" s="12">
        <v>3</v>
      </c>
      <c r="E164" s="12" t="s">
        <v>508</v>
      </c>
    </row>
    <row r="165">
      <c r="C165" s="12">
        <v>150</v>
      </c>
      <c r="D165" s="12">
        <v>3</v>
      </c>
      <c r="E165" s="12" t="s">
        <v>508</v>
      </c>
    </row>
    <row r="166">
      <c r="C166" s="12">
        <v>151</v>
      </c>
      <c r="D166" s="12">
        <v>3</v>
      </c>
      <c r="E166" s="12" t="s">
        <v>508</v>
      </c>
    </row>
    <row r="167">
      <c r="C167" s="12">
        <v>152</v>
      </c>
      <c r="D167" s="12">
        <v>3</v>
      </c>
      <c r="E167" s="12" t="s">
        <v>508</v>
      </c>
    </row>
    <row r="168">
      <c r="C168" s="12">
        <v>153</v>
      </c>
      <c r="D168" s="12">
        <v>2</v>
      </c>
      <c r="E168" s="12"/>
    </row>
    <row r="169">
      <c r="C169" s="12">
        <v>154</v>
      </c>
      <c r="D169" s="12">
        <v>3</v>
      </c>
      <c r="E169" s="12" t="s">
        <v>508</v>
      </c>
    </row>
    <row r="170">
      <c r="C170" s="12">
        <v>155</v>
      </c>
      <c r="D170" s="12">
        <v>1</v>
      </c>
      <c r="E170" s="12"/>
    </row>
    <row r="171">
      <c r="C171" s="12">
        <v>156</v>
      </c>
      <c r="D171" s="12">
        <v>3</v>
      </c>
      <c r="E171" s="12" t="s">
        <v>508</v>
      </c>
    </row>
    <row r="172">
      <c r="C172" s="12">
        <v>157</v>
      </c>
      <c r="D172" s="12">
        <v>2</v>
      </c>
      <c r="E172" s="12"/>
    </row>
    <row r="173">
      <c r="C173" s="12">
        <v>158</v>
      </c>
      <c r="D173" s="12">
        <v>3</v>
      </c>
      <c r="E173" s="12" t="s">
        <v>508</v>
      </c>
    </row>
    <row r="174">
      <c r="C174" s="12">
        <v>159</v>
      </c>
      <c r="D174" s="12">
        <v>2</v>
      </c>
      <c r="E174" s="12"/>
    </row>
    <row r="175">
      <c r="C175" s="12">
        <v>160</v>
      </c>
      <c r="D175" s="12">
        <v>1</v>
      </c>
      <c r="E175" s="12"/>
    </row>
    <row r="176">
      <c r="C176" s="12">
        <v>161</v>
      </c>
      <c r="D176" s="12">
        <v>2</v>
      </c>
      <c r="E176" s="12"/>
    </row>
    <row r="177">
      <c r="C177" s="12">
        <v>162</v>
      </c>
      <c r="D177" s="12">
        <v>2</v>
      </c>
      <c r="E177" s="12"/>
    </row>
    <row r="178">
      <c r="C178" s="12">
        <v>163</v>
      </c>
      <c r="D178" s="12">
        <v>2</v>
      </c>
      <c r="E178" s="12"/>
    </row>
    <row r="179">
      <c r="C179" s="12">
        <v>164</v>
      </c>
      <c r="D179" s="12">
        <v>2</v>
      </c>
      <c r="E179" s="12"/>
    </row>
    <row r="180">
      <c r="C180" s="12">
        <v>165</v>
      </c>
      <c r="D180" s="12">
        <v>2</v>
      </c>
      <c r="E180" s="12"/>
    </row>
    <row r="181">
      <c r="C181" s="12">
        <v>166</v>
      </c>
      <c r="D181" s="12">
        <v>2</v>
      </c>
      <c r="E181" s="12"/>
    </row>
    <row r="182">
      <c r="C182" s="12">
        <v>167</v>
      </c>
      <c r="D182" s="12">
        <v>3</v>
      </c>
      <c r="E182" s="12" t="s">
        <v>508</v>
      </c>
    </row>
    <row r="183">
      <c r="C183" s="12">
        <v>168</v>
      </c>
      <c r="D183" s="12">
        <v>2</v>
      </c>
      <c r="E183" s="12"/>
    </row>
    <row r="184">
      <c r="C184" s="12">
        <v>169</v>
      </c>
      <c r="D184" s="12">
        <v>2</v>
      </c>
      <c r="E184" s="12"/>
    </row>
    <row r="185">
      <c r="C185" s="12">
        <v>170</v>
      </c>
      <c r="D185" s="12">
        <v>3</v>
      </c>
      <c r="E185" s="12" t="s">
        <v>508</v>
      </c>
    </row>
    <row r="186">
      <c r="C186" s="12">
        <v>171</v>
      </c>
      <c r="D186" s="12">
        <v>1</v>
      </c>
      <c r="E186" s="12"/>
    </row>
    <row r="187">
      <c r="C187" s="12">
        <v>172</v>
      </c>
      <c r="D187" s="12">
        <v>3</v>
      </c>
      <c r="E187" s="12" t="s">
        <v>508</v>
      </c>
    </row>
    <row r="188">
      <c r="C188" s="12">
        <v>173</v>
      </c>
      <c r="D188" s="12">
        <v>3</v>
      </c>
      <c r="E188" s="12" t="s">
        <v>508</v>
      </c>
    </row>
    <row r="189">
      <c r="C189" s="12">
        <v>174</v>
      </c>
      <c r="D189" s="12">
        <v>2</v>
      </c>
      <c r="E189" s="12"/>
    </row>
    <row r="190">
      <c r="C190" s="12">
        <v>175</v>
      </c>
      <c r="D190" s="12">
        <v>3</v>
      </c>
      <c r="E190" s="12" t="s">
        <v>508</v>
      </c>
    </row>
    <row r="191">
      <c r="C191" s="12">
        <v>176</v>
      </c>
      <c r="D191" s="12">
        <v>1</v>
      </c>
      <c r="E191" s="12"/>
    </row>
    <row r="192">
      <c r="C192" s="12">
        <v>177</v>
      </c>
      <c r="D192" s="12">
        <v>3</v>
      </c>
      <c r="E192" s="12" t="s">
        <v>508</v>
      </c>
    </row>
    <row r="193">
      <c r="C193" s="12">
        <v>178</v>
      </c>
      <c r="D193" s="12">
        <v>1</v>
      </c>
      <c r="E193" s="12"/>
    </row>
    <row r="194">
      <c r="C194" s="12">
        <v>179</v>
      </c>
      <c r="D194" s="12">
        <v>1</v>
      </c>
      <c r="E194" s="12"/>
    </row>
    <row r="195">
      <c r="C195" s="12">
        <v>180</v>
      </c>
      <c r="D195" s="12">
        <v>2</v>
      </c>
      <c r="E195" s="12"/>
    </row>
    <row r="196">
      <c r="C196" s="12">
        <v>181</v>
      </c>
      <c r="D196" s="12">
        <v>3</v>
      </c>
      <c r="E196" s="12" t="s">
        <v>508</v>
      </c>
    </row>
    <row r="197">
      <c r="C197" s="12">
        <v>182</v>
      </c>
      <c r="D197" s="12">
        <v>3</v>
      </c>
      <c r="E197" s="12" t="s">
        <v>508</v>
      </c>
    </row>
    <row r="198">
      <c r="C198" s="12">
        <v>183</v>
      </c>
      <c r="D198" s="12">
        <v>3</v>
      </c>
      <c r="E198" s="12" t="s">
        <v>508</v>
      </c>
    </row>
    <row r="199">
      <c r="C199" s="12">
        <v>184</v>
      </c>
      <c r="D199" s="12">
        <v>2</v>
      </c>
      <c r="E199" s="12"/>
    </row>
    <row r="200">
      <c r="C200" s="12">
        <v>185</v>
      </c>
      <c r="D200" s="12">
        <v>3</v>
      </c>
      <c r="E200" s="12" t="s">
        <v>508</v>
      </c>
    </row>
    <row r="201">
      <c r="C201" s="12">
        <v>186</v>
      </c>
      <c r="D201" s="12">
        <v>2</v>
      </c>
      <c r="E201" s="12"/>
    </row>
    <row r="202">
      <c r="C202" s="12">
        <v>187</v>
      </c>
      <c r="D202" s="12">
        <v>3</v>
      </c>
      <c r="E202" s="12" t="s">
        <v>508</v>
      </c>
    </row>
    <row r="203">
      <c r="C203" s="12">
        <v>188</v>
      </c>
      <c r="D203" s="12">
        <v>1</v>
      </c>
      <c r="E203" s="12"/>
    </row>
    <row r="204">
      <c r="C204" s="12">
        <v>189</v>
      </c>
      <c r="D204" s="12">
        <v>3</v>
      </c>
      <c r="E204" s="12" t="s">
        <v>508</v>
      </c>
    </row>
    <row r="205">
      <c r="C205" s="12">
        <v>190</v>
      </c>
      <c r="D205" s="12">
        <v>3</v>
      </c>
      <c r="E205" s="12" t="s">
        <v>508</v>
      </c>
    </row>
    <row r="206">
      <c r="C206" s="12">
        <v>191</v>
      </c>
      <c r="D206" s="12">
        <v>3</v>
      </c>
      <c r="E206" s="12" t="s">
        <v>508</v>
      </c>
    </row>
    <row r="207">
      <c r="C207" s="12">
        <v>192</v>
      </c>
      <c r="D207" s="12">
        <v>3</v>
      </c>
      <c r="E207" s="12" t="s">
        <v>508</v>
      </c>
    </row>
    <row r="208">
      <c r="C208" s="12">
        <v>193</v>
      </c>
      <c r="D208" s="12">
        <v>3</v>
      </c>
      <c r="E208" s="12" t="s">
        <v>508</v>
      </c>
    </row>
    <row r="209">
      <c r="C209" s="12">
        <v>194</v>
      </c>
      <c r="D209" s="12">
        <v>3</v>
      </c>
      <c r="E209" s="12" t="s">
        <v>508</v>
      </c>
    </row>
    <row r="210">
      <c r="C210" s="12">
        <v>195</v>
      </c>
      <c r="D210" s="12">
        <v>3</v>
      </c>
      <c r="E210" s="12" t="s">
        <v>508</v>
      </c>
    </row>
    <row r="211">
      <c r="C211" s="12">
        <v>196</v>
      </c>
      <c r="D211" s="12">
        <v>3</v>
      </c>
      <c r="E211" s="12" t="s">
        <v>508</v>
      </c>
    </row>
    <row r="212">
      <c r="C212" s="12">
        <v>197</v>
      </c>
      <c r="D212" s="12">
        <v>1</v>
      </c>
      <c r="E212" s="12"/>
    </row>
    <row r="213">
      <c r="C213" s="12">
        <v>198</v>
      </c>
      <c r="D213" s="12">
        <v>2</v>
      </c>
      <c r="E213" s="12"/>
    </row>
    <row r="214">
      <c r="C214" s="12">
        <v>199</v>
      </c>
      <c r="D214" s="12">
        <v>3</v>
      </c>
      <c r="E214" s="12" t="s">
        <v>508</v>
      </c>
    </row>
    <row r="215">
      <c r="C215" s="12">
        <v>200</v>
      </c>
      <c r="D215" s="12">
        <v>3</v>
      </c>
      <c r="E215" s="12" t="s">
        <v>508</v>
      </c>
    </row>
    <row r="216">
      <c r="C216" s="12">
        <v>201</v>
      </c>
      <c r="D216" s="12">
        <v>2</v>
      </c>
      <c r="E216" s="12"/>
    </row>
    <row r="217">
      <c r="C217" s="12">
        <v>202</v>
      </c>
      <c r="D217" s="12">
        <v>3</v>
      </c>
      <c r="E217" s="12" t="s">
        <v>508</v>
      </c>
    </row>
    <row r="218">
      <c r="C218" s="12">
        <v>203</v>
      </c>
      <c r="D218" s="12">
        <v>3</v>
      </c>
      <c r="E218" s="12" t="s">
        <v>508</v>
      </c>
    </row>
    <row r="219">
      <c r="C219" s="12">
        <v>204</v>
      </c>
      <c r="D219" s="12">
        <v>3</v>
      </c>
      <c r="E219" s="12" t="s">
        <v>508</v>
      </c>
    </row>
    <row r="220">
      <c r="C220" s="12">
        <v>205</v>
      </c>
      <c r="D220" s="12">
        <v>3</v>
      </c>
      <c r="E220" s="12" t="s">
        <v>508</v>
      </c>
    </row>
    <row r="221">
      <c r="C221" s="12">
        <v>206</v>
      </c>
      <c r="D221" s="12">
        <v>3</v>
      </c>
      <c r="E221" s="12" t="s">
        <v>508</v>
      </c>
    </row>
    <row r="222">
      <c r="C222" s="12">
        <v>207</v>
      </c>
      <c r="D222" s="12">
        <v>3</v>
      </c>
      <c r="E222" s="12" t="s">
        <v>508</v>
      </c>
    </row>
    <row r="223">
      <c r="C223" s="12">
        <v>208</v>
      </c>
      <c r="D223" s="12">
        <v>3</v>
      </c>
      <c r="E223" s="12" t="s">
        <v>508</v>
      </c>
    </row>
    <row r="224">
      <c r="C224" s="12">
        <v>209</v>
      </c>
      <c r="D224" s="12">
        <v>2</v>
      </c>
      <c r="E224" s="12"/>
    </row>
    <row r="225">
      <c r="C225" s="12">
        <v>210</v>
      </c>
      <c r="D225" s="12">
        <v>3</v>
      </c>
      <c r="E225" s="12" t="s">
        <v>508</v>
      </c>
    </row>
    <row r="226">
      <c r="C226" s="12">
        <v>211</v>
      </c>
      <c r="D226" s="12">
        <v>3</v>
      </c>
      <c r="E226" s="12" t="s">
        <v>508</v>
      </c>
    </row>
    <row r="227">
      <c r="C227" s="12">
        <v>262</v>
      </c>
      <c r="D227" s="12">
        <v>3</v>
      </c>
      <c r="E227" s="12" t="s">
        <v>508</v>
      </c>
    </row>
    <row r="228">
      <c r="C228" s="12">
        <v>263</v>
      </c>
      <c r="D228" s="12">
        <v>3</v>
      </c>
      <c r="E228" s="12" t="s">
        <v>508</v>
      </c>
    </row>
    <row r="229">
      <c r="C229" s="12">
        <v>264</v>
      </c>
      <c r="D229" s="12">
        <v>3</v>
      </c>
      <c r="E229" s="12" t="s">
        <v>508</v>
      </c>
    </row>
    <row r="230">
      <c r="C230" s="12">
        <v>265</v>
      </c>
      <c r="D230" s="12">
        <v>3</v>
      </c>
      <c r="E230" s="12" t="s">
        <v>508</v>
      </c>
    </row>
    <row r="231">
      <c r="C231" s="12">
        <v>266</v>
      </c>
      <c r="D231" s="12">
        <v>3</v>
      </c>
      <c r="E231" s="12" t="s">
        <v>508</v>
      </c>
    </row>
    <row r="232">
      <c r="C232" s="12">
        <v>267</v>
      </c>
      <c r="D232" s="12">
        <v>2</v>
      </c>
      <c r="E232" s="12"/>
    </row>
    <row r="233">
      <c r="C233" s="12">
        <v>268</v>
      </c>
      <c r="D233" s="12">
        <v>3</v>
      </c>
      <c r="E233" s="12" t="s">
        <v>508</v>
      </c>
    </row>
    <row r="234">
      <c r="C234" s="12">
        <v>269</v>
      </c>
      <c r="D234" s="12">
        <v>3</v>
      </c>
      <c r="E234" s="12" t="s">
        <v>508</v>
      </c>
    </row>
    <row r="235">
      <c r="C235" s="12">
        <v>270</v>
      </c>
      <c r="D235" s="12">
        <v>2</v>
      </c>
      <c r="E235" s="12"/>
    </row>
    <row r="236">
      <c r="C236" s="12">
        <v>271</v>
      </c>
      <c r="D236" s="12">
        <v>2</v>
      </c>
      <c r="E236" s="12"/>
    </row>
    <row r="237">
      <c r="C237" s="12">
        <v>272</v>
      </c>
      <c r="D237" s="12">
        <v>3</v>
      </c>
      <c r="E237" s="12" t="s">
        <v>508</v>
      </c>
    </row>
    <row r="238">
      <c r="C238" s="12">
        <v>273</v>
      </c>
      <c r="D238" s="12">
        <v>3</v>
      </c>
      <c r="E238" s="12" t="s">
        <v>508</v>
      </c>
    </row>
    <row r="239">
      <c r="C239" s="12">
        <v>274</v>
      </c>
      <c r="D239" s="12">
        <v>3</v>
      </c>
      <c r="E239" s="12" t="s">
        <v>508</v>
      </c>
    </row>
    <row r="240">
      <c r="C240" s="12">
        <v>275</v>
      </c>
      <c r="D240" s="12">
        <v>3</v>
      </c>
      <c r="E240" s="12" t="s">
        <v>508</v>
      </c>
    </row>
    <row r="241">
      <c r="C241" s="12">
        <v>276</v>
      </c>
      <c r="D241" s="12">
        <v>3</v>
      </c>
      <c r="E241" s="12" t="s">
        <v>508</v>
      </c>
    </row>
    <row r="242">
      <c r="C242" s="12">
        <v>277</v>
      </c>
      <c r="D242" s="12">
        <v>2</v>
      </c>
      <c r="E242" s="12"/>
    </row>
    <row r="243">
      <c r="C243" s="12">
        <v>278</v>
      </c>
      <c r="D243" s="12">
        <v>3</v>
      </c>
      <c r="E243" s="12" t="s">
        <v>508</v>
      </c>
    </row>
    <row r="244">
      <c r="C244" s="12">
        <v>279</v>
      </c>
      <c r="D244" s="12">
        <v>3</v>
      </c>
      <c r="E244" s="12" t="s">
        <v>508</v>
      </c>
    </row>
    <row r="245">
      <c r="C245" s="12">
        <v>280</v>
      </c>
      <c r="D245" s="12">
        <v>3</v>
      </c>
      <c r="E245" s="12" t="s">
        <v>508</v>
      </c>
    </row>
    <row r="246">
      <c r="C246" s="12">
        <v>281</v>
      </c>
      <c r="D246" s="12">
        <v>3</v>
      </c>
      <c r="E246" s="12" t="s">
        <v>508</v>
      </c>
    </row>
    <row r="247">
      <c r="C247" s="12">
        <v>282</v>
      </c>
      <c r="D247" s="12">
        <v>3</v>
      </c>
      <c r="E247" s="12" t="s">
        <v>508</v>
      </c>
    </row>
    <row r="248">
      <c r="C248" s="12">
        <v>283</v>
      </c>
      <c r="D248" s="12">
        <v>3</v>
      </c>
      <c r="E248" s="12" t="s">
        <v>508</v>
      </c>
    </row>
    <row r="249">
      <c r="C249" s="12">
        <v>284</v>
      </c>
      <c r="D249" s="12">
        <v>3</v>
      </c>
      <c r="E249" s="12" t="s">
        <v>508</v>
      </c>
    </row>
    <row r="250">
      <c r="C250" s="12">
        <v>285</v>
      </c>
      <c r="D250" s="12">
        <v>3</v>
      </c>
      <c r="E250" s="12" t="s">
        <v>508</v>
      </c>
    </row>
    <row r="251">
      <c r="C251" s="12">
        <v>286</v>
      </c>
      <c r="D251" s="12">
        <v>3</v>
      </c>
      <c r="E251" s="12" t="s">
        <v>508</v>
      </c>
    </row>
    <row r="252">
      <c r="C252" s="12">
        <v>287</v>
      </c>
      <c r="D252" s="12">
        <v>2</v>
      </c>
      <c r="E252" s="12"/>
    </row>
    <row r="253">
      <c r="C253" s="12">
        <v>288</v>
      </c>
      <c r="D253" s="12">
        <v>3</v>
      </c>
      <c r="E253" s="12" t="s">
        <v>508</v>
      </c>
    </row>
    <row r="254">
      <c r="C254" s="12">
        <v>289</v>
      </c>
      <c r="D254" s="12">
        <v>3</v>
      </c>
      <c r="E254" s="12" t="s">
        <v>508</v>
      </c>
    </row>
    <row r="255">
      <c r="C255" s="12">
        <v>290</v>
      </c>
      <c r="D255" s="12">
        <v>3</v>
      </c>
      <c r="E255" s="12" t="s">
        <v>508</v>
      </c>
    </row>
    <row r="256">
      <c r="C256" s="12">
        <v>291</v>
      </c>
      <c r="D256" s="12">
        <v>3</v>
      </c>
      <c r="E256" s="12" t="s">
        <v>508</v>
      </c>
    </row>
    <row r="257">
      <c r="C257" s="12">
        <v>292</v>
      </c>
      <c r="D257" s="12">
        <v>3</v>
      </c>
      <c r="E257" s="12" t="s">
        <v>508</v>
      </c>
    </row>
    <row r="258">
      <c r="C258" s="12">
        <v>293</v>
      </c>
      <c r="D258" s="12">
        <v>3</v>
      </c>
      <c r="E258" s="12" t="s">
        <v>508</v>
      </c>
    </row>
    <row r="259">
      <c r="C259" s="12">
        <v>294</v>
      </c>
      <c r="D259" s="12">
        <v>3</v>
      </c>
      <c r="E259" s="12" t="s">
        <v>508</v>
      </c>
    </row>
    <row r="260">
      <c r="C260" s="12">
        <v>295</v>
      </c>
      <c r="D260" s="12">
        <v>3</v>
      </c>
      <c r="E260" s="12" t="s">
        <v>508</v>
      </c>
    </row>
    <row r="261">
      <c r="C261" s="12">
        <v>296</v>
      </c>
      <c r="D261" s="12">
        <v>3</v>
      </c>
      <c r="E261" s="12" t="s">
        <v>508</v>
      </c>
    </row>
    <row r="262">
      <c r="C262" s="12">
        <v>297</v>
      </c>
      <c r="D262" s="12">
        <v>3</v>
      </c>
      <c r="E262" s="12" t="s">
        <v>508</v>
      </c>
    </row>
    <row r="263">
      <c r="C263" s="12">
        <v>298</v>
      </c>
      <c r="D263" s="12">
        <v>3</v>
      </c>
      <c r="E263" s="12" t="s">
        <v>508</v>
      </c>
    </row>
    <row r="264">
      <c r="C264" s="12">
        <v>299</v>
      </c>
      <c r="D264" s="12">
        <v>3</v>
      </c>
      <c r="E264" s="12" t="s">
        <v>508</v>
      </c>
    </row>
    <row r="265">
      <c r="C265" s="12">
        <v>300</v>
      </c>
      <c r="D265" s="12">
        <v>3</v>
      </c>
      <c r="E265" s="12" t="s">
        <v>508</v>
      </c>
    </row>
    <row r="266">
      <c r="C266" s="12">
        <v>301</v>
      </c>
      <c r="D266" s="12">
        <v>3</v>
      </c>
      <c r="E266" s="12" t="s">
        <v>508</v>
      </c>
    </row>
    <row r="267">
      <c r="C267" s="12">
        <v>302</v>
      </c>
      <c r="D267" s="12">
        <v>3</v>
      </c>
      <c r="E267" s="12" t="s">
        <v>508</v>
      </c>
    </row>
    <row r="268">
      <c r="C268" s="12">
        <v>303</v>
      </c>
      <c r="D268" s="12">
        <v>3</v>
      </c>
      <c r="E268" s="12" t="s">
        <v>508</v>
      </c>
    </row>
    <row r="269">
      <c r="C269" s="12">
        <v>304</v>
      </c>
      <c r="D269" s="12">
        <v>3</v>
      </c>
      <c r="E269" s="12" t="s">
        <v>508</v>
      </c>
    </row>
    <row r="270">
      <c r="C270" s="12">
        <v>305</v>
      </c>
      <c r="D270" s="12">
        <v>3</v>
      </c>
      <c r="E270" s="12" t="s">
        <v>508</v>
      </c>
    </row>
    <row r="271">
      <c r="C271" s="12">
        <v>306</v>
      </c>
      <c r="D271" s="12">
        <v>3</v>
      </c>
      <c r="E271" s="12" t="s">
        <v>508</v>
      </c>
    </row>
    <row r="272">
      <c r="C272" s="12">
        <v>307</v>
      </c>
      <c r="D272" s="12">
        <v>3</v>
      </c>
      <c r="E272" s="12" t="s">
        <v>508</v>
      </c>
    </row>
    <row r="273">
      <c r="C273" s="12">
        <v>308</v>
      </c>
      <c r="D273" s="12">
        <v>3</v>
      </c>
      <c r="E273" s="12" t="s">
        <v>508</v>
      </c>
    </row>
    <row r="274">
      <c r="C274" s="12">
        <v>309</v>
      </c>
      <c r="D274" s="12">
        <v>3</v>
      </c>
      <c r="E274" s="12" t="s">
        <v>508</v>
      </c>
    </row>
    <row r="275">
      <c r="C275" s="12">
        <v>310</v>
      </c>
      <c r="D275" s="12">
        <v>2</v>
      </c>
      <c r="E275" s="12"/>
    </row>
    <row r="276">
      <c r="C276" s="12">
        <v>311</v>
      </c>
      <c r="D276" s="12">
        <v>3</v>
      </c>
      <c r="E276" s="12" t="s">
        <v>508</v>
      </c>
    </row>
    <row r="277">
      <c r="C277" s="12">
        <v>312</v>
      </c>
      <c r="D277" s="12">
        <v>3</v>
      </c>
      <c r="E277" s="12" t="s">
        <v>508</v>
      </c>
    </row>
    <row r="278">
      <c r="C278" s="12">
        <v>313</v>
      </c>
      <c r="D278" s="12">
        <v>3</v>
      </c>
      <c r="E278" s="12" t="s">
        <v>508</v>
      </c>
    </row>
    <row r="279">
      <c r="C279" s="12">
        <v>314</v>
      </c>
      <c r="D279" s="12">
        <v>3</v>
      </c>
      <c r="E279" s="12" t="s">
        <v>508</v>
      </c>
    </row>
    <row r="280">
      <c r="C280" s="12">
        <v>315</v>
      </c>
      <c r="D280" s="12">
        <v>3</v>
      </c>
      <c r="E280" s="12" t="s">
        <v>508</v>
      </c>
    </row>
    <row r="281">
      <c r="C281" s="12">
        <v>316</v>
      </c>
      <c r="D281" s="12">
        <v>3</v>
      </c>
      <c r="E281" s="12" t="s">
        <v>508</v>
      </c>
    </row>
    <row r="282">
      <c r="C282" s="12">
        <v>317</v>
      </c>
      <c r="D282" s="12">
        <v>3</v>
      </c>
      <c r="E282" s="12" t="s">
        <v>508</v>
      </c>
    </row>
    <row r="283">
      <c r="C283" s="12">
        <v>318</v>
      </c>
      <c r="D283" s="12">
        <v>3</v>
      </c>
      <c r="E283" s="12" t="s">
        <v>508</v>
      </c>
    </row>
    <row r="284">
      <c r="C284" s="12">
        <v>319</v>
      </c>
      <c r="D284" s="12">
        <v>3</v>
      </c>
      <c r="E284" s="12" t="s">
        <v>508</v>
      </c>
    </row>
    <row r="285">
      <c r="C285" s="12">
        <v>320</v>
      </c>
      <c r="D285" s="12">
        <v>3</v>
      </c>
      <c r="E285" s="12" t="s">
        <v>508</v>
      </c>
    </row>
    <row r="286">
      <c r="C286" s="12">
        <v>321</v>
      </c>
      <c r="D286" s="12">
        <v>2</v>
      </c>
      <c r="E286" s="12"/>
    </row>
    <row r="287">
      <c r="C287" s="12">
        <v>322</v>
      </c>
      <c r="D287" s="12">
        <v>3</v>
      </c>
      <c r="E287" s="12" t="s">
        <v>508</v>
      </c>
    </row>
    <row r="288">
      <c r="C288" s="12">
        <v>212</v>
      </c>
      <c r="D288" s="12">
        <v>1</v>
      </c>
      <c r="E288" s="12"/>
    </row>
    <row r="289">
      <c r="C289" s="12">
        <v>213</v>
      </c>
      <c r="D289" s="12">
        <v>3</v>
      </c>
      <c r="E289" s="12" t="s">
        <v>508</v>
      </c>
    </row>
    <row r="290">
      <c r="C290" s="12">
        <v>214</v>
      </c>
      <c r="D290" s="12">
        <v>3</v>
      </c>
      <c r="E290" s="12" t="s">
        <v>508</v>
      </c>
    </row>
    <row r="291">
      <c r="C291" s="12">
        <v>215</v>
      </c>
      <c r="D291" s="12">
        <v>2</v>
      </c>
      <c r="E291" s="12"/>
    </row>
    <row r="292">
      <c r="C292" s="12">
        <v>216</v>
      </c>
      <c r="D292" s="12">
        <v>2</v>
      </c>
      <c r="E292" s="12"/>
    </row>
    <row r="293">
      <c r="C293" s="12">
        <v>217</v>
      </c>
      <c r="D293" s="12">
        <v>2</v>
      </c>
      <c r="E293" s="12"/>
    </row>
    <row r="294">
      <c r="C294" s="12">
        <v>218</v>
      </c>
      <c r="D294" s="12">
        <v>3</v>
      </c>
      <c r="E294" s="12" t="s">
        <v>508</v>
      </c>
    </row>
    <row r="295">
      <c r="C295" s="12">
        <v>219</v>
      </c>
      <c r="D295" s="12">
        <v>3</v>
      </c>
      <c r="E295" s="12" t="s">
        <v>508</v>
      </c>
    </row>
    <row r="296">
      <c r="C296" s="12">
        <v>220</v>
      </c>
      <c r="D296" s="12">
        <v>2</v>
      </c>
      <c r="E296" s="12"/>
    </row>
    <row r="297">
      <c r="C297" s="12">
        <v>221</v>
      </c>
      <c r="D297" s="12">
        <v>1</v>
      </c>
      <c r="E297" s="12"/>
    </row>
    <row r="298">
      <c r="C298" s="12">
        <v>222</v>
      </c>
      <c r="D298" s="12">
        <v>2</v>
      </c>
      <c r="E298" s="12"/>
    </row>
    <row r="299">
      <c r="C299" s="12">
        <v>223</v>
      </c>
      <c r="D299" s="12">
        <v>1</v>
      </c>
      <c r="E299" s="12"/>
    </row>
    <row r="300">
      <c r="C300" s="12">
        <v>224</v>
      </c>
      <c r="D300" s="12">
        <v>2</v>
      </c>
      <c r="E300" s="12"/>
    </row>
    <row r="301">
      <c r="C301" s="12">
        <v>225</v>
      </c>
      <c r="D301" s="12">
        <v>2</v>
      </c>
      <c r="E301" s="12"/>
    </row>
    <row r="302">
      <c r="C302" s="12">
        <v>226</v>
      </c>
      <c r="D302" s="12">
        <v>2</v>
      </c>
      <c r="E302" s="12"/>
    </row>
    <row r="303">
      <c r="C303" s="12">
        <v>227</v>
      </c>
      <c r="D303" s="12">
        <v>1</v>
      </c>
      <c r="E303" s="12"/>
    </row>
    <row r="304">
      <c r="C304" s="12">
        <v>228</v>
      </c>
      <c r="D304" s="12">
        <v>2</v>
      </c>
      <c r="E304" s="12"/>
    </row>
    <row r="305">
      <c r="C305" s="12">
        <v>229</v>
      </c>
      <c r="D305" s="12">
        <v>1</v>
      </c>
      <c r="E305" s="12"/>
    </row>
    <row r="306">
      <c r="C306" s="12">
        <v>230</v>
      </c>
      <c r="D306" s="12">
        <v>2</v>
      </c>
      <c r="E306" s="12"/>
    </row>
    <row r="307">
      <c r="C307" s="12">
        <v>231</v>
      </c>
      <c r="D307" s="12">
        <v>1</v>
      </c>
      <c r="E307" s="12"/>
    </row>
    <row r="308">
      <c r="C308" s="12">
        <v>232</v>
      </c>
      <c r="D308" s="12">
        <v>1</v>
      </c>
      <c r="E308" s="12"/>
    </row>
    <row r="309">
      <c r="C309" s="12">
        <v>233</v>
      </c>
      <c r="D309" s="12">
        <v>1</v>
      </c>
      <c r="E309" s="12"/>
    </row>
    <row r="310">
      <c r="C310" s="12">
        <v>234</v>
      </c>
      <c r="D310" s="12">
        <v>1</v>
      </c>
      <c r="E310" s="12"/>
    </row>
    <row r="311">
      <c r="C311" s="12">
        <v>235</v>
      </c>
      <c r="D311" s="12">
        <v>1</v>
      </c>
      <c r="E3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Giá cầu thủ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Dân Phạm</cp:lastModifiedBy>
  <dcterms:modified xsi:type="dcterms:W3CDTF">2026-10-23T17:23:51Z</dcterms:modified>
</cp:coreProperties>
</file>