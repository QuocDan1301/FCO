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057B4CC4-7DBE-4C21-9255-1453EF9A28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<sst xmlns="http://schemas.openxmlformats.org/spreadsheetml/2006/main">
  <si>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</si>
  <si>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</si>
  <si>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</si>
  <si>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</si>
  <si>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</si>
  <si>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</si>
  <si>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</si>
  <si>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</si>
  <si>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</si>
  <si>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</si>
  <si>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</si>
  <si>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</si>
  <si>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</si>
  <si>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</si>
  <si>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</si>
  <si>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</si>
  <si>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</si>
  <si>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</si>
  <si>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</si>
  <si>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</si>
  <si>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</si>
  <si>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</si>
  <si>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</si>
  <si>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</si>
  <si>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</si>
  <si>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</si>
  <si>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</si>
  <si>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</si>
  <si>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</si>
  <si>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</si>
  <si>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</si>
  <si>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</si>
  <si>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</si>
  <si>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</si>
  <si>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</si>
  <si>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</si>
  <si>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</si>
  <si>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</si>
  <si>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</si>
  <si>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</si>
  <si>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</si>
  <si>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</si>
  <si>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</si>
  <si>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</si>
  <si>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</si>
  <si>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</si>
  <si>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</si>
  <si>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</si>
  <si>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</si>
  <si>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</si>
  <si>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</si>
  <si>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</si>
  <si>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</si>
  <si>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</si>
  <si>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</si>
  <si>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</si>
  <si>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</si>
  <si>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</si>
  <si>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</si>
  <si>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</si>
  <si>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</si>
  <si>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</si>
  <si>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</si>
  <si>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</si>
  <si>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</si>
  <si>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</si>
  <si>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</si>
  <si>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</si>
  <si>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</si>
  <si>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</si>
  <si>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</si>
  <si>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</si>
  <si>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</si>
  <si>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</si>
  <si>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</si>
  <si>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</si>
  <si>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</si>
  <si>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</si>
  <si>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</si>
  <si>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</si>
  <si>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</si>
  <si>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</si>
  <si>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</si>
  <si>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</si>
  <si>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</si>
  <si>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</si>
  <si>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</si>
  <si>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</si>
  <si>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</si>
  <si>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</si>
  <si>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</si>
  <si>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</si>
  <si>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</si>
  <si>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</si>
  <si>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</si>
  <si>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</si>
  <si>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</si>
  <si>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</si>
  <si>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</si>
  <si>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</si>
  <si>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</si>
  <si>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</si>
  <si>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</si>
  <si>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</si>
  <si>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</si>
  <si>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</si>
  <si>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</si>
  <si>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</si>
  <si>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</si>
  <si>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</si>
  <si>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</si>
  <si>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</si>
  <si>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</si>
  <si>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</si>
  <si>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</si>
  <si>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</si>
  <si>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</si>
  <si>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</si>
  <si>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</si>
  <si>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</si>
  <si>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</si>
  <si>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</si>
  <si>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</si>
  <si>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</si>
  <si>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</si>
  <si>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</si>
  <si>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</si>
  <si>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</si>
  <si>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</si>
  <si>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</si>
  <si>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</si>
  <si>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</si>
  <si>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</si>
  <si>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</si>
  <si>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</si>
  <si>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</si>
  <si>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</si>
  <si>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</si>
  <si>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</si>
  <si>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</si>
  <si>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</si>
  <si>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</si>
  <si>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</si>
  <si>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</si>
  <si>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</si>
  <si>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</si>
  <si>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</si>
  <si>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</si>
  <si>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</si>
  <si>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</si>
  <si>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</si>
  <si>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</si>
  <si>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</si>
  <si>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</si>
  <si>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</si>
  <si>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</si>
  <si>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</si>
  <si>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</si>
  <si>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</si>
  <si>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</si>
  <si>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</si>
  <si>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</si>
  <si>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</si>
  <si>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</si>
  <si>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</si>
  <si>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</si>
  <si>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</si>
  <si>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</si>
  <si>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</si>
  <si>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</si>
  <si>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</si>
  <si>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</si>
  <si>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</si>
  <si>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</si>
  <si>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</si>
  <si>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</si>
  <si>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</si>
  <si>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</si>
  <si>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</si>
  <si>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</si>
  <si>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</si>
  <si>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</si>
  <si>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</si>
  <si>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</si>
  <si>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</si>
  <si>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</si>
  <si>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</si>
  <si>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</si>
  <si>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</si>
  <si>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</si>
  <si>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</si>
  <si>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</si>
  <si>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</si>
  <si>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</si>
  <si>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</si>
  <si>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</si>
  <si>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</si>
  <si>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</si>
  <si>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</si>
  <si>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</si>
  <si>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</si>
  <si>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</si>
  <si>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</si>
  <si>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</si>
  <si>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</si>
  <si>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</si>
  <si>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</si>
  <si>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</si>
  <si>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</si>
  <si>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</si>
  <si>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</si>
  <si>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</si>
  <si>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</si>
  <si>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</si>
  <si>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</si>
  <si>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</si>
  <si>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</si>
  <si>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</si>
  <si>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</si>
  <si>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</si>
  <si>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</si>
  <si>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</si>
  <si>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</si>
  <si>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</si>
  <si>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</si>
  <si>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</si>
  <si>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</si>
  <si>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</si>
  <si>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</si>
  <si>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</si>
  <si>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</si>
  <si>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</si>
  <si>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</si>
  <si>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</si>
  <si>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</si>
  <si>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</si>
  <si>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</si>
  <si>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</si>
  <si>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</si>
  <si>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</si>
  <si>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</si>
  <si>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</si>
  <si>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</si>
  <si>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</si>
  <si>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</si>
  <si>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</si>
  <si>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</si>
  <si>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</si>
  <si>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</si>
  <si>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</si>
  <si>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</si>
  <si>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</si>
  <si>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</si>
  <si>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</si>
  <si>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</si>
  <si>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</si>
  <si>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</si>
  <si>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</si>
  <si>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</si>
  <si>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</si>
  <si>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</si>
  <si>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</si>
  <si>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</si>
  <si>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</si>
  <si>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</si>
  <si>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</si>
  <si>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</si>
  <si>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</si>
  <si>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</si>
  <si>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</si>
  <si>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</si>
  <si>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</si>
  <si>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</si>
  <si>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</si>
  <si>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</si>
  <si>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</si>
  <si>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</si>
  <si>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</si>
  <si>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</si>
  <si>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</si>
  <si>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</si>
  <si>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</si>
  <si>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</si>
  <si>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</si>
  <si>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</si>
  <si>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</si>
  <si>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</si>
  <si>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</si>
  <si>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</si>
  <si>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</si>
  <si>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</si>
  <si>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</si>
  <si>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</si>
  <si>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</si>
  <si>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</si>
  <si>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</si>
  <si>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</si>
  <si>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</si>
  <si>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</si>
  <si>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</si>
  <si>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</si>
  <si>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</si>
  <si>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</si>
  <si>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</si>
  <si>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</si>
  <si>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</si>
  <si>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</si>
  <si>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</si>
  <si>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</si>
  <si>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</si>
  <si>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</si>
  <si>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</si>
  <si>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</si>
  <si>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</si>
  <si>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</si>
  <si>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</si>
  <si>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</si>
  <si>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</si>
  <si>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</si>
  <si>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</si>
  <si>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</si>
  <si>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</si>
  <si>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</si>
  <si>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</si>
  <si>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</si>
  <si>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</si>
  <si>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</si>
  <si>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</si>
  <si>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</si>
  <si>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</si>
  <si>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</si>
  <si>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</si>
  <si>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</si>
  <si>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</si>
  <si>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</si>
  <si>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</si>
  <si>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</si>
  <si>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</si>
  <si>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</si>
  <si>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</si>
  <si>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</si>
  <si>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</si>
  <si>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</si>
  <si>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</si>
  <si>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</si>
  <si>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</si>
  <si>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</si>
  <si>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</si>
  <si>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</si>
  <si>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</si>
  <si>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</si>
  <si>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</si>
  <si>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</si>
  <si>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</si>
  <si>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</si>
  <si>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</si>
  <si>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</si>
  <si>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</si>
  <si>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</si>
  <si>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</si>
  <si>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</si>
  <si>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</si>
  <si>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</si>
  <si>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</si>
  <si>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</si>
  <si>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</si>
  <si>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</si>
  <si>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</si>
  <si>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</si>
  <si>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</si>
  <si>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</si>
  <si>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</si>
  <si>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</si>
  <si>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</si>
  <si>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</si>
  <si>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</si>
  <si>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</si>
  <si>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</si>
  <si>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</si>
  <si>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</si>
  <si>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</si>
  <si>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</si>
  <si>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</si>
  <si>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</si>
  <si>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</si>
  <si>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</si>
  <si>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</si>
  <si>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</si>
  <si>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</si>
  <si>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</si>
  <si>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</si>
  <si>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</si>
  <si>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</si>
  <si>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</si>
  <si>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</si>
  <si>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</si>
  <si>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</si>
  <si>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</si>
  <si>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</si>
  <si>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</si>
  <si>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</si>
  <si>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</si>
  <si>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</si>
  <si>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</si>
  <si>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</si>
  <si>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</si>
  <si>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</si>
  <si>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</si>
  <si>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</si>
  <si>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</si>
  <si>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</si>
  <si>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</si>
  <si>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</si>
  <si>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</si>
  <si>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</si>
  <si>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</si>
  <si>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</si>
  <si>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</si>
  <si>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</si>
  <si>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</si>
  <si>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</si>
  <si>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</si>
  <si>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</si>
  <si>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</si>
  <si>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</si>
  <si>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</si>
  <si>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</si>
  <si>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</si>
  <si>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</si>
  <si>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</si>
  <si>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</si>
  <si>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</si>
  <si>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</si>
  <si>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</si>
  <si>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</si>
  <si>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</si>
  <si>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</si>
  <si>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</si>
  <si>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</si>
  <si>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</si>
  <si>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</si>
  <si>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</si>
  <si>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</si>
  <si>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</si>
  <si>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</si>
  <si>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</si>
  <si>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</si>
  <si>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</si>
  <si>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</si>
  <si>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</si>
  <si>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</si>
  <si>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</si>
  <si>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</si>
  <si>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</si>
  <si>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</si>
  <si>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</si>
  <si>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</si>
  <si>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</si>
  <si>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</si>
  <si>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</si>
  <si>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</si>
  <si>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</si>
  <si>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</si>
  <si>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</si>
  <si>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</si>
  <si>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</si>
  <si>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</si>
  <si>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</si>
  <si>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</si>
  <si>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</si>
  <si>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</si>
  <si>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</si>
  <si>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</si>
  <si>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</si>
  <si>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</si>
  <si>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</si>
  <si>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</si>
  <si>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</si>
  <si>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</si>
  <si>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</si>
  <si>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</si>
  <si>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</si>
  <si>
    <t xml:space="preserve">Bảng OVR và giá BP +1 đến +13 — mô hình nâng cấp theo phân nhóm CSV</t>
  </si>
  <si>
    <t xml:space="preserve">Nhóm CSV</t>
  </si>
  <si>
    <t xml:space="preserve">Ghi chú +9…+13</t>
  </si>
  <si>
    <t xml:space="preserve">Nguồn nhóm: phan_loai_cau_thu_fco.csv (người dùng cung cấp, 23/10/2026). 83 Nhóm 1, 96 Nhóm 2, 131 Nhóm 3.</t>
  </si>
  <si>
    <t xml:space="preserve">Giữ nguyên giá +1 ở cột J. Giá +2…+13 là công thức ROUND(giá +1 × hệ số tích lũy × điều chỉnh nhóm,0).</t>
  </si>
  <si>
    <t xml:space="preserve">Hệ số từng bước: 1.637; 1.75; 2.1; 2.3; 2.6; 3.2; 4.2; 2.4; 2.5; 2.8; 3.2; 3.8. Chỉ làm tròn ở giá cuối.</t>
  </si>
  <si>
    <t xml:space="preserve">Nhóm 1: biên nhiệt 25% từ +5 trở lên, giữ biên qua +8, không nhân chồng. Nhóm 2: giữ 100% giá chuẩn.</t>
  </si>
  <si>
    <t xml:space="preserve">Nhóm 3: +2…+4 giảm 20%; +5 = 7.5× giá +1; +6/+7 nội suy biên giảm; +8…+13 giảm 45% so với chuẩn.</t>
  </si>
  <si>
    <t xml:space="preserve">Nhóm 3 từ +9: Đóng băng thanh khoản (ghi chú mô phỏng, không khóa giao dịch). CSV không cung cấp số BP sàn OVR.</t>
  </si>
  <si>
    <t xml:space="preserve">Bảo hiểm từ +8 đến +12: 95% nếu OVR gốc ≤92; 80% nếu 93…100; 60% nếu ≥101. Không cộng phí vào giá thẻ.</t>
  </si>
  <si>
    <t xml:space="preserve">OVR cộng thêm: 0,1,2,4,6,8,11,15,17,19,21,24,27. Không tự triển khai Team Color hoặc chọn chỉ số ẩn.</t>
  </si>
  <si>
    <t xml:space="preserve">Sửa giá +1 rồi lưu và chạy npm run build để cập nhật game. Nhóm chỉnh bằng CSV rồi chạy script nhập nhóm. Giá cấp cao trong game luôn được tính từ +1.</t>
  </si>
  <si>
    <t xml:space="preserve">Không đổi ID hoặc tiêu đề. Cột OVR +2…+13 là công thức liên kết OVR gốc E. Lưu Excel để tính lại trước khi import.</t>
  </si>
  <si>
    <t xml:space="preserve">Đóng băng thanh khoản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</si>
</sst>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/>
    </xf>
    <xf numFmtId="0" fontId="2" fillId="0" borderId="1" xfId="0" applyNumberFormat="1" applyFont="1" applyFill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164" fontId="5" fillId="9" borderId="1" xfId="0" applyNumberFormat="1" applyFont="1" applyFill="1" applyBorder="1" applyAlignment="1">
      <alignment horizontal="right"/>
    </xf>
  </cellXfs>
  <cellStyles count="1">
    <cellStyle name="Bình thường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workbookViewId="0">
      <pane xSplit="2" ySplit="2" topLeftCell="C292" activePane="bottomRight" state="frozen"/>
      <selection pane="topRight"/>
      <selection pane="bottomLeft"/>
      <selection pane="bottomRight" activeCell="C1" sqref="C1:C2"/>
    </sheetView>
  </sheetViews>
  <sheetFormatPr defaultRowHeight="14.399999618530273"/>
  <cols>
    <col min="1" max="1" width="5" customWidth="1"/>
    <col min="2" max="2" width="20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/>
      <c r="K1" s="13" t="s">
        <v>9</v>
      </c>
      <c r="L1" s="13"/>
      <c r="M1" s="13" t="s">
        <v>10</v>
      </c>
      <c r="N1" s="13"/>
      <c r="O1" s="13" t="s">
        <v>11</v>
      </c>
      <c r="P1" s="13"/>
      <c r="Q1" s="13" t="s">
        <v>12</v>
      </c>
      <c r="R1" s="13"/>
      <c r="S1" s="13" t="s">
        <v>13</v>
      </c>
      <c r="T1" s="13"/>
      <c r="U1" s="13" t="s">
        <v>14</v>
      </c>
      <c r="V1" s="13"/>
      <c r="W1" s="13" t="s">
        <v>15</v>
      </c>
      <c r="X1" s="13"/>
      <c r="Y1" s="13" t="s">
        <v>16</v>
      </c>
      <c r="Z1" s="13"/>
      <c r="AA1" s="13" t="s">
        <v>17</v>
      </c>
      <c r="AB1" s="13"/>
      <c r="AC1" s="13" t="s">
        <v>18</v>
      </c>
      <c r="AD1" s="13"/>
      <c r="AE1" s="13" t="s">
        <v>19</v>
      </c>
      <c r="AF1" s="13"/>
      <c r="AG1" s="13" t="s">
        <v>20</v>
      </c>
      <c r="AH1" s="13"/>
    </row>
    <row r="2">
      <c r="A2" s="13"/>
      <c r="B2" s="13"/>
      <c r="C2" s="13"/>
      <c r="D2" s="13"/>
      <c r="E2" s="13"/>
      <c r="F2" s="13"/>
      <c r="G2" s="13"/>
      <c r="H2" s="13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 t="shared" ref="K3:K66" si="0">$E3+1</f>
        <v>128</v>
      </c>
      <c r="L3" s="9" t="n">
        <f t="shared" ref="L3:L9" si="1">ROUND($J3*1.637*1,0)</f>
        <v>8348700000</v>
      </c>
      <c r="M3" s="3" t="n">
        <f t="shared" ref="M3:M66" si="2">$E3+2</f>
        <v>129</v>
      </c>
      <c r="N3" s="10" t="n">
        <f t="shared" ref="N3:N9" si="3">ROUND($J3*1.637*1.75*1,0)</f>
        <v>14610225000</v>
      </c>
      <c r="O3" s="5" t="n">
        <f t="shared" ref="O3:O66" si="4">$E3+4</f>
        <v>131</v>
      </c>
      <c r="P3" s="9" t="n">
        <f t="shared" ref="P3:P9" si="5">ROUND($J3*1.637*1.75*2.1*1,0)</f>
        <v>30681472500</v>
      </c>
      <c r="Q3" s="3" t="n">
        <f t="shared" ref="Q3:Q66" si="6">$E3+6</f>
        <v>133</v>
      </c>
      <c r="R3" s="10" t="n">
        <f>ROUND($J3*1.637*1.75*2.1*2.3*1.25,0)</f>
        <v>88209233438</v>
      </c>
      <c r="S3" s="5" t="n">
        <f t="shared" ref="S3:S66" si="7">$E3+8</f>
        <v>135</v>
      </c>
      <c r="T3" s="9" t="n">
        <f>ROUND($J3*1.637*1.75*2.1*2.3*2.6*1.25,0)</f>
        <v>229344006938</v>
      </c>
      <c r="U3" s="3" t="n">
        <f t="shared" ref="U3:U66" si="8">$E3+11</f>
        <v>138</v>
      </c>
      <c r="V3" s="10" t="n">
        <f>ROUND($J3*1.637*1.75*2.1*2.3*2.6*3.2*1.25,0)</f>
        <v>733900822200</v>
      </c>
      <c r="W3" s="5" t="n">
        <f t="shared" ref="W3:W66" si="9">$E3+15</f>
        <v>142</v>
      </c>
      <c r="X3" s="9" t="n">
        <f>ROUND($J3*1.637*1.75*2.1*2.3*2.6*3.2*4.2*1.25,0)</f>
        <v>3082383453240</v>
      </c>
      <c r="Y3" s="3" t="n">
        <f t="shared" ref="Y3:Y66" si="10">$E3+17</f>
        <v>144</v>
      </c>
      <c r="Z3" s="10" t="n">
        <f>ROUND($J3*1.637*1.75*2.1*2.3*2.6*3.2*4.2*2.4*1.25,0)</f>
        <v>7397720287776</v>
      </c>
      <c r="AA3" s="5" t="n">
        <f t="shared" ref="AA3:AA66" si="11">$E3+19</f>
        <v>146</v>
      </c>
      <c r="AB3" s="9" t="n">
        <f>ROUND($J3*1.637*1.75*2.1*2.3*2.6*3.2*4.2*2.4*2.5*1.25,0)</f>
        <v>18494300719440</v>
      </c>
      <c r="AC3" s="3" t="n">
        <f t="shared" ref="AC3:AC66" si="12">$E3+21</f>
        <v>148</v>
      </c>
      <c r="AD3" s="10" t="n">
        <f>ROUND($J3*1.637*1.75*2.1*2.3*2.6*3.2*4.2*2.4*2.5*2.8*1.25,0)</f>
        <v>51784042014432</v>
      </c>
      <c r="AE3" s="5" t="n">
        <f t="shared" ref="AE3:AE66" si="13">$E3+24</f>
        <v>151</v>
      </c>
      <c r="AF3" s="9" t="n">
        <f>ROUND($J3*1.637*1.75*2.1*2.3*2.6*3.2*4.2*2.4*2.5*2.8*3.2*1.25,0)</f>
        <v>165708934446182</v>
      </c>
      <c r="AG3" s="3" t="n">
        <f t="shared" ref="AG3:AG66" si="14">$E3+27</f>
        <v>154</v>
      </c>
      <c r="AH3" s="10" t="n">
        <f>ROUND($J3*1.637*1.75*2.1*2.3*2.6*3.2*4.2*2.4*2.5*2.8*3.2*3.8*1.25,0)</f>
        <v>629693950895493</v>
      </c>
    </row>
    <row r="4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 t="n">
        <f>ROUND($J4*1.637*1.75*2.1*2.3*1.25,0)</f>
        <v>100662301688</v>
      </c>
      <c r="S4" s="5">
        <f t="shared" si="7"/>
        <v>135</v>
      </c>
      <c r="T4" s="9" t="n">
        <f>ROUND($J4*1.637*1.75*2.1*2.3*2.6*1.25,0)</f>
        <v>261721984388</v>
      </c>
      <c r="U4" s="3">
        <f t="shared" si="8"/>
        <v>138</v>
      </c>
      <c r="V4" s="10" t="n">
        <f>ROUND($J4*1.637*1.75*2.1*2.3*2.6*3.2*1.25,0)</f>
        <v>837510350040</v>
      </c>
      <c r="W4" s="5">
        <f t="shared" si="9"/>
        <v>142</v>
      </c>
      <c r="X4" s="9" t="n">
        <f>ROUND($J4*1.637*1.75*2.1*2.3*2.6*3.2*4.2*1.25,0)</f>
        <v>3517543470168</v>
      </c>
      <c r="Y4" s="3">
        <f t="shared" si="10"/>
        <v>144</v>
      </c>
      <c r="Z4" s="10" t="n">
        <f>ROUND($J4*1.637*1.75*2.1*2.3*2.6*3.2*4.2*2.4*1.25,0)</f>
        <v>8442104328403</v>
      </c>
      <c r="AA4" s="5">
        <f t="shared" si="11"/>
        <v>146</v>
      </c>
      <c r="AB4" s="9" t="n">
        <f>ROUND($J4*1.637*1.75*2.1*2.3*2.6*3.2*4.2*2.4*2.5*1.25,0)</f>
        <v>21105260821008</v>
      </c>
      <c r="AC4" s="3">
        <f t="shared" si="12"/>
        <v>148</v>
      </c>
      <c r="AD4" s="10" t="n">
        <f>ROUND($J4*1.637*1.75*2.1*2.3*2.6*3.2*4.2*2.4*2.5*2.8*1.25,0)</f>
        <v>59094730298822</v>
      </c>
      <c r="AE4" s="5">
        <f t="shared" si="13"/>
        <v>151</v>
      </c>
      <c r="AF4" s="9" t="n">
        <f>ROUND($J4*1.637*1.75*2.1*2.3*2.6*3.2*4.2*2.4*2.5*2.8*3.2*1.25,0)</f>
        <v>189103136956232</v>
      </c>
      <c r="AG4" s="3">
        <f t="shared" si="14"/>
        <v>154</v>
      </c>
      <c r="AH4" s="10" t="n">
        <f>ROUND($J4*1.637*1.75*2.1*2.3*2.6*3.2*4.2*2.4*2.5*2.8*3.2*3.8*1.25,0)</f>
        <v>718591920433680</v>
      </c>
    </row>
    <row r="5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 t="n">
        <f>ROUND($J5*1.637*1.75*2.1*2.3*1.25,0)</f>
        <v>283653221250</v>
      </c>
      <c r="S5" s="5">
        <f t="shared" si="7"/>
        <v>134</v>
      </c>
      <c r="T5" s="9" t="n">
        <f>ROUND($J5*1.637*1.75*2.1*2.3*2.6*1.25,0)</f>
        <v>737498375250</v>
      </c>
      <c r="U5" s="3">
        <f t="shared" si="8"/>
        <v>137</v>
      </c>
      <c r="V5" s="10" t="n">
        <f>ROUND($J5*1.637*1.75*2.1*2.3*2.6*3.2*1.25,0)</f>
        <v>2359994800800</v>
      </c>
      <c r="W5" s="5">
        <f t="shared" si="9"/>
        <v>141</v>
      </c>
      <c r="X5" s="9" t="n">
        <f>ROUND($J5*1.637*1.75*2.1*2.3*2.6*3.2*4.2*1.25,0)</f>
        <v>9911978163360</v>
      </c>
      <c r="Y5" s="3">
        <f t="shared" si="10"/>
        <v>143</v>
      </c>
      <c r="Z5" s="10" t="n">
        <f>ROUND($J5*1.637*1.75*2.1*2.3*2.6*3.2*4.2*2.4*1.25,0)</f>
        <v>23788747592064</v>
      </c>
      <c r="AA5" s="5">
        <f t="shared" si="11"/>
        <v>145</v>
      </c>
      <c r="AB5" s="9" t="n">
        <f>ROUND($J5*1.637*1.75*2.1*2.3*2.6*3.2*4.2*2.4*2.5*1.25,0)</f>
        <v>59471868980160</v>
      </c>
      <c r="AC5" s="3">
        <f t="shared" si="12"/>
        <v>147</v>
      </c>
      <c r="AD5" s="10" t="n">
        <f>ROUND($J5*1.637*1.75*2.1*2.3*2.6*3.2*4.2*2.4*2.5*2.8*1.25,0)</f>
        <v>166521233144448</v>
      </c>
      <c r="AE5" s="5">
        <f t="shared" si="13"/>
        <v>150</v>
      </c>
      <c r="AF5" s="9" t="n">
        <f>ROUND($J5*1.637*1.75*2.1*2.3*2.6*3.2*4.2*2.4*2.5*2.8*3.2*1.25,0)</f>
        <v>532867946062234</v>
      </c>
      <c r="AG5" s="3">
        <f t="shared" si="14"/>
        <v>153</v>
      </c>
      <c r="AH5" s="10" t="n">
        <f>ROUND($J5*1.637*1.75*2.1*2.3*2.6*3.2*4.2*2.4*2.5*2.8*3.2*3.8*1.25,0)</f>
        <v>2024898195036490</v>
      </c>
    </row>
    <row r="6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 t="n">
        <f>ROUND($J6*1.637*1.75*2.1*2.3*1,0)</f>
        <v>27230709240</v>
      </c>
      <c r="S6" s="5">
        <f t="shared" si="7"/>
        <v>134</v>
      </c>
      <c r="T6" s="9" t="n">
        <f>ROUND($J6*1.637*1.75*2.1*2.3*2.6*1,0)</f>
        <v>70799844024</v>
      </c>
      <c r="U6" s="3">
        <f t="shared" si="8"/>
        <v>137</v>
      </c>
      <c r="V6" s="10" t="n">
        <f>ROUND($J6*1.637*1.75*2.1*2.3*2.6*3.2*1,0)</f>
        <v>226559500877</v>
      </c>
      <c r="W6" s="5">
        <f t="shared" si="9"/>
        <v>141</v>
      </c>
      <c r="X6" s="9" t="n">
        <f>ROUND($J6*1.637*1.75*2.1*2.3*2.6*3.2*4.2*1,0)</f>
        <v>951549903683</v>
      </c>
      <c r="Y6" s="3">
        <f t="shared" si="10"/>
        <v>143</v>
      </c>
      <c r="Z6" s="10" t="n">
        <f>ROUND($J6*1.637*1.75*2.1*2.3*2.6*3.2*4.2*2.4*1,0)</f>
        <v>2283719768838</v>
      </c>
      <c r="AA6" s="5">
        <f t="shared" si="11"/>
        <v>145</v>
      </c>
      <c r="AB6" s="9" t="n">
        <f>ROUND($J6*1.637*1.75*2.1*2.3*2.6*3.2*4.2*2.4*2.5*1,0)</f>
        <v>5709299422095</v>
      </c>
      <c r="AC6" s="3">
        <f t="shared" si="12"/>
        <v>147</v>
      </c>
      <c r="AD6" s="10" t="n">
        <f>ROUND($J6*1.637*1.75*2.1*2.3*2.6*3.2*4.2*2.4*2.5*2.8*1,0)</f>
        <v>15986038381867</v>
      </c>
      <c r="AE6" s="5">
        <f t="shared" si="13"/>
        <v>150</v>
      </c>
      <c r="AF6" s="9" t="n">
        <f>ROUND($J6*1.637*1.75*2.1*2.3*2.6*3.2*4.2*2.4*2.5*2.8*3.2*1,0)</f>
        <v>51155322821974</v>
      </c>
      <c r="AG6" s="3">
        <f t="shared" si="14"/>
        <v>153</v>
      </c>
      <c r="AH6" s="10" t="n">
        <f>ROUND($J6*1.637*1.75*2.1*2.3*2.6*3.2*4.2*2.4*2.5*2.8*3.2*3.8*1,0)</f>
        <v>194390226723503</v>
      </c>
    </row>
    <row r="7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 t="n">
        <f>ROUND($J7*1.637*1.75*2.1*2.3*1.25,0)</f>
        <v>66755364191</v>
      </c>
      <c r="S7" s="5">
        <f t="shared" si="7"/>
        <v>134</v>
      </c>
      <c r="T7" s="9" t="n">
        <f>ROUND($J7*1.637*1.75*2.1*2.3*2.6*1.25,0)</f>
        <v>173563946897</v>
      </c>
      <c r="U7" s="3">
        <f t="shared" si="8"/>
        <v>137</v>
      </c>
      <c r="V7" s="10" t="n">
        <f>ROUND($J7*1.637*1.75*2.1*2.3*2.6*3.2*1.25,0)</f>
        <v>555404630071</v>
      </c>
      <c r="W7" s="5">
        <f t="shared" si="9"/>
        <v>141</v>
      </c>
      <c r="X7" s="9" t="n">
        <f>ROUND($J7*1.637*1.75*2.1*2.3*2.6*3.2*4.2*1.25,0)</f>
        <v>2332699446299</v>
      </c>
      <c r="Y7" s="3">
        <f t="shared" si="10"/>
        <v>143</v>
      </c>
      <c r="Z7" s="10" t="n">
        <f>ROUND($J7*1.637*1.75*2.1*2.3*2.6*3.2*4.2*2.4*1.25,0)</f>
        <v>5598478671118</v>
      </c>
      <c r="AA7" s="5">
        <f t="shared" si="11"/>
        <v>145</v>
      </c>
      <c r="AB7" s="9" t="n">
        <f>ROUND($J7*1.637*1.75*2.1*2.3*2.6*3.2*4.2*2.4*2.5*1.25,0)</f>
        <v>13996196677794</v>
      </c>
      <c r="AC7" s="3">
        <f t="shared" si="12"/>
        <v>147</v>
      </c>
      <c r="AD7" s="10" t="n">
        <f>ROUND($J7*1.637*1.75*2.1*2.3*2.6*3.2*4.2*2.4*2.5*2.8*1.25,0)</f>
        <v>39189350697824</v>
      </c>
      <c r="AE7" s="5">
        <f t="shared" si="13"/>
        <v>150</v>
      </c>
      <c r="AF7" s="9" t="n">
        <f>ROUND($J7*1.637*1.75*2.1*2.3*2.6*3.2*4.2*2.4*2.5*2.8*3.2*1.25,0)</f>
        <v>125405922233036</v>
      </c>
      <c r="AG7" s="3">
        <f t="shared" si="14"/>
        <v>153</v>
      </c>
      <c r="AH7" s="10" t="n">
        <f>ROUND($J7*1.637*1.75*2.1*2.3*2.6*3.2*4.2*2.4*2.5*2.8*3.2*3.8*1.25,0)</f>
        <v>476542504485538</v>
      </c>
    </row>
    <row r="8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 t="n">
        <f>ROUND($J8*1.637*1.75*2.1*2.3*1.25,0)</f>
        <v>47736761625</v>
      </c>
      <c r="S8" s="5">
        <f t="shared" si="7"/>
        <v>134</v>
      </c>
      <c r="T8" s="9" t="n">
        <f>ROUND($J8*1.637*1.75*2.1*2.3*2.6*1.25,0)</f>
        <v>124115580225</v>
      </c>
      <c r="U8" s="3">
        <f t="shared" si="8"/>
        <v>137</v>
      </c>
      <c r="V8" s="10" t="n">
        <f>ROUND($J8*1.637*1.75*2.1*2.3*2.6*3.2*1.25,0)</f>
        <v>397169856720</v>
      </c>
      <c r="W8" s="5">
        <f t="shared" si="9"/>
        <v>141</v>
      </c>
      <c r="X8" s="9" t="n">
        <f>ROUND($J8*1.637*1.75*2.1*2.3*2.6*3.2*4.2*1.25,0)</f>
        <v>1668113398224</v>
      </c>
      <c r="Y8" s="3">
        <f t="shared" si="10"/>
        <v>143</v>
      </c>
      <c r="Z8" s="10" t="n">
        <f>ROUND($J8*1.637*1.75*2.1*2.3*2.6*3.2*4.2*2.4*1.25,0)</f>
        <v>4003472155738</v>
      </c>
      <c r="AA8" s="5">
        <f t="shared" si="11"/>
        <v>145</v>
      </c>
      <c r="AB8" s="9" t="n">
        <f>ROUND($J8*1.637*1.75*2.1*2.3*2.6*3.2*4.2*2.4*2.5*1.25,0)</f>
        <v>10008680389344</v>
      </c>
      <c r="AC8" s="3">
        <f t="shared" si="12"/>
        <v>147</v>
      </c>
      <c r="AD8" s="10" t="n">
        <f>ROUND($J8*1.637*1.75*2.1*2.3*2.6*3.2*4.2*2.4*2.5*2.8*1.25,0)</f>
        <v>28024305090163</v>
      </c>
      <c r="AE8" s="5">
        <f t="shared" si="13"/>
        <v>150</v>
      </c>
      <c r="AF8" s="9" t="n">
        <f>ROUND($J8*1.637*1.75*2.1*2.3*2.6*3.2*4.2*2.4*2.5*2.8*3.2*1.25,0)</f>
        <v>89677776288522</v>
      </c>
      <c r="AG8" s="3">
        <f t="shared" si="14"/>
        <v>153</v>
      </c>
      <c r="AH8" s="10" t="n">
        <f>ROUND($J8*1.637*1.75*2.1*2.3*2.6*3.2*4.2*2.4*2.5*2.8*3.2*3.8*1.25,0)</f>
        <v>340775549896384</v>
      </c>
    </row>
    <row r="9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 t="n">
        <f>ROUND($J9*1.637*1.75*2.1*2.3*1.25,0)</f>
        <v>111212817844</v>
      </c>
      <c r="S9" s="5">
        <f t="shared" si="7"/>
        <v>134</v>
      </c>
      <c r="T9" s="9" t="n">
        <f>ROUND($J9*1.637*1.75*2.1*2.3*2.6*1.25,0)</f>
        <v>289153326394</v>
      </c>
      <c r="U9" s="3">
        <f t="shared" si="8"/>
        <v>137</v>
      </c>
      <c r="V9" s="10" t="n">
        <f>ROUND($J9*1.637*1.75*2.1*2.3*2.6*3.2*1.25,0)</f>
        <v>925290644460</v>
      </c>
      <c r="W9" s="5">
        <f t="shared" si="9"/>
        <v>141</v>
      </c>
      <c r="X9" s="9" t="n">
        <f>ROUND($J9*1.637*1.75*2.1*2.3*2.6*3.2*4.2*1.25,0)</f>
        <v>3886220706732</v>
      </c>
      <c r="Y9" s="3">
        <f t="shared" si="10"/>
        <v>143</v>
      </c>
      <c r="Z9" s="10" t="n">
        <f>ROUND($J9*1.637*1.75*2.1*2.3*2.6*3.2*4.2*2.4*1.25,0)</f>
        <v>9326929696157</v>
      </c>
      <c r="AA9" s="5">
        <f t="shared" si="11"/>
        <v>145</v>
      </c>
      <c r="AB9" s="9" t="n">
        <f>ROUND($J9*1.637*1.75*2.1*2.3*2.6*3.2*4.2*2.4*2.5*1.25,0)</f>
        <v>23317324240392</v>
      </c>
      <c r="AC9" s="3">
        <f t="shared" si="12"/>
        <v>147</v>
      </c>
      <c r="AD9" s="10" t="n">
        <f>ROUND($J9*1.637*1.75*2.1*2.3*2.6*3.2*4.2*2.4*2.5*2.8*1.25,0)</f>
        <v>65288507873098</v>
      </c>
      <c r="AE9" s="5">
        <f t="shared" si="13"/>
        <v>150</v>
      </c>
      <c r="AF9" s="9" t="n">
        <f>ROUND($J9*1.637*1.75*2.1*2.3*2.6*3.2*4.2*2.4*2.5*2.8*3.2*1.25,0)</f>
        <v>208923225193912</v>
      </c>
      <c r="AG9" s="3">
        <f t="shared" si="14"/>
        <v>153</v>
      </c>
      <c r="AH9" s="10" t="n">
        <f>ROUND($J9*1.637*1.75*2.1*2.3*2.6*3.2*4.2*2.4*2.5*2.8*3.2*3.8*1.25,0)</f>
        <v>793908255736867</v>
      </c>
    </row>
    <row r="10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 t="n">
        <f>ROUND($J10*1.637*0.8,0)</f>
        <v>1106350080</v>
      </c>
      <c r="M10" s="3">
        <f t="shared" si="2"/>
        <v>128</v>
      </c>
      <c r="N10" s="10" t="n">
        <f>ROUND($J10*1.637*1.75*0.8,0)</f>
        <v>1936112640</v>
      </c>
      <c r="O10" s="5">
        <f t="shared" si="4"/>
        <v>130</v>
      </c>
      <c r="P10" s="9" t="n">
        <f>ROUND($J10*1.637*1.75*2.1*0.8,0)</f>
        <v>4065836544</v>
      </c>
      <c r="Q10" s="3">
        <f t="shared" si="6"/>
        <v>132</v>
      </c>
      <c r="R10" s="10" t="n">
        <f>ROUND($J10*1.637*1.75*2.1*2.3*0.542035092435954,0)</f>
        <v>6336000000</v>
      </c>
      <c r="S10" s="5">
        <f t="shared" si="7"/>
        <v>134</v>
      </c>
      <c r="T10" s="9" t="n">
        <f>ROUND($J10*1.637*1.75*2.1*2.3*2.6*0.544690061623969,0)</f>
        <v>16554290164</v>
      </c>
      <c r="U10" s="3">
        <f t="shared" si="8"/>
        <v>137</v>
      </c>
      <c r="V10" s="10" t="n">
        <f>ROUND($J10*1.637*1.75*2.1*2.3*2.6*3.2*0.547345030811984,0)</f>
        <v>53231937049</v>
      </c>
      <c r="W10" s="5">
        <f t="shared" si="9"/>
        <v>141</v>
      </c>
      <c r="X10" s="9" t="n">
        <f>ROUND($J10*1.637*1.75*2.1*2.3*2.6*3.2*4.2*0.55,0)</f>
        <v>224658611406</v>
      </c>
      <c r="Y10" s="3">
        <f t="shared" si="10"/>
        <v>143</v>
      </c>
      <c r="Z10" s="10" t="n">
        <f>ROUND($J10*1.637*1.75*2.1*2.3*2.6*3.2*4.2*2.4*0.55,0)</f>
        <v>539180667374</v>
      </c>
      <c r="AA10" s="5">
        <f t="shared" si="11"/>
        <v>145</v>
      </c>
      <c r="AB10" s="9" t="n">
        <f>ROUND($J10*1.637*1.75*2.1*2.3*2.6*3.2*4.2*2.4*2.5*0.55,0)</f>
        <v>1347951668436</v>
      </c>
      <c r="AC10" s="3">
        <f t="shared" si="12"/>
        <v>147</v>
      </c>
      <c r="AD10" s="10" t="n">
        <f>ROUND($J10*1.637*1.75*2.1*2.3*2.6*3.2*4.2*2.4*2.5*2.8*0.55,0)</f>
        <v>3774264671621</v>
      </c>
      <c r="AE10" s="5">
        <f t="shared" si="13"/>
        <v>150</v>
      </c>
      <c r="AF10" s="9" t="n">
        <f>ROUND($J10*1.637*1.75*2.1*2.3*2.6*3.2*4.2*2.4*2.5*2.8*3.2*0.55,0)</f>
        <v>12077646949188</v>
      </c>
      <c r="AG10" s="3">
        <f t="shared" si="14"/>
        <v>153</v>
      </c>
      <c r="AH10" s="10" t="n">
        <f>ROUND($J10*1.637*1.75*2.1*2.3*2.6*3.2*4.2*2.4*2.5*2.8*3.2*3.8*0.55,0)</f>
        <v>45895058406915</v>
      </c>
    </row>
    <row r="1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 t="n">
        <f t="shared" ref="L11:L17" si="15">ROUND($J11*1.637*1,0)</f>
        <v>10640500000</v>
      </c>
      <c r="M11" s="3">
        <f t="shared" si="2"/>
        <v>128</v>
      </c>
      <c r="N11" s="10" t="n">
        <f t="shared" ref="N11:N17" si="16">ROUND($J11*1.637*1.75*1,0)</f>
        <v>18620875000</v>
      </c>
      <c r="O11" s="5">
        <f t="shared" si="4"/>
        <v>130</v>
      </c>
      <c r="P11" s="9" t="n">
        <f t="shared" ref="P11:P17" si="17">ROUND($J11*1.637*1.75*2.1*1,0)</f>
        <v>39103837500</v>
      </c>
      <c r="Q11" s="3">
        <f t="shared" si="6"/>
        <v>132</v>
      </c>
      <c r="R11" s="10" t="n">
        <f>ROUND($J11*1.637*1.75*2.1*2.3*1.25,0)</f>
        <v>112423532813</v>
      </c>
      <c r="S11" s="5">
        <f t="shared" si="7"/>
        <v>134</v>
      </c>
      <c r="T11" s="9" t="n">
        <f>ROUND($J11*1.637*1.75*2.1*2.3*2.6*1.25,0)</f>
        <v>292301185313</v>
      </c>
      <c r="U11" s="3">
        <f t="shared" si="8"/>
        <v>137</v>
      </c>
      <c r="V11" s="10" t="n">
        <f>ROUND($J11*1.637*1.75*2.1*2.3*2.6*3.2*1.25,0)</f>
        <v>935363793000</v>
      </c>
      <c r="W11" s="5">
        <f t="shared" si="9"/>
        <v>141</v>
      </c>
      <c r="X11" s="9" t="n">
        <f>ROUND($J11*1.637*1.75*2.1*2.3*2.6*3.2*4.2*1.25,0)</f>
        <v>3928527930600</v>
      </c>
      <c r="Y11" s="3">
        <f t="shared" si="10"/>
        <v>143</v>
      </c>
      <c r="Z11" s="10" t="n">
        <f>ROUND($J11*1.637*1.75*2.1*2.3*2.6*3.2*4.2*2.4*1.25,0)</f>
        <v>9428467033440</v>
      </c>
      <c r="AA11" s="5">
        <f t="shared" si="11"/>
        <v>145</v>
      </c>
      <c r="AB11" s="9" t="n">
        <f>ROUND($J11*1.637*1.75*2.1*2.3*2.6*3.2*4.2*2.4*2.5*1.25,0)</f>
        <v>23571167583600</v>
      </c>
      <c r="AC11" s="3">
        <f t="shared" si="12"/>
        <v>147</v>
      </c>
      <c r="AD11" s="10" t="n">
        <f>ROUND($J11*1.637*1.75*2.1*2.3*2.6*3.2*4.2*2.4*2.5*2.8*1.25,0)</f>
        <v>65999269234080</v>
      </c>
      <c r="AE11" s="5">
        <f t="shared" si="13"/>
        <v>150</v>
      </c>
      <c r="AF11" s="9" t="n">
        <f>ROUND($J11*1.637*1.75*2.1*2.3*2.6*3.2*4.2*2.4*2.5*2.8*3.2*1.25,0)</f>
        <v>211197661549056</v>
      </c>
      <c r="AG11" s="3">
        <f t="shared" si="14"/>
        <v>153</v>
      </c>
      <c r="AH11" s="10" t="n">
        <f>ROUND($J11*1.637*1.75*2.1*2.3*2.6*3.2*4.2*2.4*2.5*2.8*3.2*3.8*1.25,0)</f>
        <v>802551113886413</v>
      </c>
    </row>
    <row r="12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 t="n">
        <f>ROUND($J12*1.637*1.75*2.1*2.3*1.25,0)</f>
        <v>442775760000</v>
      </c>
      <c r="S12" s="5">
        <f t="shared" si="7"/>
        <v>134</v>
      </c>
      <c r="T12" s="9" t="n">
        <f>ROUND($J12*1.637*1.75*2.1*2.3*2.6*1.25,0)</f>
        <v>1151216976000</v>
      </c>
      <c r="U12" s="3">
        <f t="shared" si="8"/>
        <v>137</v>
      </c>
      <c r="V12" s="10" t="n">
        <f>ROUND($J12*1.637*1.75*2.1*2.3*2.6*3.2*1.25,0)</f>
        <v>3683894323200</v>
      </c>
      <c r="W12" s="5">
        <f t="shared" si="9"/>
        <v>141</v>
      </c>
      <c r="X12" s="9" t="n">
        <f>ROUND($J12*1.637*1.75*2.1*2.3*2.6*3.2*4.2*1.25,0)</f>
        <v>15472356157440</v>
      </c>
      <c r="Y12" s="3">
        <f t="shared" si="10"/>
        <v>143</v>
      </c>
      <c r="Z12" s="10" t="n">
        <f>ROUND($J12*1.637*1.75*2.1*2.3*2.6*3.2*4.2*2.4*1.25,0)</f>
        <v>37133654777856</v>
      </c>
      <c r="AA12" s="5">
        <f t="shared" si="11"/>
        <v>145</v>
      </c>
      <c r="AB12" s="9" t="n">
        <f>ROUND($J12*1.637*1.75*2.1*2.3*2.6*3.2*4.2*2.4*2.5*1.25,0)</f>
        <v>92834136944640</v>
      </c>
      <c r="AC12" s="3">
        <f t="shared" si="12"/>
        <v>147</v>
      </c>
      <c r="AD12" s="10" t="n">
        <f>ROUND($J12*1.637*1.75*2.1*2.3*2.6*3.2*4.2*2.4*2.5*2.8*1.25,0)</f>
        <v>259935583444992</v>
      </c>
      <c r="AE12" s="5">
        <f t="shared" si="13"/>
        <v>150</v>
      </c>
      <c r="AF12" s="9" t="n">
        <f>ROUND($J12*1.637*1.75*2.1*2.3*2.6*3.2*4.2*2.4*2.5*2.8*3.2*1.25,0)</f>
        <v>831793867023974</v>
      </c>
      <c r="AG12" s="3">
        <f t="shared" si="14"/>
        <v>153</v>
      </c>
      <c r="AH12" s="10" t="n">
        <f>ROUND($J12*1.637*1.75*2.1*2.3*2.6*3.2*4.2*2.4*2.5*2.8*3.2*3.8*1.25,0)</f>
        <v>3160816694691100</v>
      </c>
    </row>
    <row r="13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 t="n">
        <f>ROUND($J13*1.637*1.75*2.1*2.3*1.25,0)</f>
        <v>375321640313</v>
      </c>
      <c r="S13" s="5">
        <f t="shared" si="7"/>
        <v>134</v>
      </c>
      <c r="T13" s="9" t="n">
        <f>ROUND($J13*1.637*1.75*2.1*2.3*2.6*1.25,0)</f>
        <v>975836264813</v>
      </c>
      <c r="U13" s="3">
        <f t="shared" si="8"/>
        <v>137</v>
      </c>
      <c r="V13" s="10" t="n">
        <f>ROUND($J13*1.637*1.75*2.1*2.3*2.6*3.2*1.25,0)</f>
        <v>3122676047400</v>
      </c>
      <c r="W13" s="5">
        <f t="shared" si="9"/>
        <v>141</v>
      </c>
      <c r="X13" s="9" t="n">
        <f>ROUND($J13*1.637*1.75*2.1*2.3*2.6*3.2*4.2*1.25,0)</f>
        <v>13115239399080</v>
      </c>
      <c r="Y13" s="3">
        <f t="shared" si="10"/>
        <v>143</v>
      </c>
      <c r="Z13" s="10" t="n">
        <f>ROUND($J13*1.637*1.75*2.1*2.3*2.6*3.2*4.2*2.4*1.25,0)</f>
        <v>31476574557792</v>
      </c>
      <c r="AA13" s="5">
        <f t="shared" si="11"/>
        <v>145</v>
      </c>
      <c r="AB13" s="9" t="n">
        <f>ROUND($J13*1.637*1.75*2.1*2.3*2.6*3.2*4.2*2.4*2.5*1.25,0)</f>
        <v>78691436394480</v>
      </c>
      <c r="AC13" s="3">
        <f t="shared" si="12"/>
        <v>147</v>
      </c>
      <c r="AD13" s="10" t="n">
        <f>ROUND($J13*1.637*1.75*2.1*2.3*2.6*3.2*4.2*2.4*2.5*2.8*1.25,0)</f>
        <v>220336021904544</v>
      </c>
      <c r="AE13" s="5">
        <f t="shared" si="13"/>
        <v>150</v>
      </c>
      <c r="AF13" s="9" t="n">
        <f>ROUND($J13*1.637*1.75*2.1*2.3*2.6*3.2*4.2*2.4*2.5*2.8*3.2*1.25,0)</f>
        <v>705075270094541</v>
      </c>
      <c r="AG13" s="3">
        <f t="shared" si="14"/>
        <v>153</v>
      </c>
      <c r="AH13" s="10" t="n">
        <f>ROUND($J13*1.637*1.75*2.1*2.3*2.6*3.2*4.2*2.4*2.5*2.8*3.2*3.8*1.25,0)</f>
        <v>2679286026359250</v>
      </c>
    </row>
    <row r="14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 t="n">
        <f>ROUND($J14*1.637*1.75*2.1*2.3*1.25,0)</f>
        <v>65897486156</v>
      </c>
      <c r="S14" s="5">
        <f t="shared" si="7"/>
        <v>133</v>
      </c>
      <c r="T14" s="9" t="n">
        <f>ROUND($J14*1.637*1.75*2.1*2.3*2.6*1.25,0)</f>
        <v>171333464006</v>
      </c>
      <c r="U14" s="3">
        <f t="shared" si="8"/>
        <v>136</v>
      </c>
      <c r="V14" s="10" t="n">
        <f>ROUND($J14*1.637*1.75*2.1*2.3*2.6*3.2*1.25,0)</f>
        <v>548267084820</v>
      </c>
      <c r="W14" s="5">
        <f t="shared" si="9"/>
        <v>140</v>
      </c>
      <c r="X14" s="9" t="n">
        <f>ROUND($J14*1.637*1.75*2.1*2.3*2.6*3.2*4.2*1.25,0)</f>
        <v>2302721756244</v>
      </c>
      <c r="Y14" s="3">
        <f t="shared" si="10"/>
        <v>142</v>
      </c>
      <c r="Z14" s="10" t="n">
        <f>ROUND($J14*1.637*1.75*2.1*2.3*2.6*3.2*4.2*2.4*1.25,0)</f>
        <v>5526532214986</v>
      </c>
      <c r="AA14" s="5">
        <f t="shared" si="11"/>
        <v>144</v>
      </c>
      <c r="AB14" s="9" t="n">
        <f>ROUND($J14*1.637*1.75*2.1*2.3*2.6*3.2*4.2*2.4*2.5*1.25,0)</f>
        <v>13816330537464</v>
      </c>
      <c r="AC14" s="3">
        <f t="shared" si="12"/>
        <v>146</v>
      </c>
      <c r="AD14" s="10" t="n">
        <f>ROUND($J14*1.637*1.75*2.1*2.3*2.6*3.2*4.2*2.4*2.5*2.8*1.25,0)</f>
        <v>38685725504899</v>
      </c>
      <c r="AE14" s="5">
        <f t="shared" si="13"/>
        <v>149</v>
      </c>
      <c r="AF14" s="9" t="n">
        <f>ROUND($J14*1.637*1.75*2.1*2.3*2.6*3.2*4.2*2.4*2.5*2.8*3.2*1.25,0)</f>
        <v>123794321615677</v>
      </c>
      <c r="AG14" s="3">
        <f t="shared" si="14"/>
        <v>152</v>
      </c>
      <c r="AH14" s="10" t="n">
        <f>ROUND($J14*1.637*1.75*2.1*2.3*2.6*3.2*4.2*2.4*2.5*2.8*3.2*3.8*1.25,0)</f>
        <v>470418422139574</v>
      </c>
    </row>
    <row r="15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 t="n">
        <f>ROUND($J15*1.637*1.75*2.1*2.3*1.25,0)</f>
        <v>32481753019</v>
      </c>
      <c r="S15" s="5">
        <f t="shared" si="7"/>
        <v>133</v>
      </c>
      <c r="T15" s="9" t="n">
        <f>ROUND($J15*1.637*1.75*2.1*2.3*2.6*1.25,0)</f>
        <v>84452557849</v>
      </c>
      <c r="U15" s="3">
        <f t="shared" si="8"/>
        <v>136</v>
      </c>
      <c r="V15" s="10" t="n">
        <f>ROUND($J15*1.637*1.75*2.1*2.3*2.6*3.2*1.25,0)</f>
        <v>270248185116</v>
      </c>
      <c r="W15" s="5">
        <f t="shared" si="9"/>
        <v>140</v>
      </c>
      <c r="X15" s="9" t="n">
        <f>ROUND($J15*1.637*1.75*2.1*2.3*2.6*3.2*4.2*1.25,0)</f>
        <v>1135042377487</v>
      </c>
      <c r="Y15" s="3">
        <f t="shared" si="10"/>
        <v>142</v>
      </c>
      <c r="Z15" s="10" t="n">
        <f>ROUND($J15*1.637*1.75*2.1*2.3*2.6*3.2*4.2*2.4*1.25,0)</f>
        <v>2724101705969</v>
      </c>
      <c r="AA15" s="5">
        <f t="shared" si="11"/>
        <v>144</v>
      </c>
      <c r="AB15" s="9" t="n">
        <f>ROUND($J15*1.637*1.75*2.1*2.3*2.6*3.2*4.2*2.4*2.5*1.25,0)</f>
        <v>6810254264923</v>
      </c>
      <c r="AC15" s="3">
        <f t="shared" si="12"/>
        <v>146</v>
      </c>
      <c r="AD15" s="10" t="n">
        <f>ROUND($J15*1.637*1.75*2.1*2.3*2.6*3.2*4.2*2.4*2.5*2.8*1.25,0)</f>
        <v>19068711941785</v>
      </c>
      <c r="AE15" s="5">
        <f t="shared" si="13"/>
        <v>149</v>
      </c>
      <c r="AF15" s="9" t="n">
        <f>ROUND($J15*1.637*1.75*2.1*2.3*2.6*3.2*4.2*2.4*2.5*2.8*3.2*1.25,0)</f>
        <v>61019878213712</v>
      </c>
      <c r="AG15" s="3">
        <f t="shared" si="14"/>
        <v>152</v>
      </c>
      <c r="AH15" s="10" t="n">
        <f>ROUND($J15*1.637*1.75*2.1*2.3*2.6*3.2*4.2*2.4*2.5*2.8*3.2*3.8*1.25,0)</f>
        <v>231875537212105</v>
      </c>
    </row>
    <row r="16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 t="n">
        <f>ROUND($J16*1.637*1.75*2.1*2.3*1,0)</f>
        <v>6364901550</v>
      </c>
      <c r="S16" s="5">
        <f t="shared" si="7"/>
        <v>133</v>
      </c>
      <c r="T16" s="9" t="n">
        <f>ROUND($J16*1.637*1.75*2.1*2.3*2.6*1,0)</f>
        <v>16548744030</v>
      </c>
      <c r="U16" s="3">
        <f t="shared" si="8"/>
        <v>136</v>
      </c>
      <c r="V16" s="10" t="n">
        <f>ROUND($J16*1.637*1.75*2.1*2.3*2.6*3.2*1,0)</f>
        <v>52955980896</v>
      </c>
      <c r="W16" s="5">
        <f t="shared" si="9"/>
        <v>140</v>
      </c>
      <c r="X16" s="9" t="n">
        <f>ROUND($J16*1.637*1.75*2.1*2.3*2.6*3.2*4.2*1,0)</f>
        <v>222415119763</v>
      </c>
      <c r="Y16" s="3">
        <f t="shared" si="10"/>
        <v>142</v>
      </c>
      <c r="Z16" s="10" t="n">
        <f>ROUND($J16*1.637*1.75*2.1*2.3*2.6*3.2*4.2*2.4*1,0)</f>
        <v>533796287432</v>
      </c>
      <c r="AA16" s="5">
        <f t="shared" si="11"/>
        <v>144</v>
      </c>
      <c r="AB16" s="9" t="n">
        <f>ROUND($J16*1.637*1.75*2.1*2.3*2.6*3.2*4.2*2.4*2.5*1,0)</f>
        <v>1334490718579</v>
      </c>
      <c r="AC16" s="3">
        <f t="shared" si="12"/>
        <v>146</v>
      </c>
      <c r="AD16" s="10" t="n">
        <f>ROUND($J16*1.637*1.75*2.1*2.3*2.6*3.2*4.2*2.4*2.5*2.8*1,0)</f>
        <v>3736574012022</v>
      </c>
      <c r="AE16" s="5">
        <f t="shared" si="13"/>
        <v>149</v>
      </c>
      <c r="AF16" s="9" t="n">
        <f>ROUND($J16*1.637*1.75*2.1*2.3*2.6*3.2*4.2*2.4*2.5*2.8*3.2*1,0)</f>
        <v>11957036838470</v>
      </c>
      <c r="AG16" s="3">
        <f t="shared" si="14"/>
        <v>152</v>
      </c>
      <c r="AH16" s="10" t="n">
        <f>ROUND($J16*1.637*1.75*2.1*2.3*2.6*3.2*4.2*2.4*2.5*2.8*3.2*3.8*1,0)</f>
        <v>45436739986185</v>
      </c>
    </row>
    <row r="17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 t="n">
        <f>ROUND($J17*1.637*1.75*2.1*2.3*1.25,0)</f>
        <v>134908239375</v>
      </c>
      <c r="S17" s="5">
        <f t="shared" si="7"/>
        <v>133</v>
      </c>
      <c r="T17" s="9" t="n">
        <f>ROUND($J17*1.637*1.75*2.1*2.3*2.6*1.25,0)</f>
        <v>350761422375</v>
      </c>
      <c r="U17" s="3">
        <f t="shared" si="8"/>
        <v>136</v>
      </c>
      <c r="V17" s="10" t="n">
        <f>ROUND($J17*1.637*1.75*2.1*2.3*2.6*3.2*1.25,0)</f>
        <v>1122436551600</v>
      </c>
      <c r="W17" s="5">
        <f t="shared" si="9"/>
        <v>140</v>
      </c>
      <c r="X17" s="9" t="n">
        <f>ROUND($J17*1.637*1.75*2.1*2.3*2.6*3.2*4.2*1.25,0)</f>
        <v>4714233516720</v>
      </c>
      <c r="Y17" s="3">
        <f t="shared" si="10"/>
        <v>142</v>
      </c>
      <c r="Z17" s="10" t="n">
        <f>ROUND($J17*1.637*1.75*2.1*2.3*2.6*3.2*4.2*2.4*1.25,0)</f>
        <v>11314160440128</v>
      </c>
      <c r="AA17" s="5">
        <f t="shared" si="11"/>
        <v>144</v>
      </c>
      <c r="AB17" s="9" t="n">
        <f>ROUND($J17*1.637*1.75*2.1*2.3*2.6*3.2*4.2*2.4*2.5*1.25,0)</f>
        <v>28285401100320</v>
      </c>
      <c r="AC17" s="3">
        <f t="shared" si="12"/>
        <v>146</v>
      </c>
      <c r="AD17" s="10" t="n">
        <f>ROUND($J17*1.637*1.75*2.1*2.3*2.6*3.2*4.2*2.4*2.5*2.8*1.25,0)</f>
        <v>79199123080896</v>
      </c>
      <c r="AE17" s="5">
        <f t="shared" si="13"/>
        <v>149</v>
      </c>
      <c r="AF17" s="9" t="n">
        <f>ROUND($J17*1.637*1.75*2.1*2.3*2.6*3.2*4.2*2.4*2.5*2.8*3.2*1.25,0)</f>
        <v>253437193858867</v>
      </c>
      <c r="AG17" s="3">
        <f t="shared" si="14"/>
        <v>152</v>
      </c>
      <c r="AH17" s="10" t="n">
        <f>ROUND($J17*1.637*1.75*2.1*2.3*2.6*3.2*4.2*2.4*2.5*2.8*3.2*3.8*1.25,0)</f>
        <v>963061336663695</v>
      </c>
    </row>
    <row r="18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 t="n">
        <f>ROUND($J18*1.637*0.8,0)</f>
        <v>214774400</v>
      </c>
      <c r="M18" s="3">
        <f t="shared" si="2"/>
        <v>127</v>
      </c>
      <c r="N18" s="10" t="n">
        <f>ROUND($J18*1.637*1.75*0.8,0)</f>
        <v>375855200</v>
      </c>
      <c r="O18" s="5">
        <f t="shared" si="4"/>
        <v>129</v>
      </c>
      <c r="P18" s="9" t="n">
        <f>ROUND($J18*1.637*1.75*2.1*0.8,0)</f>
        <v>789295920</v>
      </c>
      <c r="Q18" s="3">
        <f t="shared" si="6"/>
        <v>131</v>
      </c>
      <c r="R18" s="10" t="n">
        <f>ROUND($J18*1.637*1.75*2.1*2.3*0.542035092435954,0)</f>
        <v>1230000000</v>
      </c>
      <c r="S18" s="5">
        <f t="shared" si="7"/>
        <v>133</v>
      </c>
      <c r="T18" s="9" t="n">
        <f>ROUND($J18*1.637*1.75*2.1*2.3*2.6*0.544690061623969,0)</f>
        <v>3213664284</v>
      </c>
      <c r="U18" s="3">
        <f t="shared" si="8"/>
        <v>136</v>
      </c>
      <c r="V18" s="10" t="n">
        <f>ROUND($J18*1.637*1.75*2.1*2.3*2.6*3.2*0.547345030811984,0)</f>
        <v>10333851416</v>
      </c>
      <c r="W18" s="5">
        <f t="shared" si="9"/>
        <v>140</v>
      </c>
      <c r="X18" s="9" t="n">
        <f>ROUND($J18*1.637*1.75*2.1*2.3*2.6*3.2*4.2*0.55,0)</f>
        <v>43612703919</v>
      </c>
      <c r="Y18" s="3">
        <f t="shared" si="10"/>
        <v>142</v>
      </c>
      <c r="Z18" s="10" t="n">
        <f>ROUND($J18*1.637*1.75*2.1*2.3*2.6*3.2*4.2*2.4*0.55,0)</f>
        <v>104670489405</v>
      </c>
      <c r="AA18" s="5">
        <f t="shared" si="11"/>
        <v>144</v>
      </c>
      <c r="AB18" s="9" t="n">
        <f>ROUND($J18*1.637*1.75*2.1*2.3*2.6*3.2*4.2*2.4*2.5*0.55,0)</f>
        <v>261676223513</v>
      </c>
      <c r="AC18" s="3">
        <f t="shared" si="12"/>
        <v>146</v>
      </c>
      <c r="AD18" s="10" t="n">
        <f>ROUND($J18*1.637*1.75*2.1*2.3*2.6*3.2*4.2*2.4*2.5*2.8*0.55,0)</f>
        <v>732693425836</v>
      </c>
      <c r="AE18" s="5">
        <f t="shared" si="13"/>
        <v>149</v>
      </c>
      <c r="AF18" s="9" t="n">
        <f>ROUND($J18*1.637*1.75*2.1*2.3*2.6*3.2*4.2*2.4*2.5*2.8*3.2*0.55,0)</f>
        <v>2344618962674</v>
      </c>
      <c r="AG18" s="3">
        <f t="shared" si="14"/>
        <v>152</v>
      </c>
      <c r="AH18" s="10" t="n">
        <f>ROUND($J18*1.637*1.75*2.1*2.3*2.6*3.2*4.2*2.4*2.5*2.8*3.2*3.8*0.55,0)</f>
        <v>8909552058161</v>
      </c>
    </row>
    <row r="19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 t="n">
        <f t="shared" ref="L19:L29" si="18">ROUND($J19*1.637*1,0)</f>
        <v>789034000</v>
      </c>
      <c r="M19" s="3">
        <f t="shared" si="2"/>
        <v>127</v>
      </c>
      <c r="N19" s="10" t="n">
        <f t="shared" ref="N19:N29" si="19">ROUND($J19*1.637*1.75*1,0)</f>
        <v>1380809500</v>
      </c>
      <c r="O19" s="5">
        <f t="shared" si="4"/>
        <v>129</v>
      </c>
      <c r="P19" s="9" t="n">
        <f t="shared" ref="P19:P29" si="20">ROUND($J19*1.637*1.75*2.1*1,0)</f>
        <v>2899699950</v>
      </c>
      <c r="Q19" s="3">
        <f t="shared" si="6"/>
        <v>131</v>
      </c>
      <c r="R19" s="10" t="n">
        <f>ROUND($J19*1.637*1.75*2.1*2.3*1,0)</f>
        <v>6669309885</v>
      </c>
      <c r="S19" s="5">
        <f t="shared" si="7"/>
        <v>133</v>
      </c>
      <c r="T19" s="9" t="n">
        <f>ROUND($J19*1.637*1.75*2.1*2.3*2.6*1,0)</f>
        <v>17340205701</v>
      </c>
      <c r="U19" s="3">
        <f t="shared" si="8"/>
        <v>136</v>
      </c>
      <c r="V19" s="10" t="n">
        <f>ROUND($J19*1.637*1.75*2.1*2.3*2.6*3.2*1,0)</f>
        <v>55488658243</v>
      </c>
      <c r="W19" s="5">
        <f t="shared" si="9"/>
        <v>140</v>
      </c>
      <c r="X19" s="9" t="n">
        <f>ROUND($J19*1.637*1.75*2.1*2.3*2.6*3.2*4.2*1,0)</f>
        <v>233052364621</v>
      </c>
      <c r="Y19" s="3">
        <f t="shared" si="10"/>
        <v>142</v>
      </c>
      <c r="Z19" s="10" t="n">
        <f>ROUND($J19*1.637*1.75*2.1*2.3*2.6*3.2*4.2*2.4*1,0)</f>
        <v>559325675091</v>
      </c>
      <c r="AA19" s="5">
        <f t="shared" si="11"/>
        <v>144</v>
      </c>
      <c r="AB19" s="9" t="n">
        <f>ROUND($J19*1.637*1.75*2.1*2.3*2.6*3.2*4.2*2.4*2.5*1,0)</f>
        <v>1398314187729</v>
      </c>
      <c r="AC19" s="3">
        <f t="shared" si="12"/>
        <v>146</v>
      </c>
      <c r="AD19" s="10" t="n">
        <f>ROUND($J19*1.637*1.75*2.1*2.3*2.6*3.2*4.2*2.4*2.5*2.8*1,0)</f>
        <v>3915279725640</v>
      </c>
      <c r="AE19" s="5">
        <f t="shared" si="13"/>
        <v>149</v>
      </c>
      <c r="AF19" s="9" t="n">
        <f>ROUND($J19*1.637*1.75*2.1*2.3*2.6*3.2*4.2*2.4*2.5*2.8*3.2*1,0)</f>
        <v>12528895122049</v>
      </c>
      <c r="AG19" s="3">
        <f t="shared" si="14"/>
        <v>152</v>
      </c>
      <c r="AH19" s="10" t="n">
        <f>ROUND($J19*1.637*1.75*2.1*2.3*2.6*3.2*4.2*2.4*2.5*2.8*3.2*3.8*1,0)</f>
        <v>47609801463785</v>
      </c>
    </row>
    <row r="20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 t="n">
        <f>ROUND($J20*1.637*1.75*2.1*2.3*1.25,0)</f>
        <v>167597543531</v>
      </c>
      <c r="S20" s="5">
        <f t="shared" si="7"/>
        <v>133</v>
      </c>
      <c r="T20" s="9" t="n">
        <f>ROUND($J20*1.637*1.75*2.1*2.3*2.6*1.25,0)</f>
        <v>435753613181</v>
      </c>
      <c r="U20" s="3">
        <f t="shared" si="8"/>
        <v>136</v>
      </c>
      <c r="V20" s="10" t="n">
        <f>ROUND($J20*1.637*1.75*2.1*2.3*2.6*3.2*1.25,0)</f>
        <v>1394411562180</v>
      </c>
      <c r="W20" s="5">
        <f t="shared" si="9"/>
        <v>140</v>
      </c>
      <c r="X20" s="9" t="n">
        <f>ROUND($J20*1.637*1.75*2.1*2.3*2.6*3.2*4.2*1.25,0)</f>
        <v>5856528561156</v>
      </c>
      <c r="Y20" s="3">
        <f t="shared" si="10"/>
        <v>142</v>
      </c>
      <c r="Z20" s="10" t="n">
        <f>ROUND($J20*1.637*1.75*2.1*2.3*2.6*3.2*4.2*2.4*1.25,0)</f>
        <v>14055668546774</v>
      </c>
      <c r="AA20" s="5">
        <f t="shared" si="11"/>
        <v>144</v>
      </c>
      <c r="AB20" s="9" t="n">
        <f>ROUND($J20*1.637*1.75*2.1*2.3*2.6*3.2*4.2*2.4*2.5*1.25,0)</f>
        <v>35139171366936</v>
      </c>
      <c r="AC20" s="3">
        <f t="shared" si="12"/>
        <v>146</v>
      </c>
      <c r="AD20" s="10" t="n">
        <f>ROUND($J20*1.637*1.75*2.1*2.3*2.6*3.2*4.2*2.4*2.5*2.8*1.25,0)</f>
        <v>98389679827421</v>
      </c>
      <c r="AE20" s="5">
        <f t="shared" si="13"/>
        <v>149</v>
      </c>
      <c r="AF20" s="9" t="n">
        <f>ROUND($J20*1.637*1.75*2.1*2.3*2.6*3.2*4.2*2.4*2.5*2.8*3.2*1.25,0)</f>
        <v>314846975447746</v>
      </c>
      <c r="AG20" s="3">
        <f t="shared" si="14"/>
        <v>152</v>
      </c>
      <c r="AH20" s="10" t="n">
        <f>ROUND($J20*1.637*1.75*2.1*2.3*2.6*3.2*4.2*2.4*2.5*2.8*3.2*3.8*1.25,0)</f>
        <v>1196418506701440</v>
      </c>
    </row>
    <row r="2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 t="n">
        <f>ROUND($J21*1.637*1.75*2.1*2.3*1,0)</f>
        <v>6240370868</v>
      </c>
      <c r="S21" s="5">
        <f t="shared" si="7"/>
        <v>133</v>
      </c>
      <c r="T21" s="9" t="n">
        <f>ROUND($J21*1.637*1.75*2.1*2.3*2.6*1,0)</f>
        <v>16224964256</v>
      </c>
      <c r="U21" s="3">
        <f t="shared" si="8"/>
        <v>136</v>
      </c>
      <c r="V21" s="10" t="n">
        <f>ROUND($J21*1.637*1.75*2.1*2.3*2.6*3.2*1,0)</f>
        <v>51919885618</v>
      </c>
      <c r="W21" s="5">
        <f t="shared" si="9"/>
        <v>140</v>
      </c>
      <c r="X21" s="9" t="n">
        <f>ROUND($J21*1.637*1.75*2.1*2.3*2.6*3.2*4.2*1,0)</f>
        <v>218063519594</v>
      </c>
      <c r="Y21" s="3">
        <f t="shared" si="10"/>
        <v>142</v>
      </c>
      <c r="Z21" s="10" t="n">
        <f>ROUND($J21*1.637*1.75*2.1*2.3*2.6*3.2*4.2*2.4*1,0)</f>
        <v>523352447025</v>
      </c>
      <c r="AA21" s="5">
        <f t="shared" si="11"/>
        <v>144</v>
      </c>
      <c r="AB21" s="9" t="n">
        <f>ROUND($J21*1.637*1.75*2.1*2.3*2.6*3.2*4.2*2.4*2.5*1,0)</f>
        <v>1308381117564</v>
      </c>
      <c r="AC21" s="3">
        <f t="shared" si="12"/>
        <v>146</v>
      </c>
      <c r="AD21" s="10" t="n">
        <f>ROUND($J21*1.637*1.75*2.1*2.3*2.6*3.2*4.2*2.4*2.5*2.8*1,0)</f>
        <v>3663467129178</v>
      </c>
      <c r="AE21" s="5">
        <f t="shared" si="13"/>
        <v>149</v>
      </c>
      <c r="AF21" s="9" t="n">
        <f>ROUND($J21*1.637*1.75*2.1*2.3*2.6*3.2*4.2*2.4*2.5*2.8*3.2*1,0)</f>
        <v>11723094813369</v>
      </c>
      <c r="AG21" s="3">
        <f t="shared" si="14"/>
        <v>152</v>
      </c>
      <c r="AH21" s="10" t="n">
        <f>ROUND($J21*1.637*1.75*2.1*2.3*2.6*3.2*4.2*2.4*2.5*2.8*3.2*3.8*1,0)</f>
        <v>44547760290803</v>
      </c>
    </row>
    <row r="22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 t="n">
        <f>ROUND($J22*1.637*1.75*2.1*2.3*1.25,0)</f>
        <v>118823026219</v>
      </c>
      <c r="S22" s="5">
        <f t="shared" si="7"/>
        <v>133</v>
      </c>
      <c r="T22" s="9" t="n">
        <f>ROUND($J22*1.637*1.75*2.1*2.3*2.6*1.25,0)</f>
        <v>308939868169</v>
      </c>
      <c r="U22" s="3">
        <f t="shared" si="8"/>
        <v>136</v>
      </c>
      <c r="V22" s="10" t="n">
        <f>ROUND($J22*1.637*1.75*2.1*2.3*2.6*3.2*1.25,0)</f>
        <v>988607578140</v>
      </c>
      <c r="W22" s="5">
        <f t="shared" si="9"/>
        <v>140</v>
      </c>
      <c r="X22" s="9" t="n">
        <f>ROUND($J22*1.637*1.75*2.1*2.3*2.6*3.2*4.2*1.25,0)</f>
        <v>4152151828188</v>
      </c>
      <c r="Y22" s="3">
        <f t="shared" si="10"/>
        <v>142</v>
      </c>
      <c r="Z22" s="10" t="n">
        <f>ROUND($J22*1.637*1.75*2.1*2.3*2.6*3.2*4.2*2.4*1.25,0)</f>
        <v>9965164387651</v>
      </c>
      <c r="AA22" s="5">
        <f t="shared" si="11"/>
        <v>144</v>
      </c>
      <c r="AB22" s="9" t="n">
        <f>ROUND($J22*1.637*1.75*2.1*2.3*2.6*3.2*4.2*2.4*2.5*1.25,0)</f>
        <v>24912910969128</v>
      </c>
      <c r="AC22" s="3">
        <f t="shared" si="12"/>
        <v>146</v>
      </c>
      <c r="AD22" s="10" t="n">
        <f>ROUND($J22*1.637*1.75*2.1*2.3*2.6*3.2*4.2*2.4*2.5*2.8*1.25,0)</f>
        <v>69756150713558</v>
      </c>
      <c r="AE22" s="5">
        <f t="shared" si="13"/>
        <v>149</v>
      </c>
      <c r="AF22" s="9" t="n">
        <f>ROUND($J22*1.637*1.75*2.1*2.3*2.6*3.2*4.2*2.4*2.5*2.8*3.2*1.25,0)</f>
        <v>223219682283387</v>
      </c>
      <c r="AG22" s="3">
        <f t="shared" si="14"/>
        <v>152</v>
      </c>
      <c r="AH22" s="10" t="n">
        <f>ROUND($J22*1.637*1.75*2.1*2.3*2.6*3.2*4.2*2.4*2.5*2.8*3.2*3.8*1.25,0)</f>
        <v>848234792676870</v>
      </c>
    </row>
    <row r="23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 t="n">
        <f>ROUND($J23*1.637*1.75*2.1*2.3*1.25,0)</f>
        <v>41510227500</v>
      </c>
      <c r="S23" s="5">
        <f t="shared" si="7"/>
        <v>133</v>
      </c>
      <c r="T23" s="9" t="n">
        <f>ROUND($J23*1.637*1.75*2.1*2.3*2.6*1.25,0)</f>
        <v>107926591500</v>
      </c>
      <c r="U23" s="3">
        <f t="shared" si="8"/>
        <v>136</v>
      </c>
      <c r="V23" s="10" t="n">
        <f>ROUND($J23*1.637*1.75*2.1*2.3*2.6*3.2*1.25,0)</f>
        <v>345365092800</v>
      </c>
      <c r="W23" s="5">
        <f t="shared" si="9"/>
        <v>140</v>
      </c>
      <c r="X23" s="9" t="n">
        <f>ROUND($J23*1.637*1.75*2.1*2.3*2.6*3.2*4.2*1.25,0)</f>
        <v>1450533389760</v>
      </c>
      <c r="Y23" s="3">
        <f t="shared" si="10"/>
        <v>142</v>
      </c>
      <c r="Z23" s="10" t="n">
        <f>ROUND($J23*1.637*1.75*2.1*2.3*2.6*3.2*4.2*2.4*1.25,0)</f>
        <v>3481280135424</v>
      </c>
      <c r="AA23" s="5">
        <f t="shared" si="11"/>
        <v>144</v>
      </c>
      <c r="AB23" s="9" t="n">
        <f>ROUND($J23*1.637*1.75*2.1*2.3*2.6*3.2*4.2*2.4*2.5*1.25,0)</f>
        <v>8703200338560</v>
      </c>
      <c r="AC23" s="3">
        <f t="shared" si="12"/>
        <v>146</v>
      </c>
      <c r="AD23" s="10" t="n">
        <f>ROUND($J23*1.637*1.75*2.1*2.3*2.6*3.2*4.2*2.4*2.5*2.8*1.25,0)</f>
        <v>24368960947968</v>
      </c>
      <c r="AE23" s="5">
        <f t="shared" si="13"/>
        <v>149</v>
      </c>
      <c r="AF23" s="9" t="n">
        <f>ROUND($J23*1.637*1.75*2.1*2.3*2.6*3.2*4.2*2.4*2.5*2.8*3.2*1.25,0)</f>
        <v>77980675033498</v>
      </c>
      <c r="AG23" s="3">
        <f t="shared" si="14"/>
        <v>152</v>
      </c>
      <c r="AH23" s="10" t="n">
        <f>ROUND($J23*1.637*1.75*2.1*2.3*2.6*3.2*4.2*2.4*2.5*2.8*3.2*3.8*1.25,0)</f>
        <v>296326565127291</v>
      </c>
    </row>
    <row r="24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 t="n">
        <f>ROUND($J24*1.637*1.75*2.1*2.3*1.25,0)</f>
        <v>390715016344</v>
      </c>
      <c r="S24" s="5">
        <f t="shared" si="7"/>
        <v>133</v>
      </c>
      <c r="T24" s="9" t="n">
        <f>ROUND($J24*1.637*1.75*2.1*2.3*2.6*1.25,0)</f>
        <v>1015859042494</v>
      </c>
      <c r="U24" s="3">
        <f t="shared" si="8"/>
        <v>136</v>
      </c>
      <c r="V24" s="10" t="n">
        <f>ROUND($J24*1.637*1.75*2.1*2.3*2.6*3.2*1.25,0)</f>
        <v>3250748935980</v>
      </c>
      <c r="W24" s="5">
        <f t="shared" si="9"/>
        <v>140</v>
      </c>
      <c r="X24" s="9" t="n">
        <f>ROUND($J24*1.637*1.75*2.1*2.3*2.6*3.2*4.2*1.25,0)</f>
        <v>13653145531116</v>
      </c>
      <c r="Y24" s="3">
        <f t="shared" si="10"/>
        <v>142</v>
      </c>
      <c r="Z24" s="10" t="n">
        <f>ROUND($J24*1.637*1.75*2.1*2.3*2.6*3.2*4.2*2.4*1.25,0)</f>
        <v>32767549274678</v>
      </c>
      <c r="AA24" s="5">
        <f t="shared" si="11"/>
        <v>144</v>
      </c>
      <c r="AB24" s="9" t="n">
        <f>ROUND($J24*1.637*1.75*2.1*2.3*2.6*3.2*4.2*2.4*2.5*1.25,0)</f>
        <v>81918873186696</v>
      </c>
      <c r="AC24" s="3">
        <f t="shared" si="12"/>
        <v>146</v>
      </c>
      <c r="AD24" s="10" t="n">
        <f>ROUND($J24*1.637*1.75*2.1*2.3*2.6*3.2*4.2*2.4*2.5*2.8*1.25,0)</f>
        <v>229372844922749</v>
      </c>
      <c r="AE24" s="5">
        <f t="shared" si="13"/>
        <v>149</v>
      </c>
      <c r="AF24" s="9" t="n">
        <f>ROUND($J24*1.637*1.75*2.1*2.3*2.6*3.2*4.2*2.4*2.5*2.8*3.2*1.25,0)</f>
        <v>733993103752796</v>
      </c>
      <c r="AG24" s="3">
        <f t="shared" si="14"/>
        <v>152</v>
      </c>
      <c r="AH24" s="10" t="n">
        <f>ROUND($J24*1.637*1.75*2.1*2.3*2.6*3.2*4.2*2.4*2.5*2.8*3.2*3.8*1.25,0)</f>
        <v>2789173794260620</v>
      </c>
    </row>
    <row r="25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 t="n">
        <f>ROUND($J25*1.637*1.75*2.1*2.3*1.25,0)</f>
        <v>33381141281</v>
      </c>
      <c r="S25" s="5">
        <f t="shared" si="7"/>
        <v>133</v>
      </c>
      <c r="T25" s="9" t="n">
        <f>ROUND($J25*1.637*1.75*2.1*2.3*2.6*1.25,0)</f>
        <v>86790967331</v>
      </c>
      <c r="U25" s="3">
        <f t="shared" si="8"/>
        <v>136</v>
      </c>
      <c r="V25" s="10" t="n">
        <f>ROUND($J25*1.637*1.75*2.1*2.3*2.6*3.2*1.25,0)</f>
        <v>277731095460</v>
      </c>
      <c r="W25" s="5">
        <f t="shared" si="9"/>
        <v>140</v>
      </c>
      <c r="X25" s="9" t="n">
        <f>ROUND($J25*1.637*1.75*2.1*2.3*2.6*3.2*4.2*1.25,0)</f>
        <v>1166470600932</v>
      </c>
      <c r="Y25" s="3">
        <f t="shared" si="10"/>
        <v>142</v>
      </c>
      <c r="Z25" s="10" t="n">
        <f>ROUND($J25*1.637*1.75*2.1*2.3*2.6*3.2*4.2*2.4*1.25,0)</f>
        <v>2799529442237</v>
      </c>
      <c r="AA25" s="5">
        <f t="shared" si="11"/>
        <v>144</v>
      </c>
      <c r="AB25" s="9" t="n">
        <f>ROUND($J25*1.637*1.75*2.1*2.3*2.6*3.2*4.2*2.4*2.5*1.25,0)</f>
        <v>6998823605592</v>
      </c>
      <c r="AC25" s="3">
        <f t="shared" si="12"/>
        <v>146</v>
      </c>
      <c r="AD25" s="10" t="n">
        <f>ROUND($J25*1.637*1.75*2.1*2.3*2.6*3.2*4.2*2.4*2.5*2.8*1.25,0)</f>
        <v>19596706095658</v>
      </c>
      <c r="AE25" s="5">
        <f t="shared" si="13"/>
        <v>149</v>
      </c>
      <c r="AF25" s="9" t="n">
        <f>ROUND($J25*1.637*1.75*2.1*2.3*2.6*3.2*4.2*2.4*2.5*2.8*3.2*1.25,0)</f>
        <v>62709459506104</v>
      </c>
      <c r="AG25" s="3">
        <f t="shared" si="14"/>
        <v>152</v>
      </c>
      <c r="AH25" s="10" t="n">
        <f>ROUND($J25*1.637*1.75*2.1*2.3*2.6*3.2*4.2*2.4*2.5*2.8*3.2*3.8*1.25,0)</f>
        <v>238295946123196</v>
      </c>
    </row>
    <row r="26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 t="n">
        <f>ROUND($J26*1.637*1.75*2.1*2.3*1,0)</f>
        <v>22138788000</v>
      </c>
      <c r="S26" s="5">
        <f t="shared" si="7"/>
        <v>133</v>
      </c>
      <c r="T26" s="9" t="n">
        <f>ROUND($J26*1.637*1.75*2.1*2.3*2.6*1,0)</f>
        <v>57560848800</v>
      </c>
      <c r="U26" s="3">
        <f t="shared" si="8"/>
        <v>136</v>
      </c>
      <c r="V26" s="10" t="n">
        <f>ROUND($J26*1.637*1.75*2.1*2.3*2.6*3.2*1,0)</f>
        <v>184194716160</v>
      </c>
      <c r="W26" s="5">
        <f t="shared" si="9"/>
        <v>140</v>
      </c>
      <c r="X26" s="9" t="n">
        <f>ROUND($J26*1.637*1.75*2.1*2.3*2.6*3.2*4.2*1,0)</f>
        <v>773617807872</v>
      </c>
      <c r="Y26" s="3">
        <f t="shared" si="10"/>
        <v>142</v>
      </c>
      <c r="Z26" s="10" t="n">
        <f>ROUND($J26*1.637*1.75*2.1*2.3*2.6*3.2*4.2*2.4*1,0)</f>
        <v>1856682738893</v>
      </c>
      <c r="AA26" s="5">
        <f t="shared" si="11"/>
        <v>144</v>
      </c>
      <c r="AB26" s="9" t="n">
        <f>ROUND($J26*1.637*1.75*2.1*2.3*2.6*3.2*4.2*2.4*2.5*1,0)</f>
        <v>4641706847232</v>
      </c>
      <c r="AC26" s="3">
        <f t="shared" si="12"/>
        <v>146</v>
      </c>
      <c r="AD26" s="10" t="n">
        <f>ROUND($J26*1.637*1.75*2.1*2.3*2.6*3.2*4.2*2.4*2.5*2.8*1,0)</f>
        <v>12996779172250</v>
      </c>
      <c r="AE26" s="5">
        <f t="shared" si="13"/>
        <v>149</v>
      </c>
      <c r="AF26" s="9" t="n">
        <f>ROUND($J26*1.637*1.75*2.1*2.3*2.6*3.2*4.2*2.4*2.5*2.8*3.2*1,0)</f>
        <v>41589693351199</v>
      </c>
      <c r="AG26" s="3">
        <f t="shared" si="14"/>
        <v>152</v>
      </c>
      <c r="AH26" s="10" t="n">
        <f>ROUND($J26*1.637*1.75*2.1*2.3*2.6*3.2*4.2*2.4*2.5*2.8*3.2*3.8*1,0)</f>
        <v>158040834734555</v>
      </c>
    </row>
    <row r="27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 t="n">
        <f>ROUND($J27*1.637*1.75*2.1*2.3*1.25,0)</f>
        <v>123838845375</v>
      </c>
      <c r="S27" s="5">
        <f t="shared" si="7"/>
        <v>133</v>
      </c>
      <c r="T27" s="9" t="n">
        <f>ROUND($J27*1.637*1.75*2.1*2.3*2.6*1.25,0)</f>
        <v>321980997975</v>
      </c>
      <c r="U27" s="3">
        <f t="shared" si="8"/>
        <v>136</v>
      </c>
      <c r="V27" s="10" t="n">
        <f>ROUND($J27*1.637*1.75*2.1*2.3*2.6*3.2*1.25,0)</f>
        <v>1030339193520</v>
      </c>
      <c r="W27" s="5">
        <f t="shared" si="9"/>
        <v>140</v>
      </c>
      <c r="X27" s="9" t="n">
        <f>ROUND($J27*1.637*1.75*2.1*2.3*2.6*3.2*4.2*1.25,0)</f>
        <v>4327424612784</v>
      </c>
      <c r="Y27" s="3">
        <f t="shared" si="10"/>
        <v>142</v>
      </c>
      <c r="Z27" s="10" t="n">
        <f>ROUND($J27*1.637*1.75*2.1*2.3*2.6*3.2*4.2*2.4*1.25,0)</f>
        <v>10385819070682</v>
      </c>
      <c r="AA27" s="5">
        <f t="shared" si="11"/>
        <v>144</v>
      </c>
      <c r="AB27" s="9" t="n">
        <f>ROUND($J27*1.637*1.75*2.1*2.3*2.6*3.2*4.2*2.4*2.5*1.25,0)</f>
        <v>25964547676704</v>
      </c>
      <c r="AC27" s="3">
        <f t="shared" si="12"/>
        <v>146</v>
      </c>
      <c r="AD27" s="10" t="n">
        <f>ROUND($J27*1.637*1.75*2.1*2.3*2.6*3.2*4.2*2.4*2.5*2.8*1.25,0)</f>
        <v>72700733494771</v>
      </c>
      <c r="AE27" s="5">
        <f t="shared" si="13"/>
        <v>149</v>
      </c>
      <c r="AF27" s="9" t="n">
        <f>ROUND($J27*1.637*1.75*2.1*2.3*2.6*3.2*4.2*2.4*2.5*2.8*3.2*1.25,0)</f>
        <v>232642347183268</v>
      </c>
      <c r="AG27" s="3">
        <f t="shared" si="14"/>
        <v>152</v>
      </c>
      <c r="AH27" s="10" t="n">
        <f>ROUND($J27*1.637*1.75*2.1*2.3*2.6*3.2*4.2*2.4*2.5*2.8*3.2*3.8*1.25,0)</f>
        <v>884040919296418</v>
      </c>
    </row>
    <row r="28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 t="n">
        <f>ROUND($J28*1.637*1.75*2.1*2.3*1,0)</f>
        <v>13975109925</v>
      </c>
      <c r="S28" s="5">
        <f t="shared" si="7"/>
        <v>132</v>
      </c>
      <c r="T28" s="9" t="n">
        <f>ROUND($J28*1.637*1.75*2.1*2.3*2.6*1,0)</f>
        <v>36335285805</v>
      </c>
      <c r="U28" s="3">
        <f t="shared" si="8"/>
        <v>135</v>
      </c>
      <c r="V28" s="10" t="n">
        <f>ROUND($J28*1.637*1.75*2.1*2.3*2.6*3.2*1,0)</f>
        <v>116272914576</v>
      </c>
      <c r="W28" s="5">
        <f t="shared" si="9"/>
        <v>139</v>
      </c>
      <c r="X28" s="9" t="n">
        <f>ROUND($J28*1.637*1.75*2.1*2.3*2.6*3.2*4.2*1,0)</f>
        <v>488346241219</v>
      </c>
      <c r="Y28" s="3">
        <f t="shared" si="10"/>
        <v>141</v>
      </c>
      <c r="Z28" s="10" t="n">
        <f>ROUND($J28*1.637*1.75*2.1*2.3*2.6*3.2*4.2*2.4*1,0)</f>
        <v>1172030978926</v>
      </c>
      <c r="AA28" s="5">
        <f t="shared" si="11"/>
        <v>143</v>
      </c>
      <c r="AB28" s="9" t="n">
        <f>ROUND($J28*1.637*1.75*2.1*2.3*2.6*3.2*4.2*2.4*2.5*1,0)</f>
        <v>2930077447315</v>
      </c>
      <c r="AC28" s="3">
        <f t="shared" si="12"/>
        <v>145</v>
      </c>
      <c r="AD28" s="10" t="n">
        <f>ROUND($J28*1.637*1.75*2.1*2.3*2.6*3.2*4.2*2.4*2.5*2.8*1,0)</f>
        <v>8204216852483</v>
      </c>
      <c r="AE28" s="5">
        <f t="shared" si="13"/>
        <v>148</v>
      </c>
      <c r="AF28" s="9" t="n">
        <f>ROUND($J28*1.637*1.75*2.1*2.3*2.6*3.2*4.2*2.4*2.5*2.8*3.2*1,0)</f>
        <v>26253493927944</v>
      </c>
      <c r="AG28" s="3">
        <f t="shared" si="14"/>
        <v>151</v>
      </c>
      <c r="AH28" s="10" t="n">
        <f>ROUND($J28*1.637*1.75*2.1*2.3*2.6*3.2*4.2*2.4*2.5*2.8*3.2*3.8*1,0)</f>
        <v>99763276926188</v>
      </c>
    </row>
    <row r="29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 t="n">
        <f>ROUND($J29*1.637*1.75*2.1*2.3*1,0)</f>
        <v>15109722810</v>
      </c>
      <c r="S29" s="5">
        <f t="shared" si="7"/>
        <v>132</v>
      </c>
      <c r="T29" s="9" t="n">
        <f>ROUND($J29*1.637*1.75*2.1*2.3*2.6*1,0)</f>
        <v>39285279306</v>
      </c>
      <c r="U29" s="3">
        <f t="shared" si="8"/>
        <v>135</v>
      </c>
      <c r="V29" s="10" t="n">
        <f>ROUND($J29*1.637*1.75*2.1*2.3*2.6*3.2*1,0)</f>
        <v>125712893779</v>
      </c>
      <c r="W29" s="5">
        <f t="shared" si="9"/>
        <v>139</v>
      </c>
      <c r="X29" s="9" t="n">
        <f>ROUND($J29*1.637*1.75*2.1*2.3*2.6*3.2*4.2*1,0)</f>
        <v>527994153873</v>
      </c>
      <c r="Y29" s="3">
        <f t="shared" si="10"/>
        <v>141</v>
      </c>
      <c r="Z29" s="10" t="n">
        <f>ROUND($J29*1.637*1.75*2.1*2.3*2.6*3.2*4.2*2.4*1,0)</f>
        <v>1267185969294</v>
      </c>
      <c r="AA29" s="5">
        <f t="shared" si="11"/>
        <v>143</v>
      </c>
      <c r="AB29" s="9" t="n">
        <f>ROUND($J29*1.637*1.75*2.1*2.3*2.6*3.2*4.2*2.4*2.5*1,0)</f>
        <v>3167964923236</v>
      </c>
      <c r="AC29" s="3">
        <f t="shared" si="12"/>
        <v>145</v>
      </c>
      <c r="AD29" s="10" t="n">
        <f>ROUND($J29*1.637*1.75*2.1*2.3*2.6*3.2*4.2*2.4*2.5*2.8*1,0)</f>
        <v>8870301785060</v>
      </c>
      <c r="AE29" s="5">
        <f t="shared" si="13"/>
        <v>148</v>
      </c>
      <c r="AF29" s="9" t="n">
        <f>ROUND($J29*1.637*1.75*2.1*2.3*2.6*3.2*4.2*2.4*2.5*2.8*3.2*1,0)</f>
        <v>28384965712193</v>
      </c>
      <c r="AG29" s="3">
        <f t="shared" si="14"/>
        <v>151</v>
      </c>
      <c r="AH29" s="10" t="n">
        <f>ROUND($J29*1.637*1.75*2.1*2.3*2.6*3.2*4.2*2.4*2.5*2.8*3.2*3.8*1,0)</f>
        <v>107862869706334</v>
      </c>
    </row>
    <row r="30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 t="n">
        <f>ROUND($J30*1.637*0.8,0)</f>
        <v>306446400</v>
      </c>
      <c r="M30" s="3">
        <f t="shared" si="2"/>
        <v>126</v>
      </c>
      <c r="N30" s="10" t="n">
        <f>ROUND($J30*1.637*1.75*0.8,0)</f>
        <v>536281200</v>
      </c>
      <c r="O30" s="5">
        <f t="shared" si="4"/>
        <v>128</v>
      </c>
      <c r="P30" s="9" t="n">
        <f>ROUND($J30*1.637*1.75*2.1*0.8,0)</f>
        <v>1126190520</v>
      </c>
      <c r="Q30" s="3">
        <f t="shared" si="6"/>
        <v>130</v>
      </c>
      <c r="R30" s="10" t="n">
        <f>ROUND($J30*1.637*1.75*2.1*2.3*0.542035092435954,0)</f>
        <v>1755000000</v>
      </c>
      <c r="S30" s="5">
        <f t="shared" si="7"/>
        <v>132</v>
      </c>
      <c r="T30" s="9" t="n">
        <f>ROUND($J30*1.637*1.75*2.1*2.3*2.6*0.544690061623969,0)</f>
        <v>4585350258</v>
      </c>
      <c r="U30" s="3">
        <f t="shared" si="8"/>
        <v>135</v>
      </c>
      <c r="V30" s="10" t="n">
        <f>ROUND($J30*1.637*1.75*2.1*2.3*2.6*3.2*0.547345030811984,0)</f>
        <v>14744641654</v>
      </c>
      <c r="W30" s="5">
        <f t="shared" si="9"/>
        <v>139</v>
      </c>
      <c r="X30" s="9" t="n">
        <f>ROUND($J30*1.637*1.75*2.1*2.3*2.6*3.2*4.2*0.55,0)</f>
        <v>62227882421</v>
      </c>
      <c r="Y30" s="3">
        <f t="shared" si="10"/>
        <v>141</v>
      </c>
      <c r="Z30" s="10" t="n">
        <f>ROUND($J30*1.637*1.75*2.1*2.3*2.6*3.2*4.2*2.4*0.55,0)</f>
        <v>149346917810</v>
      </c>
      <c r="AA30" s="5">
        <f t="shared" si="11"/>
        <v>143</v>
      </c>
      <c r="AB30" s="9" t="n">
        <f>ROUND($J30*1.637*1.75*2.1*2.3*2.6*3.2*4.2*2.4*2.5*0.55,0)</f>
        <v>373367294524</v>
      </c>
      <c r="AC30" s="3">
        <f t="shared" si="12"/>
        <v>145</v>
      </c>
      <c r="AD30" s="10" t="n">
        <f>ROUND($J30*1.637*1.75*2.1*2.3*2.6*3.2*4.2*2.4*2.5*2.8*0.55,0)</f>
        <v>1045428424668</v>
      </c>
      <c r="AE30" s="5">
        <f t="shared" si="13"/>
        <v>148</v>
      </c>
      <c r="AF30" s="9" t="n">
        <f>ROUND($J30*1.637*1.75*2.1*2.3*2.6*3.2*4.2*2.4*2.5*2.8*3.2*0.55,0)</f>
        <v>3345370958937</v>
      </c>
      <c r="AG30" s="3">
        <f t="shared" si="14"/>
        <v>151</v>
      </c>
      <c r="AH30" s="10" t="n">
        <f>ROUND($J30*1.637*1.75*2.1*2.3*2.6*3.2*4.2*2.4*2.5*2.8*3.2*3.8*0.55,0)</f>
        <v>12712409643961</v>
      </c>
    </row>
    <row r="3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 t="n">
        <f>ROUND($J31*1.637*1,0)</f>
        <v>13832650000</v>
      </c>
      <c r="M31" s="3">
        <f t="shared" si="2"/>
        <v>126</v>
      </c>
      <c r="N31" s="10" t="n">
        <f>ROUND($J31*1.637*1.75*1,0)</f>
        <v>24207137500</v>
      </c>
      <c r="O31" s="5">
        <f t="shared" si="4"/>
        <v>128</v>
      </c>
      <c r="P31" s="9" t="n">
        <f>ROUND($J31*1.637*1.75*2.1*1,0)</f>
        <v>50834988750</v>
      </c>
      <c r="Q31" s="3">
        <f t="shared" si="6"/>
        <v>130</v>
      </c>
      <c r="R31" s="10" t="n">
        <f>ROUND($J31*1.637*1.75*2.1*2.3*1.25,0)</f>
        <v>146150592656</v>
      </c>
      <c r="S31" s="5">
        <f t="shared" si="7"/>
        <v>132</v>
      </c>
      <c r="T31" s="9" t="n">
        <f>ROUND($J31*1.637*1.75*2.1*2.3*2.6*1.25,0)</f>
        <v>379991540906</v>
      </c>
      <c r="U31" s="3">
        <f t="shared" si="8"/>
        <v>135</v>
      </c>
      <c r="V31" s="10" t="n">
        <f>ROUND($J31*1.637*1.75*2.1*2.3*2.6*3.2*1.25,0)</f>
        <v>1215972930900</v>
      </c>
      <c r="W31" s="5">
        <f t="shared" si="9"/>
        <v>139</v>
      </c>
      <c r="X31" s="9" t="n">
        <f>ROUND($J31*1.637*1.75*2.1*2.3*2.6*3.2*4.2*1.25,0)</f>
        <v>5107086309780</v>
      </c>
      <c r="Y31" s="3">
        <f t="shared" si="10"/>
        <v>141</v>
      </c>
      <c r="Z31" s="10" t="n">
        <f>ROUND($J31*1.637*1.75*2.1*2.3*2.6*3.2*4.2*2.4*1.25,0)</f>
        <v>12257007143472</v>
      </c>
      <c r="AA31" s="5">
        <f t="shared" si="11"/>
        <v>143</v>
      </c>
      <c r="AB31" s="9" t="n">
        <f>ROUND($J31*1.637*1.75*2.1*2.3*2.6*3.2*4.2*2.4*2.5*1.25,0)</f>
        <v>30642517858680</v>
      </c>
      <c r="AC31" s="3">
        <f t="shared" si="12"/>
        <v>145</v>
      </c>
      <c r="AD31" s="10" t="n">
        <f>ROUND($J31*1.637*1.75*2.1*2.3*2.6*3.2*4.2*2.4*2.5*2.8*1.25,0)</f>
        <v>85799050004304</v>
      </c>
      <c r="AE31" s="5">
        <f t="shared" si="13"/>
        <v>148</v>
      </c>
      <c r="AF31" s="9" t="n">
        <f>ROUND($J31*1.637*1.75*2.1*2.3*2.6*3.2*4.2*2.4*2.5*2.8*3.2*1.25,0)</f>
        <v>274556960013773</v>
      </c>
      <c r="AG31" s="3">
        <f t="shared" si="14"/>
        <v>151</v>
      </c>
      <c r="AH31" s="10" t="n">
        <f>ROUND($J31*1.637*1.75*2.1*2.3*2.6*3.2*4.2*2.4*2.5*2.8*3.2*3.8*1.25,0)</f>
        <v>1043316448052340</v>
      </c>
    </row>
    <row r="32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 t="n">
        <f>ROUND($J32*1.637*1,0)</f>
        <v>661348000</v>
      </c>
      <c r="M32" s="3">
        <f t="shared" si="2"/>
        <v>126</v>
      </c>
      <c r="N32" s="10" t="n">
        <f>ROUND($J32*1.637*1.75*1,0)</f>
        <v>1157359000</v>
      </c>
      <c r="O32" s="5">
        <f t="shared" si="4"/>
        <v>128</v>
      </c>
      <c r="P32" s="9" t="n">
        <f>ROUND($J32*1.637*1.75*2.1*1,0)</f>
        <v>2430453900</v>
      </c>
      <c r="Q32" s="3">
        <f t="shared" si="6"/>
        <v>130</v>
      </c>
      <c r="R32" s="10" t="n">
        <f>ROUND($J32*1.637*1.75*2.1*2.3*1,0)</f>
        <v>5590043970</v>
      </c>
      <c r="S32" s="5">
        <f t="shared" si="7"/>
        <v>132</v>
      </c>
      <c r="T32" s="9" t="n">
        <f>ROUND($J32*1.637*1.75*2.1*2.3*2.6*1,0)</f>
        <v>14534114322</v>
      </c>
      <c r="U32" s="3">
        <f t="shared" si="8"/>
        <v>135</v>
      </c>
      <c r="V32" s="10" t="n">
        <f>ROUND($J32*1.637*1.75*2.1*2.3*2.6*3.2*1,0)</f>
        <v>46509165830</v>
      </c>
      <c r="W32" s="5">
        <f t="shared" si="9"/>
        <v>139</v>
      </c>
      <c r="X32" s="9" t="n">
        <f>ROUND($J32*1.637*1.75*2.1*2.3*2.6*3.2*4.2*1,0)</f>
        <v>195338496488</v>
      </c>
      <c r="Y32" s="3">
        <f t="shared" si="10"/>
        <v>141</v>
      </c>
      <c r="Z32" s="10" t="n">
        <f>ROUND($J32*1.637*1.75*2.1*2.3*2.6*3.2*4.2*2.4*1,0)</f>
        <v>468812391570</v>
      </c>
      <c r="AA32" s="5">
        <f t="shared" si="11"/>
        <v>143</v>
      </c>
      <c r="AB32" s="9" t="n">
        <f>ROUND($J32*1.637*1.75*2.1*2.3*2.6*3.2*4.2*2.4*2.5*1,0)</f>
        <v>1172030978926</v>
      </c>
      <c r="AC32" s="3">
        <f t="shared" si="12"/>
        <v>145</v>
      </c>
      <c r="AD32" s="10" t="n">
        <f>ROUND($J32*1.637*1.75*2.1*2.3*2.6*3.2*4.2*2.4*2.5*2.8*1,0)</f>
        <v>3281686740993</v>
      </c>
      <c r="AE32" s="5">
        <f t="shared" si="13"/>
        <v>148</v>
      </c>
      <c r="AF32" s="9" t="n">
        <f>ROUND($J32*1.637*1.75*2.1*2.3*2.6*3.2*4.2*2.4*2.5*2.8*3.2*1,0)</f>
        <v>10501397571178</v>
      </c>
      <c r="AG32" s="3">
        <f t="shared" si="14"/>
        <v>151</v>
      </c>
      <c r="AH32" s="10" t="n">
        <f>ROUND($J32*1.637*1.75*2.1*2.3*2.6*3.2*4.2*2.4*2.5*2.8*3.2*3.8*1,0)</f>
        <v>39905310770475</v>
      </c>
    </row>
    <row r="33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 t="n">
        <f>ROUND($J33*1.637*0.8,0)</f>
        <v>168938400</v>
      </c>
      <c r="M33" s="3">
        <f t="shared" si="2"/>
        <v>126</v>
      </c>
      <c r="N33" s="10" t="n">
        <f>ROUND($J33*1.637*1.75*0.8,0)</f>
        <v>295642200</v>
      </c>
      <c r="O33" s="5">
        <f t="shared" si="4"/>
        <v>128</v>
      </c>
      <c r="P33" s="9" t="n">
        <f>ROUND($J33*1.637*1.75*2.1*0.8,0)</f>
        <v>620848620</v>
      </c>
      <c r="Q33" s="3">
        <f t="shared" si="6"/>
        <v>130</v>
      </c>
      <c r="R33" s="10" t="n">
        <f>ROUND($J33*1.637*1.75*2.1*2.3*0.542035092435954,0)</f>
        <v>967500000</v>
      </c>
      <c r="S33" s="5">
        <f t="shared" si="7"/>
        <v>132</v>
      </c>
      <c r="T33" s="9" t="n">
        <f>ROUND($J33*1.637*1.75*2.1*2.3*2.6*0.544690061623969,0)</f>
        <v>2527821296</v>
      </c>
      <c r="U33" s="3">
        <f t="shared" si="8"/>
        <v>135</v>
      </c>
      <c r="V33" s="10" t="n">
        <f>ROUND($J33*1.637*1.75*2.1*2.3*2.6*3.2*0.547345030811984,0)</f>
        <v>8128456296</v>
      </c>
      <c r="W33" s="5">
        <f t="shared" si="9"/>
        <v>139</v>
      </c>
      <c r="X33" s="9" t="n">
        <f>ROUND($J33*1.637*1.75*2.1*2.3*2.6*3.2*4.2*0.55,0)</f>
        <v>34305114668</v>
      </c>
      <c r="Y33" s="3">
        <f t="shared" si="10"/>
        <v>141</v>
      </c>
      <c r="Z33" s="10" t="n">
        <f>ROUND($J33*1.637*1.75*2.1*2.3*2.6*3.2*4.2*2.4*0.55,0)</f>
        <v>82332275203</v>
      </c>
      <c r="AA33" s="5">
        <f t="shared" si="11"/>
        <v>143</v>
      </c>
      <c r="AB33" s="9" t="n">
        <f>ROUND($J33*1.637*1.75*2.1*2.3*2.6*3.2*4.2*2.4*2.5*0.55,0)</f>
        <v>205830688007</v>
      </c>
      <c r="AC33" s="3">
        <f t="shared" si="12"/>
        <v>145</v>
      </c>
      <c r="AD33" s="10" t="n">
        <f>ROUND($J33*1.637*1.75*2.1*2.3*2.6*3.2*4.2*2.4*2.5*2.8*0.55,0)</f>
        <v>576325926419</v>
      </c>
      <c r="AE33" s="5">
        <f t="shared" si="13"/>
        <v>148</v>
      </c>
      <c r="AF33" s="9" t="n">
        <f>ROUND($J33*1.637*1.75*2.1*2.3*2.6*3.2*4.2*2.4*2.5*2.8*3.2*0.55,0)</f>
        <v>1844242964542</v>
      </c>
      <c r="AG33" s="3">
        <f t="shared" si="14"/>
        <v>151</v>
      </c>
      <c r="AH33" s="10" t="n">
        <f>ROUND($J33*1.637*1.75*2.1*2.3*2.6*3.2*4.2*2.4*2.5*2.8*3.2*3.8*0.55,0)</f>
        <v>7008123265260</v>
      </c>
    </row>
    <row r="34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 t="n">
        <f t="shared" ref="L34:L44" si="21">ROUND($J34*1.637*1,0)</f>
        <v>8185000000</v>
      </c>
      <c r="M34" s="3">
        <f t="shared" si="2"/>
        <v>126</v>
      </c>
      <c r="N34" s="10" t="n">
        <f t="shared" ref="N34:N44" si="22">ROUND($J34*1.637*1.75*1,0)</f>
        <v>14323750000</v>
      </c>
      <c r="O34" s="5">
        <f t="shared" si="4"/>
        <v>128</v>
      </c>
      <c r="P34" s="9" t="n">
        <f t="shared" ref="P34:P44" si="23">ROUND($J34*1.637*1.75*2.1*1,0)</f>
        <v>30079875000</v>
      </c>
      <c r="Q34" s="3">
        <f t="shared" si="6"/>
        <v>130</v>
      </c>
      <c r="R34" s="10" t="n">
        <f>ROUND($J34*1.637*1.75*2.1*2.3*1.25,0)</f>
        <v>86479640625</v>
      </c>
      <c r="S34" s="5">
        <f t="shared" si="7"/>
        <v>132</v>
      </c>
      <c r="T34" s="9" t="n">
        <f>ROUND($J34*1.637*1.75*2.1*2.3*2.6*1.25,0)</f>
        <v>224847065625</v>
      </c>
      <c r="U34" s="3">
        <f t="shared" si="8"/>
        <v>135</v>
      </c>
      <c r="V34" s="10" t="n">
        <f>ROUND($J34*1.637*1.75*2.1*2.3*2.6*3.2*1.25,0)</f>
        <v>719510610000</v>
      </c>
      <c r="W34" s="5">
        <f t="shared" si="9"/>
        <v>139</v>
      </c>
      <c r="X34" s="9" t="n">
        <f>ROUND($J34*1.637*1.75*2.1*2.3*2.6*3.2*4.2*1.25,0)</f>
        <v>3021944562000</v>
      </c>
      <c r="Y34" s="3">
        <f t="shared" si="10"/>
        <v>141</v>
      </c>
      <c r="Z34" s="10" t="n">
        <f>ROUND($J34*1.637*1.75*2.1*2.3*2.6*3.2*4.2*2.4*1.25,0)</f>
        <v>7252666948800</v>
      </c>
      <c r="AA34" s="5">
        <f t="shared" si="11"/>
        <v>143</v>
      </c>
      <c r="AB34" s="9" t="n">
        <f>ROUND($J34*1.637*1.75*2.1*2.3*2.6*3.2*4.2*2.4*2.5*1.25,0)</f>
        <v>18131667372000</v>
      </c>
      <c r="AC34" s="3">
        <f t="shared" si="12"/>
        <v>145</v>
      </c>
      <c r="AD34" s="10" t="n">
        <f>ROUND($J34*1.637*1.75*2.1*2.3*2.6*3.2*4.2*2.4*2.5*2.8*1.25,0)</f>
        <v>50768668641600</v>
      </c>
      <c r="AE34" s="5">
        <f t="shared" si="13"/>
        <v>148</v>
      </c>
      <c r="AF34" s="9" t="n">
        <f>ROUND($J34*1.637*1.75*2.1*2.3*2.6*3.2*4.2*2.4*2.5*2.8*3.2*1.25,0)</f>
        <v>162459739653120</v>
      </c>
      <c r="AG34" s="3">
        <f t="shared" si="14"/>
        <v>151</v>
      </c>
      <c r="AH34" s="10" t="n">
        <f>ROUND($J34*1.637*1.75*2.1*2.3*2.6*3.2*4.2*2.4*2.5*2.8*3.2*3.8*1.25,0)</f>
        <v>617347010681856</v>
      </c>
    </row>
    <row r="35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 t="n">
        <f>ROUND($J35*1.637*1.75*2.1*2.3*1,0)</f>
        <v>16604091000</v>
      </c>
      <c r="S35" s="5">
        <f t="shared" si="7"/>
        <v>132</v>
      </c>
      <c r="T35" s="9" t="n">
        <f>ROUND($J35*1.637*1.75*2.1*2.3*2.6*1,0)</f>
        <v>43170636600</v>
      </c>
      <c r="U35" s="3">
        <f t="shared" si="8"/>
        <v>135</v>
      </c>
      <c r="V35" s="10" t="n">
        <f>ROUND($J35*1.637*1.75*2.1*2.3*2.6*3.2*1,0)</f>
        <v>138146037120</v>
      </c>
      <c r="W35" s="5">
        <f t="shared" si="9"/>
        <v>139</v>
      </c>
      <c r="X35" s="9" t="n">
        <f>ROUND($J35*1.637*1.75*2.1*2.3*2.6*3.2*4.2*1,0)</f>
        <v>580213355904</v>
      </c>
      <c r="Y35" s="3">
        <f t="shared" si="10"/>
        <v>141</v>
      </c>
      <c r="Z35" s="10" t="n">
        <f>ROUND($J35*1.637*1.75*2.1*2.3*2.6*3.2*4.2*2.4*1,0)</f>
        <v>1392512054170</v>
      </c>
      <c r="AA35" s="5">
        <f t="shared" si="11"/>
        <v>143</v>
      </c>
      <c r="AB35" s="9" t="n">
        <f>ROUND($J35*1.637*1.75*2.1*2.3*2.6*3.2*4.2*2.4*2.5*1,0)</f>
        <v>3481280135424</v>
      </c>
      <c r="AC35" s="3">
        <f t="shared" si="12"/>
        <v>145</v>
      </c>
      <c r="AD35" s="10" t="n">
        <f>ROUND($J35*1.637*1.75*2.1*2.3*2.6*3.2*4.2*2.4*2.5*2.8*1,0)</f>
        <v>9747584379187</v>
      </c>
      <c r="AE35" s="5">
        <f t="shared" si="13"/>
        <v>148</v>
      </c>
      <c r="AF35" s="9" t="n">
        <f>ROUND($J35*1.637*1.75*2.1*2.3*2.6*3.2*4.2*2.4*2.5*2.8*3.2*1,0)</f>
        <v>31192270013399</v>
      </c>
      <c r="AG35" s="3">
        <f t="shared" si="14"/>
        <v>151</v>
      </c>
      <c r="AH35" s="10" t="n">
        <f>ROUND($J35*1.637*1.75*2.1*2.3*2.6*3.2*4.2*2.4*2.5*2.8*3.2*3.8*1,0)</f>
        <v>118530626050916</v>
      </c>
    </row>
    <row r="36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 t="n">
        <f>ROUND($J36*1.637*1.75*2.1*2.3*1.25,0)</f>
        <v>147015389063</v>
      </c>
      <c r="S36" s="5">
        <f t="shared" si="7"/>
        <v>132</v>
      </c>
      <c r="T36" s="9" t="n">
        <f>ROUND($J36*1.637*1.75*2.1*2.3*2.6*1.25,0)</f>
        <v>382240011563</v>
      </c>
      <c r="U36" s="3">
        <f t="shared" si="8"/>
        <v>135</v>
      </c>
      <c r="V36" s="10" t="n">
        <f>ROUND($J36*1.637*1.75*2.1*2.3*2.6*3.2*1.25,0)</f>
        <v>1223168037000</v>
      </c>
      <c r="W36" s="5">
        <f t="shared" si="9"/>
        <v>139</v>
      </c>
      <c r="X36" s="9" t="n">
        <f>ROUND($J36*1.637*1.75*2.1*2.3*2.6*3.2*4.2*1.25,0)</f>
        <v>5137305755400</v>
      </c>
      <c r="Y36" s="3">
        <f t="shared" si="10"/>
        <v>141</v>
      </c>
      <c r="Z36" s="10" t="n">
        <f>ROUND($J36*1.637*1.75*2.1*2.3*2.6*3.2*4.2*2.4*1.25,0)</f>
        <v>12329533812960</v>
      </c>
      <c r="AA36" s="5">
        <f t="shared" si="11"/>
        <v>143</v>
      </c>
      <c r="AB36" s="9" t="n">
        <f>ROUND($J36*1.637*1.75*2.1*2.3*2.6*3.2*4.2*2.4*2.5*1.25,0)</f>
        <v>30823834532400</v>
      </c>
      <c r="AC36" s="3">
        <f t="shared" si="12"/>
        <v>145</v>
      </c>
      <c r="AD36" s="10" t="n">
        <f>ROUND($J36*1.637*1.75*2.1*2.3*2.6*3.2*4.2*2.4*2.5*2.8*1.25,0)</f>
        <v>86306736690720</v>
      </c>
      <c r="AE36" s="5">
        <f t="shared" si="13"/>
        <v>148</v>
      </c>
      <c r="AF36" s="9" t="n">
        <f>ROUND($J36*1.637*1.75*2.1*2.3*2.6*3.2*4.2*2.4*2.5*2.8*3.2*1.25,0)</f>
        <v>276181557410304</v>
      </c>
      <c r="AG36" s="3">
        <f t="shared" si="14"/>
        <v>151</v>
      </c>
      <c r="AH36" s="10" t="n">
        <f>ROUND($J36*1.637*1.75*2.1*2.3*2.6*3.2*4.2*2.4*2.5*2.8*3.2*3.8*1.25,0)</f>
        <v>1049489918159160</v>
      </c>
    </row>
    <row r="37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 t="n">
        <f>ROUND($J37*1.637*1.75*2.1*2.3*1.25,0)</f>
        <v>66001261725</v>
      </c>
      <c r="S37" s="5">
        <f t="shared" si="7"/>
        <v>132</v>
      </c>
      <c r="T37" s="9" t="n">
        <f>ROUND($J37*1.637*1.75*2.1*2.3*2.6*1.25,0)</f>
        <v>171603280485</v>
      </c>
      <c r="U37" s="3">
        <f t="shared" si="8"/>
        <v>135</v>
      </c>
      <c r="V37" s="10" t="n">
        <f>ROUND($J37*1.637*1.75*2.1*2.3*2.6*3.2*1.25,0)</f>
        <v>549130497552</v>
      </c>
      <c r="W37" s="5">
        <f t="shared" si="9"/>
        <v>139</v>
      </c>
      <c r="X37" s="9" t="n">
        <f>ROUND($J37*1.637*1.75*2.1*2.3*2.6*3.2*4.2*1.25,0)</f>
        <v>2306348089718</v>
      </c>
      <c r="Y37" s="3">
        <f t="shared" si="10"/>
        <v>141</v>
      </c>
      <c r="Z37" s="10" t="n">
        <f>ROUND($J37*1.637*1.75*2.1*2.3*2.6*3.2*4.2*2.4*1.25,0)</f>
        <v>5535235415324</v>
      </c>
      <c r="AA37" s="5">
        <f t="shared" si="11"/>
        <v>143</v>
      </c>
      <c r="AB37" s="9" t="n">
        <f>ROUND($J37*1.637*1.75*2.1*2.3*2.6*3.2*4.2*2.4*2.5*1.25,0)</f>
        <v>13838088538310</v>
      </c>
      <c r="AC37" s="3">
        <f t="shared" si="12"/>
        <v>145</v>
      </c>
      <c r="AD37" s="10" t="n">
        <f>ROUND($J37*1.637*1.75*2.1*2.3*2.6*3.2*4.2*2.4*2.5*2.8*1.25,0)</f>
        <v>38746647907269</v>
      </c>
      <c r="AE37" s="5">
        <f t="shared" si="13"/>
        <v>148</v>
      </c>
      <c r="AF37" s="9" t="n">
        <f>ROUND($J37*1.637*1.75*2.1*2.3*2.6*3.2*4.2*2.4*2.5*2.8*3.2*1.25,0)</f>
        <v>123989273303261</v>
      </c>
      <c r="AG37" s="3">
        <f t="shared" si="14"/>
        <v>151</v>
      </c>
      <c r="AH37" s="10" t="n">
        <f>ROUND($J37*1.637*1.75*2.1*2.3*2.6*3.2*4.2*2.4*2.5*2.8*3.2*3.8*1.25,0)</f>
        <v>471159238552392</v>
      </c>
    </row>
    <row r="38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 t="n">
        <f>ROUND($J38*1.637*1.75*2.1*2.3*1,0)</f>
        <v>9990128085</v>
      </c>
      <c r="S38" s="5">
        <f t="shared" si="7"/>
        <v>132</v>
      </c>
      <c r="T38" s="9" t="n">
        <f>ROUND($J38*1.637*1.75*2.1*2.3*2.6*1,0)</f>
        <v>25974333021</v>
      </c>
      <c r="U38" s="3">
        <f t="shared" si="8"/>
        <v>135</v>
      </c>
      <c r="V38" s="10" t="n">
        <f>ROUND($J38*1.637*1.75*2.1*2.3*2.6*3.2*1,0)</f>
        <v>83117865667</v>
      </c>
      <c r="W38" s="5">
        <f t="shared" si="9"/>
        <v>139</v>
      </c>
      <c r="X38" s="9" t="n">
        <f>ROUND($J38*1.637*1.75*2.1*2.3*2.6*3.2*4.2*1,0)</f>
        <v>349095035802</v>
      </c>
      <c r="Y38" s="3">
        <f t="shared" si="10"/>
        <v>141</v>
      </c>
      <c r="Z38" s="10" t="n">
        <f>ROUND($J38*1.637*1.75*2.1*2.3*2.6*3.2*4.2*2.4*1,0)</f>
        <v>837828085925</v>
      </c>
      <c r="AA38" s="5">
        <f t="shared" si="11"/>
        <v>143</v>
      </c>
      <c r="AB38" s="9" t="n">
        <f>ROUND($J38*1.637*1.75*2.1*2.3*2.6*3.2*4.2*2.4*2.5*1,0)</f>
        <v>2094570214813</v>
      </c>
      <c r="AC38" s="3">
        <f t="shared" si="12"/>
        <v>145</v>
      </c>
      <c r="AD38" s="10" t="n">
        <f>ROUND($J38*1.637*1.75*2.1*2.3*2.6*3.2*4.2*2.4*2.5*2.8*1,0)</f>
        <v>5864796601478</v>
      </c>
      <c r="AE38" s="5">
        <f t="shared" si="13"/>
        <v>148</v>
      </c>
      <c r="AF38" s="9" t="n">
        <f>ROUND($J38*1.637*1.75*2.1*2.3*2.6*3.2*4.2*2.4*2.5*2.8*3.2*1,0)</f>
        <v>18767349124728</v>
      </c>
      <c r="AG38" s="3">
        <f t="shared" si="14"/>
        <v>151</v>
      </c>
      <c r="AH38" s="10" t="n">
        <f>ROUND($J38*1.637*1.75*2.1*2.3*2.6*3.2*4.2*2.4*2.5*2.8*3.2*3.8*1,0)</f>
        <v>71315926673968</v>
      </c>
    </row>
    <row r="39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 t="n">
        <f>ROUND($J39*1.637*1.75*2.1*2.3*1.25,0)</f>
        <v>102218935219</v>
      </c>
      <c r="S39" s="5">
        <f t="shared" si="7"/>
        <v>132</v>
      </c>
      <c r="T39" s="9" t="n">
        <f>ROUND($J39*1.637*1.75*2.1*2.3*2.6*1.25,0)</f>
        <v>265769231569</v>
      </c>
      <c r="U39" s="3">
        <f t="shared" si="8"/>
        <v>135</v>
      </c>
      <c r="V39" s="10" t="n">
        <f>ROUND($J39*1.637*1.75*2.1*2.3*2.6*3.2*1.25,0)</f>
        <v>850461541020</v>
      </c>
      <c r="W39" s="5">
        <f t="shared" si="9"/>
        <v>139</v>
      </c>
      <c r="X39" s="9" t="n">
        <f>ROUND($J39*1.637*1.75*2.1*2.3*2.6*3.2*4.2*1.25,0)</f>
        <v>3571938472284</v>
      </c>
      <c r="Y39" s="3">
        <f t="shared" si="10"/>
        <v>141</v>
      </c>
      <c r="Z39" s="10" t="n">
        <f>ROUND($J39*1.637*1.75*2.1*2.3*2.6*3.2*4.2*2.4*1.25,0)</f>
        <v>8572652333482</v>
      </c>
      <c r="AA39" s="5">
        <f t="shared" si="11"/>
        <v>143</v>
      </c>
      <c r="AB39" s="9" t="n">
        <f>ROUND($J39*1.637*1.75*2.1*2.3*2.6*3.2*4.2*2.4*2.5*1.25,0)</f>
        <v>21431630833704</v>
      </c>
      <c r="AC39" s="3">
        <f t="shared" si="12"/>
        <v>145</v>
      </c>
      <c r="AD39" s="10" t="n">
        <f>ROUND($J39*1.637*1.75*2.1*2.3*2.6*3.2*4.2*2.4*2.5*2.8*1.25,0)</f>
        <v>60008566334371</v>
      </c>
      <c r="AE39" s="5">
        <f t="shared" si="13"/>
        <v>148</v>
      </c>
      <c r="AF39" s="9" t="n">
        <f>ROUND($J39*1.637*1.75*2.1*2.3*2.6*3.2*4.2*2.4*2.5*2.8*3.2*1.25,0)</f>
        <v>192027412269988</v>
      </c>
      <c r="AG39" s="3">
        <f t="shared" si="14"/>
        <v>151</v>
      </c>
      <c r="AH39" s="10" t="n">
        <f>ROUND($J39*1.637*1.75*2.1*2.3*2.6*3.2*4.2*2.4*2.5*2.8*3.2*3.8*1.25,0)</f>
        <v>729704166625954</v>
      </c>
    </row>
    <row r="40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 t="n">
        <f>ROUND($J40*1.637*1.75*2.1*2.3*1.25,0)</f>
        <v>74372490938</v>
      </c>
      <c r="S40" s="5">
        <f t="shared" si="7"/>
        <v>132</v>
      </c>
      <c r="T40" s="9" t="n">
        <f>ROUND($J40*1.637*1.75*2.1*2.3*2.6*1.25,0)</f>
        <v>193368476438</v>
      </c>
      <c r="U40" s="3">
        <f t="shared" si="8"/>
        <v>135</v>
      </c>
      <c r="V40" s="10" t="n">
        <f>ROUND($J40*1.637*1.75*2.1*2.3*2.6*3.2*1.25,0)</f>
        <v>618779124600</v>
      </c>
      <c r="W40" s="5">
        <f t="shared" si="9"/>
        <v>139</v>
      </c>
      <c r="X40" s="9" t="n">
        <f>ROUND($J40*1.637*1.75*2.1*2.3*2.6*3.2*4.2*1.25,0)</f>
        <v>2598872323320</v>
      </c>
      <c r="Y40" s="3">
        <f t="shared" si="10"/>
        <v>141</v>
      </c>
      <c r="Z40" s="10" t="n">
        <f>ROUND($J40*1.637*1.75*2.1*2.3*2.6*3.2*4.2*2.4*1.25,0)</f>
        <v>6237293575968</v>
      </c>
      <c r="AA40" s="5">
        <f t="shared" si="11"/>
        <v>143</v>
      </c>
      <c r="AB40" s="9" t="n">
        <f>ROUND($J40*1.637*1.75*2.1*2.3*2.6*3.2*4.2*2.4*2.5*1.25,0)</f>
        <v>15593233939920</v>
      </c>
      <c r="AC40" s="3">
        <f t="shared" si="12"/>
        <v>145</v>
      </c>
      <c r="AD40" s="10" t="n">
        <f>ROUND($J40*1.637*1.75*2.1*2.3*2.6*3.2*4.2*2.4*2.5*2.8*1.25,0)</f>
        <v>43661055031776</v>
      </c>
      <c r="AE40" s="5">
        <f t="shared" si="13"/>
        <v>148</v>
      </c>
      <c r="AF40" s="9" t="n">
        <f>ROUND($J40*1.637*1.75*2.1*2.3*2.6*3.2*4.2*2.4*2.5*2.8*3.2*1.25,0)</f>
        <v>139715376101683</v>
      </c>
      <c r="AG40" s="3">
        <f t="shared" si="14"/>
        <v>151</v>
      </c>
      <c r="AH40" s="10" t="n">
        <f>ROUND($J40*1.637*1.75*2.1*2.3*2.6*3.2*4.2*2.4*2.5*2.8*3.2*3.8*1.25,0)</f>
        <v>530918429186396</v>
      </c>
    </row>
    <row r="4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 t="n">
        <f>ROUND($J41*1.637*1.75*2.1*2.3*1.25,0)</f>
        <v>76793920875</v>
      </c>
      <c r="S41" s="5">
        <f t="shared" si="7"/>
        <v>132</v>
      </c>
      <c r="T41" s="9" t="n">
        <f>ROUND($J41*1.637*1.75*2.1*2.3*2.6*1.25,0)</f>
        <v>199664194275</v>
      </c>
      <c r="U41" s="3">
        <f t="shared" si="8"/>
        <v>135</v>
      </c>
      <c r="V41" s="10" t="n">
        <f>ROUND($J41*1.637*1.75*2.1*2.3*2.6*3.2*1.25,0)</f>
        <v>638925421680</v>
      </c>
      <c r="W41" s="5">
        <f t="shared" si="9"/>
        <v>139</v>
      </c>
      <c r="X41" s="9" t="n">
        <f>ROUND($J41*1.637*1.75*2.1*2.3*2.6*3.2*4.2*1.25,0)</f>
        <v>2683486771056</v>
      </c>
      <c r="Y41" s="3">
        <f t="shared" si="10"/>
        <v>141</v>
      </c>
      <c r="Z41" s="10" t="n">
        <f>ROUND($J41*1.637*1.75*2.1*2.3*2.6*3.2*4.2*2.4*1.25,0)</f>
        <v>6440368250534</v>
      </c>
      <c r="AA41" s="5">
        <f t="shared" si="11"/>
        <v>143</v>
      </c>
      <c r="AB41" s="9" t="n">
        <f>ROUND($J41*1.637*1.75*2.1*2.3*2.6*3.2*4.2*2.4*2.5*1.25,0)</f>
        <v>16100920626336</v>
      </c>
      <c r="AC41" s="3">
        <f t="shared" si="12"/>
        <v>145</v>
      </c>
      <c r="AD41" s="10" t="n">
        <f>ROUND($J41*1.637*1.75*2.1*2.3*2.6*3.2*4.2*2.4*2.5*2.8*1.25,0)</f>
        <v>45082577753741</v>
      </c>
      <c r="AE41" s="5">
        <f t="shared" si="13"/>
        <v>148</v>
      </c>
      <c r="AF41" s="9" t="n">
        <f>ROUND($J41*1.637*1.75*2.1*2.3*2.6*3.2*4.2*2.4*2.5*2.8*3.2*1.25,0)</f>
        <v>144264248811971</v>
      </c>
      <c r="AG41" s="3">
        <f t="shared" si="14"/>
        <v>151</v>
      </c>
      <c r="AH41" s="10" t="n">
        <f>ROUND($J41*1.637*1.75*2.1*2.3*2.6*3.2*4.2*2.4*2.5*2.8*3.2*3.8*1.25,0)</f>
        <v>548204145485488</v>
      </c>
    </row>
    <row r="42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 t="n">
        <f>ROUND($J42*1.637*1.75*2.1*2.3*1,0)</f>
        <v>4151022750</v>
      </c>
      <c r="S42" s="5">
        <f t="shared" si="7"/>
        <v>132</v>
      </c>
      <c r="T42" s="9" t="n">
        <f>ROUND($J42*1.637*1.75*2.1*2.3*2.6*1,0)</f>
        <v>10792659150</v>
      </c>
      <c r="U42" s="3">
        <f t="shared" si="8"/>
        <v>135</v>
      </c>
      <c r="V42" s="10" t="n">
        <f>ROUND($J42*1.637*1.75*2.1*2.3*2.6*3.2*1,0)</f>
        <v>34536509280</v>
      </c>
      <c r="W42" s="5">
        <f t="shared" si="9"/>
        <v>139</v>
      </c>
      <c r="X42" s="9" t="n">
        <f>ROUND($J42*1.637*1.75*2.1*2.3*2.6*3.2*4.2*1,0)</f>
        <v>145053338976</v>
      </c>
      <c r="Y42" s="3">
        <f t="shared" si="10"/>
        <v>141</v>
      </c>
      <c r="Z42" s="10" t="n">
        <f>ROUND($J42*1.637*1.75*2.1*2.3*2.6*3.2*4.2*2.4*1,0)</f>
        <v>348128013542</v>
      </c>
      <c r="AA42" s="5">
        <f t="shared" si="11"/>
        <v>143</v>
      </c>
      <c r="AB42" s="9" t="n">
        <f>ROUND($J42*1.637*1.75*2.1*2.3*2.6*3.2*4.2*2.4*2.5*1,0)</f>
        <v>870320033856</v>
      </c>
      <c r="AC42" s="3">
        <f t="shared" si="12"/>
        <v>145</v>
      </c>
      <c r="AD42" s="10" t="n">
        <f>ROUND($J42*1.637*1.75*2.1*2.3*2.6*3.2*4.2*2.4*2.5*2.8*1,0)</f>
        <v>2436896094797</v>
      </c>
      <c r="AE42" s="5">
        <f t="shared" si="13"/>
        <v>148</v>
      </c>
      <c r="AF42" s="9" t="n">
        <f>ROUND($J42*1.637*1.75*2.1*2.3*2.6*3.2*4.2*2.4*2.5*2.8*3.2*1,0)</f>
        <v>7798067503350</v>
      </c>
      <c r="AG42" s="3">
        <f t="shared" si="14"/>
        <v>151</v>
      </c>
      <c r="AH42" s="10" t="n">
        <f>ROUND($J42*1.637*1.75*2.1*2.3*2.6*3.2*4.2*2.4*2.5*2.8*3.2*3.8*1,0)</f>
        <v>29632656512729</v>
      </c>
    </row>
    <row r="43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 t="n">
        <f>ROUND($J43*1.637*1.75*2.1*2.3*1.25,0)</f>
        <v>62957178375</v>
      </c>
      <c r="S43" s="5">
        <f t="shared" si="7"/>
        <v>132</v>
      </c>
      <c r="T43" s="9" t="n">
        <f>ROUND($J43*1.637*1.75*2.1*2.3*2.6*1.25,0)</f>
        <v>163688663775</v>
      </c>
      <c r="U43" s="3">
        <f t="shared" si="8"/>
        <v>135</v>
      </c>
      <c r="V43" s="10" t="n">
        <f>ROUND($J43*1.637*1.75*2.1*2.3*2.6*3.2*1.25,0)</f>
        <v>523803724080</v>
      </c>
      <c r="W43" s="5">
        <f t="shared" si="9"/>
        <v>139</v>
      </c>
      <c r="X43" s="9" t="n">
        <f>ROUND($J43*1.637*1.75*2.1*2.3*2.6*3.2*4.2*1.25,0)</f>
        <v>2199975641136</v>
      </c>
      <c r="Y43" s="3">
        <f t="shared" si="10"/>
        <v>141</v>
      </c>
      <c r="Z43" s="10" t="n">
        <f>ROUND($J43*1.637*1.75*2.1*2.3*2.6*3.2*4.2*2.4*1.25,0)</f>
        <v>5279941538726</v>
      </c>
      <c r="AA43" s="5">
        <f t="shared" si="11"/>
        <v>143</v>
      </c>
      <c r="AB43" s="9" t="n">
        <f>ROUND($J43*1.637*1.75*2.1*2.3*2.6*3.2*4.2*2.4*2.5*1.25,0)</f>
        <v>13199853846816</v>
      </c>
      <c r="AC43" s="3">
        <f t="shared" si="12"/>
        <v>145</v>
      </c>
      <c r="AD43" s="10" t="n">
        <f>ROUND($J43*1.637*1.75*2.1*2.3*2.6*3.2*4.2*2.4*2.5*2.8*1.25,0)</f>
        <v>36959590771085</v>
      </c>
      <c r="AE43" s="5">
        <f t="shared" si="13"/>
        <v>148</v>
      </c>
      <c r="AF43" s="9" t="n">
        <f>ROUND($J43*1.637*1.75*2.1*2.3*2.6*3.2*4.2*2.4*2.5*2.8*3.2*1.25,0)</f>
        <v>118270690467471</v>
      </c>
      <c r="AG43" s="3">
        <f t="shared" si="14"/>
        <v>151</v>
      </c>
      <c r="AH43" s="10" t="n">
        <f>ROUND($J43*1.637*1.75*2.1*2.3*2.6*3.2*4.2*2.4*2.5*2.8*3.2*3.8*1.25,0)</f>
        <v>449428623776391</v>
      </c>
    </row>
    <row r="44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 t="n">
        <f>ROUND($J44*1.637*1.75*2.1*2.3*1.25,0)</f>
        <v>70567386750</v>
      </c>
      <c r="S44" s="5">
        <f t="shared" si="7"/>
        <v>132</v>
      </c>
      <c r="T44" s="9" t="n">
        <f>ROUND($J44*1.637*1.75*2.1*2.3*2.6*1.25,0)</f>
        <v>183475205550</v>
      </c>
      <c r="U44" s="3">
        <f t="shared" si="8"/>
        <v>135</v>
      </c>
      <c r="V44" s="10" t="n">
        <f>ROUND($J44*1.637*1.75*2.1*2.3*2.6*3.2*1.25,0)</f>
        <v>587120657760</v>
      </c>
      <c r="W44" s="5">
        <f t="shared" si="9"/>
        <v>139</v>
      </c>
      <c r="X44" s="9" t="n">
        <f>ROUND($J44*1.637*1.75*2.1*2.3*2.6*3.2*4.2*1.25,0)</f>
        <v>2465906762592</v>
      </c>
      <c r="Y44" s="3">
        <f t="shared" si="10"/>
        <v>141</v>
      </c>
      <c r="Z44" s="10" t="n">
        <f>ROUND($J44*1.637*1.75*2.1*2.3*2.6*3.2*4.2*2.4*1.25,0)</f>
        <v>5918176230221</v>
      </c>
      <c r="AA44" s="5">
        <f t="shared" si="11"/>
        <v>143</v>
      </c>
      <c r="AB44" s="9" t="n">
        <f>ROUND($J44*1.637*1.75*2.1*2.3*2.6*3.2*4.2*2.4*2.5*1.25,0)</f>
        <v>14795440575552</v>
      </c>
      <c r="AC44" s="3">
        <f t="shared" si="12"/>
        <v>145</v>
      </c>
      <c r="AD44" s="10" t="n">
        <f>ROUND($J44*1.637*1.75*2.1*2.3*2.6*3.2*4.2*2.4*2.5*2.8*1.25,0)</f>
        <v>41427233611546</v>
      </c>
      <c r="AE44" s="5">
        <f t="shared" si="13"/>
        <v>148</v>
      </c>
      <c r="AF44" s="9" t="n">
        <f>ROUND($J44*1.637*1.75*2.1*2.3*2.6*3.2*4.2*2.4*2.5*2.8*3.2*1.25,0)</f>
        <v>132567147556946</v>
      </c>
      <c r="AG44" s="3">
        <f t="shared" si="14"/>
        <v>151</v>
      </c>
      <c r="AH44" s="10" t="n">
        <f>ROUND($J44*1.637*1.75*2.1*2.3*2.6*3.2*4.2*2.4*2.5*2.8*3.2*3.8*1.25,0)</f>
        <v>503755160716394</v>
      </c>
    </row>
    <row r="45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 t="n">
        <f>ROUND($J45*1.637*0.8,0)</f>
        <v>381617440</v>
      </c>
      <c r="M45" s="3">
        <f t="shared" si="2"/>
        <v>126</v>
      </c>
      <c r="N45" s="10" t="n">
        <f>ROUND($J45*1.637*1.75*0.8,0)</f>
        <v>667830520</v>
      </c>
      <c r="O45" s="5">
        <f t="shared" si="4"/>
        <v>128</v>
      </c>
      <c r="P45" s="9" t="n">
        <f>ROUND($J45*1.637*1.75*2.1*0.8,0)</f>
        <v>1402444092</v>
      </c>
      <c r="Q45" s="3">
        <f t="shared" si="6"/>
        <v>130</v>
      </c>
      <c r="R45" s="10" t="n">
        <f>ROUND($J45*1.637*1.75*2.1*2.3*0.542035092435954,0)</f>
        <v>2185500000</v>
      </c>
      <c r="S45" s="5">
        <f t="shared" si="7"/>
        <v>132</v>
      </c>
      <c r="T45" s="9" t="n">
        <f>ROUND($J45*1.637*1.75*2.1*2.3*2.6*0.544690061623969,0)</f>
        <v>5710132758</v>
      </c>
      <c r="U45" s="3">
        <f t="shared" si="8"/>
        <v>135</v>
      </c>
      <c r="V45" s="10" t="n">
        <f>ROUND($J45*1.637*1.75*2.1*2.3*2.6*3.2*0.547345030811984,0)</f>
        <v>18361489650</v>
      </c>
      <c r="W45" s="5">
        <f t="shared" si="9"/>
        <v>139</v>
      </c>
      <c r="X45" s="9" t="n">
        <f>ROUND($J45*1.637*1.75*2.1*2.3*2.6*3.2*4.2*0.55,0)</f>
        <v>77492328792</v>
      </c>
      <c r="Y45" s="3">
        <f t="shared" si="10"/>
        <v>141</v>
      </c>
      <c r="Z45" s="10" t="n">
        <f>ROUND($J45*1.637*1.75*2.1*2.3*2.6*3.2*4.2*2.4*0.55,0)</f>
        <v>185981589101</v>
      </c>
      <c r="AA45" s="5">
        <f t="shared" si="11"/>
        <v>143</v>
      </c>
      <c r="AB45" s="9" t="n">
        <f>ROUND($J45*1.637*1.75*2.1*2.3*2.6*3.2*4.2*2.4*2.5*0.55,0)</f>
        <v>464953972754</v>
      </c>
      <c r="AC45" s="3">
        <f t="shared" si="12"/>
        <v>145</v>
      </c>
      <c r="AD45" s="10" t="n">
        <f>ROUND($J45*1.637*1.75*2.1*2.3*2.6*3.2*4.2*2.4*2.5*2.8*0.55,0)</f>
        <v>1301871123710</v>
      </c>
      <c r="AE45" s="5">
        <f t="shared" si="13"/>
        <v>148</v>
      </c>
      <c r="AF45" s="9" t="n">
        <f>ROUND($J45*1.637*1.75*2.1*2.3*2.6*3.2*4.2*2.4*2.5*2.8*3.2*0.55,0)</f>
        <v>4165987595873</v>
      </c>
      <c r="AG45" s="3">
        <f t="shared" si="14"/>
        <v>151</v>
      </c>
      <c r="AH45" s="10" t="n">
        <f>ROUND($J45*1.637*1.75*2.1*2.3*2.6*3.2*4.2*2.4*2.5*2.8*3.2*3.8*0.55,0)</f>
        <v>15830752864317</v>
      </c>
    </row>
    <row r="46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 t="n">
        <f t="shared" ref="L46:L54" si="24">ROUND($J46*1.637*1,0)</f>
        <v>1401272000</v>
      </c>
      <c r="M46" s="3">
        <f t="shared" si="2"/>
        <v>126</v>
      </c>
      <c r="N46" s="10" t="n">
        <f t="shared" ref="N46:N54" si="25">ROUND($J46*1.637*1.75*1,0)</f>
        <v>2452226000</v>
      </c>
      <c r="O46" s="5">
        <f t="shared" si="4"/>
        <v>128</v>
      </c>
      <c r="P46" s="9" t="n">
        <f t="shared" ref="P46:P54" si="26">ROUND($J46*1.637*1.75*2.1*1,0)</f>
        <v>5149674600</v>
      </c>
      <c r="Q46" s="3">
        <f t="shared" si="6"/>
        <v>130</v>
      </c>
      <c r="R46" s="10" t="n">
        <f>ROUND($J46*1.637*1.75*2.1*2.3*1,0)</f>
        <v>11844251580</v>
      </c>
      <c r="S46" s="5">
        <f t="shared" si="7"/>
        <v>132</v>
      </c>
      <c r="T46" s="9" t="n">
        <f>ROUND($J46*1.637*1.75*2.1*2.3*2.6*1,0)</f>
        <v>30795054108</v>
      </c>
      <c r="U46" s="3">
        <f t="shared" si="8"/>
        <v>135</v>
      </c>
      <c r="V46" s="10" t="n">
        <f>ROUND($J46*1.637*1.75*2.1*2.3*2.6*3.2*1,0)</f>
        <v>98544173146</v>
      </c>
      <c r="W46" s="5">
        <f t="shared" si="9"/>
        <v>139</v>
      </c>
      <c r="X46" s="9" t="n">
        <f>ROUND($J46*1.637*1.75*2.1*2.3*2.6*3.2*4.2*1,0)</f>
        <v>413885527212</v>
      </c>
      <c r="Y46" s="3">
        <f t="shared" si="10"/>
        <v>141</v>
      </c>
      <c r="Z46" s="10" t="n">
        <f>ROUND($J46*1.637*1.75*2.1*2.3*2.6*3.2*4.2*2.4*1,0)</f>
        <v>993325265308</v>
      </c>
      <c r="AA46" s="5">
        <f t="shared" si="11"/>
        <v>143</v>
      </c>
      <c r="AB46" s="9" t="n">
        <f>ROUND($J46*1.637*1.75*2.1*2.3*2.6*3.2*4.2*2.4*2.5*1,0)</f>
        <v>2483313163269</v>
      </c>
      <c r="AC46" s="3">
        <f t="shared" si="12"/>
        <v>145</v>
      </c>
      <c r="AD46" s="10" t="n">
        <f>ROUND($J46*1.637*1.75*2.1*2.3*2.6*3.2*4.2*2.4*2.5*2.8*1,0)</f>
        <v>6953276857154</v>
      </c>
      <c r="AE46" s="5">
        <f t="shared" si="13"/>
        <v>148</v>
      </c>
      <c r="AF46" s="9" t="n">
        <f>ROUND($J46*1.637*1.75*2.1*2.3*2.6*3.2*4.2*2.4*2.5*2.8*3.2*1,0)</f>
        <v>22250485942891</v>
      </c>
      <c r="AG46" s="3">
        <f t="shared" si="14"/>
        <v>151</v>
      </c>
      <c r="AH46" s="10" t="n">
        <f>ROUND($J46*1.637*1.75*2.1*2.3*2.6*3.2*4.2*2.4*2.5*2.8*3.2*3.8*1,0)</f>
        <v>84551846582987</v>
      </c>
    </row>
    <row r="47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 t="n">
        <f>ROUND($J47*1.637*1.75*2.1*2.3*1,0)</f>
        <v>8052984135</v>
      </c>
      <c r="S47" s="5">
        <f t="shared" si="7"/>
        <v>132</v>
      </c>
      <c r="T47" s="9" t="n">
        <f>ROUND($J47*1.637*1.75*2.1*2.3*2.6*1,0)</f>
        <v>20937758751</v>
      </c>
      <c r="U47" s="3">
        <f t="shared" si="8"/>
        <v>135</v>
      </c>
      <c r="V47" s="10" t="n">
        <f>ROUND($J47*1.637*1.75*2.1*2.3*2.6*3.2*1,0)</f>
        <v>67000828003</v>
      </c>
      <c r="W47" s="5">
        <f t="shared" si="9"/>
        <v>139</v>
      </c>
      <c r="X47" s="9" t="n">
        <f>ROUND($J47*1.637*1.75*2.1*2.3*2.6*3.2*4.2*1,0)</f>
        <v>281403477613</v>
      </c>
      <c r="Y47" s="3">
        <f t="shared" si="10"/>
        <v>141</v>
      </c>
      <c r="Z47" s="10" t="n">
        <f>ROUND($J47*1.637*1.75*2.1*2.3*2.6*3.2*4.2*2.4*1,0)</f>
        <v>675368346272</v>
      </c>
      <c r="AA47" s="5">
        <f t="shared" si="11"/>
        <v>143</v>
      </c>
      <c r="AB47" s="9" t="n">
        <f>ROUND($J47*1.637*1.75*2.1*2.3*2.6*3.2*4.2*2.4*2.5*1,0)</f>
        <v>1688420865681</v>
      </c>
      <c r="AC47" s="3">
        <f t="shared" si="12"/>
        <v>145</v>
      </c>
      <c r="AD47" s="10" t="n">
        <f>ROUND($J47*1.637*1.75*2.1*2.3*2.6*3.2*4.2*2.4*2.5*2.8*1,0)</f>
        <v>4727578423906</v>
      </c>
      <c r="AE47" s="5">
        <f t="shared" si="13"/>
        <v>148</v>
      </c>
      <c r="AF47" s="9" t="n">
        <f>ROUND($J47*1.637*1.75*2.1*2.3*2.6*3.2*4.2*2.4*2.5*2.8*3.2*1,0)</f>
        <v>15128250956499</v>
      </c>
      <c r="AG47" s="3">
        <f t="shared" si="14"/>
        <v>151</v>
      </c>
      <c r="AH47" s="10" t="n">
        <f>ROUND($J47*1.637*1.75*2.1*2.3*2.6*3.2*4.2*2.4*2.5*2.8*3.2*3.8*1,0)</f>
        <v>57487353634694</v>
      </c>
    </row>
    <row r="48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 t="n">
        <f>ROUND($J48*1.637*1.75*2.1*2.3*1,0)</f>
        <v>14708457278</v>
      </c>
      <c r="S48" s="5">
        <f t="shared" si="7"/>
        <v>132</v>
      </c>
      <c r="T48" s="9" t="n">
        <f>ROUND($J48*1.637*1.75*2.1*2.3*2.6*1,0)</f>
        <v>38241988922</v>
      </c>
      <c r="U48" s="3">
        <f t="shared" si="8"/>
        <v>135</v>
      </c>
      <c r="V48" s="10" t="n">
        <f>ROUND($J48*1.637*1.75*2.1*2.3*2.6*3.2*1,0)</f>
        <v>122374364549</v>
      </c>
      <c r="W48" s="5">
        <f t="shared" si="9"/>
        <v>139</v>
      </c>
      <c r="X48" s="9" t="n">
        <f>ROUND($J48*1.637*1.75*2.1*2.3*2.6*3.2*4.2*1,0)</f>
        <v>513972331105</v>
      </c>
      <c r="Y48" s="3">
        <f t="shared" si="10"/>
        <v>141</v>
      </c>
      <c r="Z48" s="10" t="n">
        <f>ROUND($J48*1.637*1.75*2.1*2.3*2.6*3.2*4.2*2.4*1,0)</f>
        <v>1233533594652</v>
      </c>
      <c r="AA48" s="5">
        <f t="shared" si="11"/>
        <v>143</v>
      </c>
      <c r="AB48" s="9" t="n">
        <f>ROUND($J48*1.637*1.75*2.1*2.3*2.6*3.2*4.2*2.4*2.5*1,0)</f>
        <v>3083833986630</v>
      </c>
      <c r="AC48" s="3">
        <f t="shared" si="12"/>
        <v>145</v>
      </c>
      <c r="AD48" s="10" t="n">
        <f>ROUND($J48*1.637*1.75*2.1*2.3*2.6*3.2*4.2*2.4*2.5*2.8*1,0)</f>
        <v>8634735162563</v>
      </c>
      <c r="AE48" s="5">
        <f t="shared" si="13"/>
        <v>148</v>
      </c>
      <c r="AF48" s="9" t="n">
        <f>ROUND($J48*1.637*1.75*2.1*2.3*2.6*3.2*4.2*2.4*2.5*2.8*3.2*1,0)</f>
        <v>27631152520203</v>
      </c>
      <c r="AG48" s="3">
        <f t="shared" si="14"/>
        <v>151</v>
      </c>
      <c r="AH48" s="10" t="n">
        <f>ROUND($J48*1.637*1.75*2.1*2.3*2.6*3.2*4.2*2.4*2.5*2.8*3.2*3.8*1,0)</f>
        <v>104998379576770</v>
      </c>
    </row>
    <row r="49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 t="n">
        <f>ROUND($J49*1.637*1.75*2.1*2.3*1.25,0)</f>
        <v>56211766406</v>
      </c>
      <c r="S49" s="5">
        <f t="shared" si="7"/>
        <v>132</v>
      </c>
      <c r="T49" s="9" t="n">
        <f>ROUND($J49*1.637*1.75*2.1*2.3*2.6*1.25,0)</f>
        <v>146150592656</v>
      </c>
      <c r="U49" s="3">
        <f t="shared" si="8"/>
        <v>135</v>
      </c>
      <c r="V49" s="10" t="n">
        <f>ROUND($J49*1.637*1.75*2.1*2.3*2.6*3.2*1.25,0)</f>
        <v>467681896500</v>
      </c>
      <c r="W49" s="5">
        <f t="shared" si="9"/>
        <v>139</v>
      </c>
      <c r="X49" s="9" t="n">
        <f>ROUND($J49*1.637*1.75*2.1*2.3*2.6*3.2*4.2*1.25,0)</f>
        <v>1964263965300</v>
      </c>
      <c r="Y49" s="3">
        <f t="shared" si="10"/>
        <v>141</v>
      </c>
      <c r="Z49" s="10" t="n">
        <f>ROUND($J49*1.637*1.75*2.1*2.3*2.6*3.2*4.2*2.4*1.25,0)</f>
        <v>4714233516720</v>
      </c>
      <c r="AA49" s="5">
        <f t="shared" si="11"/>
        <v>143</v>
      </c>
      <c r="AB49" s="9" t="n">
        <f>ROUND($J49*1.637*1.75*2.1*2.3*2.6*3.2*4.2*2.4*2.5*1.25,0)</f>
        <v>11785583791800</v>
      </c>
      <c r="AC49" s="3">
        <f t="shared" si="12"/>
        <v>145</v>
      </c>
      <c r="AD49" s="10" t="n">
        <f>ROUND($J49*1.637*1.75*2.1*2.3*2.6*3.2*4.2*2.4*2.5*2.8*1.25,0)</f>
        <v>32999634617040</v>
      </c>
      <c r="AE49" s="5">
        <f t="shared" si="13"/>
        <v>148</v>
      </c>
      <c r="AF49" s="9" t="n">
        <f>ROUND($J49*1.637*1.75*2.1*2.3*2.6*3.2*4.2*2.4*2.5*2.8*3.2*1.25,0)</f>
        <v>105598830774528</v>
      </c>
      <c r="AG49" s="3">
        <f t="shared" si="14"/>
        <v>151</v>
      </c>
      <c r="AH49" s="10" t="n">
        <f>ROUND($J49*1.637*1.75*2.1*2.3*2.6*3.2*4.2*2.4*2.5*2.8*3.2*3.8*1.25,0)</f>
        <v>401275556943206</v>
      </c>
    </row>
    <row r="50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 t="n">
        <f>ROUND($J50*1.637*1.75*2.1*2.3*1.25,0)</f>
        <v>57249522094</v>
      </c>
      <c r="S50" s="5">
        <f t="shared" si="7"/>
        <v>132</v>
      </c>
      <c r="T50" s="9" t="n">
        <f>ROUND($J50*1.637*1.75*2.1*2.3*2.6*1.25,0)</f>
        <v>148848757444</v>
      </c>
      <c r="U50" s="3">
        <f t="shared" si="8"/>
        <v>135</v>
      </c>
      <c r="V50" s="10" t="n">
        <f>ROUND($J50*1.637*1.75*2.1*2.3*2.6*3.2*1.25,0)</f>
        <v>476316023820</v>
      </c>
      <c r="W50" s="5">
        <f t="shared" si="9"/>
        <v>139</v>
      </c>
      <c r="X50" s="9" t="n">
        <f>ROUND($J50*1.637*1.75*2.1*2.3*2.6*3.2*4.2*1.25,0)</f>
        <v>2000527300044</v>
      </c>
      <c r="Y50" s="3">
        <f t="shared" si="10"/>
        <v>141</v>
      </c>
      <c r="Z50" s="10" t="n">
        <f>ROUND($J50*1.637*1.75*2.1*2.3*2.6*3.2*4.2*2.4*1.25,0)</f>
        <v>4801265520106</v>
      </c>
      <c r="AA50" s="5">
        <f t="shared" si="11"/>
        <v>143</v>
      </c>
      <c r="AB50" s="9" t="n">
        <f>ROUND($J50*1.637*1.75*2.1*2.3*2.6*3.2*4.2*2.4*2.5*1.25,0)</f>
        <v>12003163800264</v>
      </c>
      <c r="AC50" s="3">
        <f t="shared" si="12"/>
        <v>145</v>
      </c>
      <c r="AD50" s="10" t="n">
        <f>ROUND($J50*1.637*1.75*2.1*2.3*2.6*3.2*4.2*2.4*2.5*2.8*1.25,0)</f>
        <v>33608858640739</v>
      </c>
      <c r="AE50" s="5">
        <f t="shared" si="13"/>
        <v>148</v>
      </c>
      <c r="AF50" s="9" t="n">
        <f>ROUND($J50*1.637*1.75*2.1*2.3*2.6*3.2*4.2*2.4*2.5*2.8*3.2*1.25,0)</f>
        <v>107548347650365</v>
      </c>
      <c r="AG50" s="3">
        <f t="shared" si="14"/>
        <v>151</v>
      </c>
      <c r="AH50" s="10" t="n">
        <f>ROUND($J50*1.637*1.75*2.1*2.3*2.6*3.2*4.2*2.4*2.5*2.8*3.2*3.8*1.25,0)</f>
        <v>408683721071389</v>
      </c>
    </row>
    <row r="5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 t="n">
        <f>ROUND($J51*1.637*1.75*2.1*2.3*1.25,0)</f>
        <v>86479640625</v>
      </c>
      <c r="S51" s="5">
        <f t="shared" si="7"/>
        <v>132</v>
      </c>
      <c r="T51" s="9" t="n">
        <f>ROUND($J51*1.637*1.75*2.1*2.3*2.6*1.25,0)</f>
        <v>224847065625</v>
      </c>
      <c r="U51" s="3">
        <f t="shared" si="8"/>
        <v>135</v>
      </c>
      <c r="V51" s="10" t="n">
        <f>ROUND($J51*1.637*1.75*2.1*2.3*2.6*3.2*1.25,0)</f>
        <v>719510610000</v>
      </c>
      <c r="W51" s="5">
        <f t="shared" si="9"/>
        <v>139</v>
      </c>
      <c r="X51" s="9" t="n">
        <f>ROUND($J51*1.637*1.75*2.1*2.3*2.6*3.2*4.2*1.25,0)</f>
        <v>3021944562000</v>
      </c>
      <c r="Y51" s="3">
        <f t="shared" si="10"/>
        <v>141</v>
      </c>
      <c r="Z51" s="10" t="n">
        <f>ROUND($J51*1.637*1.75*2.1*2.3*2.6*3.2*4.2*2.4*1.25,0)</f>
        <v>7252666948800</v>
      </c>
      <c r="AA51" s="5">
        <f t="shared" si="11"/>
        <v>143</v>
      </c>
      <c r="AB51" s="9" t="n">
        <f>ROUND($J51*1.637*1.75*2.1*2.3*2.6*3.2*4.2*2.4*2.5*1.25,0)</f>
        <v>18131667372000</v>
      </c>
      <c r="AC51" s="3">
        <f t="shared" si="12"/>
        <v>145</v>
      </c>
      <c r="AD51" s="10" t="n">
        <f>ROUND($J51*1.637*1.75*2.1*2.3*2.6*3.2*4.2*2.4*2.5*2.8*1.25,0)</f>
        <v>50768668641600</v>
      </c>
      <c r="AE51" s="5">
        <f t="shared" si="13"/>
        <v>148</v>
      </c>
      <c r="AF51" s="9" t="n">
        <f>ROUND($J51*1.637*1.75*2.1*2.3*2.6*3.2*4.2*2.4*2.5*2.8*3.2*1.25,0)</f>
        <v>162459739653120</v>
      </c>
      <c r="AG51" s="3">
        <f t="shared" si="14"/>
        <v>151</v>
      </c>
      <c r="AH51" s="10" t="n">
        <f>ROUND($J51*1.637*1.75*2.1*2.3*2.6*3.2*4.2*2.4*2.5*2.8*3.2*3.8*1.25,0)</f>
        <v>617347010681856</v>
      </c>
    </row>
    <row r="52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 t="n">
        <f>ROUND($J52*1.637*1.75*2.1*2.3*1.25,0)</f>
        <v>140097017813</v>
      </c>
      <c r="S52" s="5">
        <f t="shared" si="7"/>
        <v>132</v>
      </c>
      <c r="T52" s="9" t="n">
        <f>ROUND($J52*1.637*1.75*2.1*2.3*2.6*1.25,0)</f>
        <v>364252246313</v>
      </c>
      <c r="U52" s="3">
        <f t="shared" si="8"/>
        <v>135</v>
      </c>
      <c r="V52" s="10" t="n">
        <f>ROUND($J52*1.637*1.75*2.1*2.3*2.6*3.2*1.25,0)</f>
        <v>1165607188200</v>
      </c>
      <c r="W52" s="5">
        <f t="shared" si="9"/>
        <v>139</v>
      </c>
      <c r="X52" s="9" t="n">
        <f>ROUND($J52*1.637*1.75*2.1*2.3*2.6*3.2*4.2*1.25,0)</f>
        <v>4895550190440</v>
      </c>
      <c r="Y52" s="3">
        <f t="shared" si="10"/>
        <v>141</v>
      </c>
      <c r="Z52" s="10" t="n">
        <f>ROUND($J52*1.637*1.75*2.1*2.3*2.6*3.2*4.2*2.4*1.25,0)</f>
        <v>11749320457056</v>
      </c>
      <c r="AA52" s="5">
        <f t="shared" si="11"/>
        <v>143</v>
      </c>
      <c r="AB52" s="9" t="n">
        <f>ROUND($J52*1.637*1.75*2.1*2.3*2.6*3.2*4.2*2.4*2.5*1.25,0)</f>
        <v>29373301142640</v>
      </c>
      <c r="AC52" s="3">
        <f t="shared" si="12"/>
        <v>145</v>
      </c>
      <c r="AD52" s="10" t="n">
        <f>ROUND($J52*1.637*1.75*2.1*2.3*2.6*3.2*4.2*2.4*2.5*2.8*1.25,0)</f>
        <v>82245243199392</v>
      </c>
      <c r="AE52" s="5">
        <f t="shared" si="13"/>
        <v>148</v>
      </c>
      <c r="AF52" s="9" t="n">
        <f>ROUND($J52*1.637*1.75*2.1*2.3*2.6*3.2*4.2*2.4*2.5*2.8*3.2*1.25,0)</f>
        <v>263184778238054</v>
      </c>
      <c r="AG52" s="3">
        <f t="shared" si="14"/>
        <v>151</v>
      </c>
      <c r="AH52" s="10" t="n">
        <f>ROUND($J52*1.637*1.75*2.1*2.3*2.6*3.2*4.2*2.4*2.5*2.8*3.2*3.8*1.25,0)</f>
        <v>1000102157304610</v>
      </c>
    </row>
    <row r="53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 t="n">
        <f>ROUND($J53*1.637*1.75*2.1*2.3*1,0)</f>
        <v>16050621300</v>
      </c>
      <c r="S53" s="5">
        <f t="shared" si="7"/>
        <v>131</v>
      </c>
      <c r="T53" s="9" t="n">
        <f>ROUND($J53*1.637*1.75*2.1*2.3*2.6*1,0)</f>
        <v>41731615380</v>
      </c>
      <c r="U53" s="3">
        <f t="shared" si="8"/>
        <v>134</v>
      </c>
      <c r="V53" s="10" t="n">
        <f>ROUND($J53*1.637*1.75*2.1*2.3*2.6*3.2*1,0)</f>
        <v>133541169216</v>
      </c>
      <c r="W53" s="5">
        <f t="shared" si="9"/>
        <v>138</v>
      </c>
      <c r="X53" s="9" t="n">
        <f>ROUND($J53*1.637*1.75*2.1*2.3*2.6*3.2*4.2*1,0)</f>
        <v>560872910707</v>
      </c>
      <c r="Y53" s="3">
        <f t="shared" si="10"/>
        <v>140</v>
      </c>
      <c r="Z53" s="10" t="n">
        <f>ROUND($J53*1.637*1.75*2.1*2.3*2.6*3.2*4.2*2.4*1,0)</f>
        <v>1346094985697</v>
      </c>
      <c r="AA53" s="5">
        <f t="shared" si="11"/>
        <v>142</v>
      </c>
      <c r="AB53" s="9" t="n">
        <f>ROUND($J53*1.637*1.75*2.1*2.3*2.6*3.2*4.2*2.4*2.5*1,0)</f>
        <v>3365237464243</v>
      </c>
      <c r="AC53" s="3">
        <f t="shared" si="12"/>
        <v>144</v>
      </c>
      <c r="AD53" s="10" t="n">
        <f>ROUND($J53*1.637*1.75*2.1*2.3*2.6*3.2*4.2*2.4*2.5*2.8*1,0)</f>
        <v>9422664899881</v>
      </c>
      <c r="AE53" s="5">
        <f t="shared" si="13"/>
        <v>147</v>
      </c>
      <c r="AF53" s="9" t="n">
        <f>ROUND($J53*1.637*1.75*2.1*2.3*2.6*3.2*4.2*2.4*2.5*2.8*3.2*1,0)</f>
        <v>30152527679619</v>
      </c>
      <c r="AG53" s="3">
        <f t="shared" si="14"/>
        <v>150</v>
      </c>
      <c r="AH53" s="10" t="n">
        <f>ROUND($J53*1.637*1.75*2.1*2.3*2.6*3.2*4.2*2.4*2.5*2.8*3.2*3.8*1,0)</f>
        <v>114579605182552</v>
      </c>
    </row>
    <row r="54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 t="n">
        <f>ROUND($J54*1.637*1.75*2.1*2.3*1.25,0)</f>
        <v>32153130384</v>
      </c>
      <c r="S54" s="5">
        <f t="shared" si="7"/>
        <v>131</v>
      </c>
      <c r="T54" s="9" t="n">
        <f>ROUND($J54*1.637*1.75*2.1*2.3*2.6*1.25,0)</f>
        <v>83598138999</v>
      </c>
      <c r="U54" s="3">
        <f t="shared" si="8"/>
        <v>134</v>
      </c>
      <c r="V54" s="10" t="n">
        <f>ROUND($J54*1.637*1.75*2.1*2.3*2.6*3.2*1.25,0)</f>
        <v>267514044798</v>
      </c>
      <c r="W54" s="5">
        <f t="shared" si="9"/>
        <v>138</v>
      </c>
      <c r="X54" s="9" t="n">
        <f>ROUND($J54*1.637*1.75*2.1*2.3*2.6*3.2*4.2*1.25,0)</f>
        <v>1123558988152</v>
      </c>
      <c r="Y54" s="3">
        <f t="shared" si="10"/>
        <v>140</v>
      </c>
      <c r="Z54" s="10" t="n">
        <f>ROUND($J54*1.637*1.75*2.1*2.3*2.6*3.2*4.2*2.4*1.25,0)</f>
        <v>2696541571564</v>
      </c>
      <c r="AA54" s="5">
        <f t="shared" si="11"/>
        <v>142</v>
      </c>
      <c r="AB54" s="9" t="n">
        <f>ROUND($J54*1.637*1.75*2.1*2.3*2.6*3.2*4.2*2.4*2.5*1.25,0)</f>
        <v>6741353928910</v>
      </c>
      <c r="AC54" s="3">
        <f t="shared" si="12"/>
        <v>144</v>
      </c>
      <c r="AD54" s="10" t="n">
        <f>ROUND($J54*1.637*1.75*2.1*2.3*2.6*3.2*4.2*2.4*2.5*2.8*1.25,0)</f>
        <v>18875791000947</v>
      </c>
      <c r="AE54" s="5">
        <f t="shared" si="13"/>
        <v>147</v>
      </c>
      <c r="AF54" s="9" t="n">
        <f>ROUND($J54*1.637*1.75*2.1*2.3*2.6*3.2*4.2*2.4*2.5*2.8*3.2*1.25,0)</f>
        <v>60402531203030</v>
      </c>
      <c r="AG54" s="3">
        <f t="shared" si="14"/>
        <v>150</v>
      </c>
      <c r="AH54" s="10" t="n">
        <f>ROUND($J54*1.637*1.75*2.1*2.3*2.6*3.2*4.2*2.4*2.5*2.8*3.2*3.8*1.25,0)</f>
        <v>229529618571514</v>
      </c>
    </row>
    <row r="55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 t="n">
        <f>ROUND($J55*1.637*0.8,0)</f>
        <v>220012800</v>
      </c>
      <c r="M55" s="3">
        <f t="shared" si="2"/>
        <v>125</v>
      </c>
      <c r="N55" s="10" t="n">
        <f>ROUND($J55*1.637*1.75*0.8,0)</f>
        <v>385022400</v>
      </c>
      <c r="O55" s="5">
        <f t="shared" si="4"/>
        <v>127</v>
      </c>
      <c r="P55" s="9" t="n">
        <f>ROUND($J55*1.637*1.75*2.1*0.8,0)</f>
        <v>808547040</v>
      </c>
      <c r="Q55" s="3">
        <f t="shared" si="6"/>
        <v>129</v>
      </c>
      <c r="R55" s="10" t="n">
        <f>ROUND($J55*1.637*1.75*2.1*2.3*0.542035092435954,0)</f>
        <v>1260000000</v>
      </c>
      <c r="S55" s="5">
        <f t="shared" si="7"/>
        <v>131</v>
      </c>
      <c r="T55" s="9" t="n">
        <f>ROUND($J55*1.637*1.75*2.1*2.3*2.6*0.544690061623969,0)</f>
        <v>3292046339</v>
      </c>
      <c r="U55" s="3">
        <f t="shared" si="8"/>
        <v>134</v>
      </c>
      <c r="V55" s="10" t="n">
        <f>ROUND($J55*1.637*1.75*2.1*2.3*2.6*3.2*0.547345030811984,0)</f>
        <v>10585896572</v>
      </c>
      <c r="W55" s="5">
        <f t="shared" si="9"/>
        <v>138</v>
      </c>
      <c r="X55" s="9" t="n">
        <f>ROUND($J55*1.637*1.75*2.1*2.3*2.6*3.2*4.2*0.55,0)</f>
        <v>44676428405</v>
      </c>
      <c r="Y55" s="3">
        <f t="shared" si="10"/>
        <v>140</v>
      </c>
      <c r="Z55" s="10" t="n">
        <f>ROUND($J55*1.637*1.75*2.1*2.3*2.6*3.2*4.2*2.4*0.55,0)</f>
        <v>107223428171</v>
      </c>
      <c r="AA55" s="5">
        <f t="shared" si="11"/>
        <v>142</v>
      </c>
      <c r="AB55" s="9" t="n">
        <f>ROUND($J55*1.637*1.75*2.1*2.3*2.6*3.2*4.2*2.4*2.5*0.55,0)</f>
        <v>268058570428</v>
      </c>
      <c r="AC55" s="3">
        <f t="shared" si="12"/>
        <v>144</v>
      </c>
      <c r="AD55" s="10" t="n">
        <f>ROUND($J55*1.637*1.75*2.1*2.3*2.6*3.2*4.2*2.4*2.5*2.8*0.55,0)</f>
        <v>750563997197</v>
      </c>
      <c r="AE55" s="5">
        <f t="shared" si="13"/>
        <v>147</v>
      </c>
      <c r="AF55" s="9" t="n">
        <f>ROUND($J55*1.637*1.75*2.1*2.3*2.6*3.2*4.2*2.4*2.5*2.8*3.2*0.55,0)</f>
        <v>2401804791032</v>
      </c>
      <c r="AG55" s="3">
        <f t="shared" si="14"/>
        <v>150</v>
      </c>
      <c r="AH55" s="10" t="n">
        <f>ROUND($J55*1.637*1.75*2.1*2.3*2.6*3.2*4.2*2.4*2.5*2.8*3.2*3.8*0.55,0)</f>
        <v>9126858205921</v>
      </c>
    </row>
    <row r="56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 t="n">
        <f>ROUND($J56*1.637*1,0)</f>
        <v>630245000</v>
      </c>
      <c r="M56" s="3">
        <f t="shared" si="2"/>
        <v>125</v>
      </c>
      <c r="N56" s="10" t="n">
        <f>ROUND($J56*1.637*1.75*1,0)</f>
        <v>1102928750</v>
      </c>
      <c r="O56" s="5">
        <f t="shared" si="4"/>
        <v>127</v>
      </c>
      <c r="P56" s="9" t="n">
        <f>ROUND($J56*1.637*1.75*2.1*1,0)</f>
        <v>2316150375</v>
      </c>
      <c r="Q56" s="3">
        <f t="shared" si="6"/>
        <v>129</v>
      </c>
      <c r="R56" s="10" t="n">
        <f>ROUND($J56*1.637*1.75*2.1*2.3*1,0)</f>
        <v>5327145863</v>
      </c>
      <c r="S56" s="5">
        <f t="shared" si="7"/>
        <v>131</v>
      </c>
      <c r="T56" s="9" t="n">
        <f>ROUND($J56*1.637*1.75*2.1*2.3*2.6*1,0)</f>
        <v>13850579243</v>
      </c>
      <c r="U56" s="3">
        <f t="shared" si="8"/>
        <v>134</v>
      </c>
      <c r="V56" s="10" t="n">
        <f>ROUND($J56*1.637*1.75*2.1*2.3*2.6*3.2*1,0)</f>
        <v>44321853576</v>
      </c>
      <c r="W56" s="5">
        <f t="shared" si="9"/>
        <v>138</v>
      </c>
      <c r="X56" s="9" t="n">
        <f>ROUND($J56*1.637*1.75*2.1*2.3*2.6*3.2*4.2*1,0)</f>
        <v>186151785019</v>
      </c>
      <c r="Y56" s="3">
        <f t="shared" si="10"/>
        <v>140</v>
      </c>
      <c r="Z56" s="10" t="n">
        <f>ROUND($J56*1.637*1.75*2.1*2.3*2.6*3.2*4.2*2.4*1,0)</f>
        <v>446764284046</v>
      </c>
      <c r="AA56" s="5">
        <f t="shared" si="11"/>
        <v>142</v>
      </c>
      <c r="AB56" s="9" t="n">
        <f>ROUND($J56*1.637*1.75*2.1*2.3*2.6*3.2*4.2*2.4*2.5*1,0)</f>
        <v>1116910710115</v>
      </c>
      <c r="AC56" s="3">
        <f t="shared" si="12"/>
        <v>144</v>
      </c>
      <c r="AD56" s="10" t="n">
        <f>ROUND($J56*1.637*1.75*2.1*2.3*2.6*3.2*4.2*2.4*2.5*2.8*1,0)</f>
        <v>3127349988323</v>
      </c>
      <c r="AE56" s="5">
        <f t="shared" si="13"/>
        <v>147</v>
      </c>
      <c r="AF56" s="9" t="n">
        <f>ROUND($J56*1.637*1.75*2.1*2.3*2.6*3.2*4.2*2.4*2.5*2.8*3.2*1,0)</f>
        <v>10007519962632</v>
      </c>
      <c r="AG56" s="3">
        <f t="shared" si="14"/>
        <v>150</v>
      </c>
      <c r="AH56" s="10" t="n">
        <f>ROUND($J56*1.637*1.75*2.1*2.3*2.6*3.2*4.2*2.4*2.5*2.8*3.2*3.8*1,0)</f>
        <v>38028575858002</v>
      </c>
    </row>
    <row r="57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 t="n">
        <f>ROUND($J57*1.637*0.8,0)</f>
        <v>235728000</v>
      </c>
      <c r="M57" s="3">
        <f t="shared" si="2"/>
        <v>125</v>
      </c>
      <c r="N57" s="10" t="n">
        <f>ROUND($J57*1.637*1.75*0.8,0)</f>
        <v>412524000</v>
      </c>
      <c r="O57" s="5">
        <f t="shared" si="4"/>
        <v>127</v>
      </c>
      <c r="P57" s="9" t="n">
        <f>ROUND($J57*1.637*1.75*2.1*0.8,0)</f>
        <v>866300400</v>
      </c>
      <c r="Q57" s="3">
        <f t="shared" si="6"/>
        <v>129</v>
      </c>
      <c r="R57" s="10" t="n">
        <f>ROUND($J57*1.637*1.75*2.1*2.3*0.542035092435954,0)</f>
        <v>1350000000</v>
      </c>
      <c r="S57" s="5">
        <f t="shared" si="7"/>
        <v>131</v>
      </c>
      <c r="T57" s="9" t="n">
        <f>ROUND($J57*1.637*1.75*2.1*2.3*2.6*0.544690061623969,0)</f>
        <v>3527192507</v>
      </c>
      <c r="U57" s="3">
        <f t="shared" si="8"/>
        <v>134</v>
      </c>
      <c r="V57" s="10" t="n">
        <f>ROUND($J57*1.637*1.75*2.1*2.3*2.6*3.2*0.547345030811984,0)</f>
        <v>11342032042</v>
      </c>
      <c r="W57" s="5">
        <f t="shared" si="9"/>
        <v>138</v>
      </c>
      <c r="X57" s="9" t="n">
        <f>ROUND($J57*1.637*1.75*2.1*2.3*2.6*3.2*4.2*0.55,0)</f>
        <v>47867601862</v>
      </c>
      <c r="Y57" s="3">
        <f t="shared" si="10"/>
        <v>140</v>
      </c>
      <c r="Z57" s="10" t="n">
        <f>ROUND($J57*1.637*1.75*2.1*2.3*2.6*3.2*4.2*2.4*0.55,0)</f>
        <v>114882244469</v>
      </c>
      <c r="AA57" s="5">
        <f t="shared" si="11"/>
        <v>142</v>
      </c>
      <c r="AB57" s="9" t="n">
        <f>ROUND($J57*1.637*1.75*2.1*2.3*2.6*3.2*4.2*2.4*2.5*0.55,0)</f>
        <v>287205611172</v>
      </c>
      <c r="AC57" s="3">
        <f t="shared" si="12"/>
        <v>144</v>
      </c>
      <c r="AD57" s="10" t="n">
        <f>ROUND($J57*1.637*1.75*2.1*2.3*2.6*3.2*4.2*2.4*2.5*2.8*0.55,0)</f>
        <v>804175711283</v>
      </c>
      <c r="AE57" s="5">
        <f t="shared" si="13"/>
        <v>147</v>
      </c>
      <c r="AF57" s="9" t="n">
        <f>ROUND($J57*1.637*1.75*2.1*2.3*2.6*3.2*4.2*2.4*2.5*2.8*3.2*0.55,0)</f>
        <v>2573362276105</v>
      </c>
      <c r="AG57" s="3">
        <f t="shared" si="14"/>
        <v>150</v>
      </c>
      <c r="AH57" s="10" t="n">
        <f>ROUND($J57*1.637*1.75*2.1*2.3*2.6*3.2*4.2*2.4*2.5*2.8*3.2*3.8*0.55,0)</f>
        <v>9778776649201</v>
      </c>
    </row>
    <row r="58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 t="n">
        <f>ROUND($J58*1.637*1,0)</f>
        <v>1183551000</v>
      </c>
      <c r="M58" s="3">
        <f t="shared" si="2"/>
        <v>125</v>
      </c>
      <c r="N58" s="10" t="n">
        <f>ROUND($J58*1.637*1.75*1,0)</f>
        <v>2071214250</v>
      </c>
      <c r="O58" s="5">
        <f t="shared" si="4"/>
        <v>127</v>
      </c>
      <c r="P58" s="9" t="n">
        <f>ROUND($J58*1.637*1.75*2.1*1,0)</f>
        <v>4349549925</v>
      </c>
      <c r="Q58" s="3">
        <f t="shared" si="6"/>
        <v>129</v>
      </c>
      <c r="R58" s="10" t="n">
        <f>ROUND($J58*1.637*1.75*2.1*2.3*1,0)</f>
        <v>10003964828</v>
      </c>
      <c r="S58" s="5">
        <f t="shared" si="7"/>
        <v>131</v>
      </c>
      <c r="T58" s="9" t="n">
        <f>ROUND($J58*1.637*1.75*2.1*2.3*2.6*1,0)</f>
        <v>26010308552</v>
      </c>
      <c r="U58" s="3">
        <f t="shared" si="8"/>
        <v>134</v>
      </c>
      <c r="V58" s="10" t="n">
        <f>ROUND($J58*1.637*1.75*2.1*2.3*2.6*3.2*1,0)</f>
        <v>83232987365</v>
      </c>
      <c r="W58" s="5">
        <f t="shared" si="9"/>
        <v>138</v>
      </c>
      <c r="X58" s="9" t="n">
        <f>ROUND($J58*1.637*1.75*2.1*2.3*2.6*3.2*4.2*1,0)</f>
        <v>349578546932</v>
      </c>
      <c r="Y58" s="3">
        <f t="shared" si="10"/>
        <v>140</v>
      </c>
      <c r="Z58" s="10" t="n">
        <f>ROUND($J58*1.637*1.75*2.1*2.3*2.6*3.2*4.2*2.4*1,0)</f>
        <v>838988512637</v>
      </c>
      <c r="AA58" s="5">
        <f t="shared" si="11"/>
        <v>142</v>
      </c>
      <c r="AB58" s="9" t="n">
        <f>ROUND($J58*1.637*1.75*2.1*2.3*2.6*3.2*4.2*2.4*2.5*1,0)</f>
        <v>2097471281593</v>
      </c>
      <c r="AC58" s="3">
        <f t="shared" si="12"/>
        <v>144</v>
      </c>
      <c r="AD58" s="10" t="n">
        <f>ROUND($J58*1.637*1.75*2.1*2.3*2.6*3.2*4.2*2.4*2.5*2.8*1,0)</f>
        <v>5872919588460</v>
      </c>
      <c r="AE58" s="5">
        <f t="shared" si="13"/>
        <v>147</v>
      </c>
      <c r="AF58" s="9" t="n">
        <f>ROUND($J58*1.637*1.75*2.1*2.3*2.6*3.2*4.2*2.4*2.5*2.8*3.2*1,0)</f>
        <v>18793342683073</v>
      </c>
      <c r="AG58" s="3">
        <f t="shared" si="14"/>
        <v>150</v>
      </c>
      <c r="AH58" s="10" t="n">
        <f>ROUND($J58*1.637*1.75*2.1*2.3*2.6*3.2*4.2*2.4*2.5*2.8*3.2*3.8*1,0)</f>
        <v>71414702195677</v>
      </c>
    </row>
    <row r="59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 t="n">
        <f>ROUND($J59*1.637*1,0)</f>
        <v>1208106000</v>
      </c>
      <c r="M59" s="3">
        <f t="shared" si="2"/>
        <v>125</v>
      </c>
      <c r="N59" s="10" t="n">
        <f>ROUND($J59*1.637*1.75*1,0)</f>
        <v>2114185500</v>
      </c>
      <c r="O59" s="5">
        <f t="shared" si="4"/>
        <v>127</v>
      </c>
      <c r="P59" s="9" t="n">
        <f>ROUND($J59*1.637*1.75*2.1*1,0)</f>
        <v>4439789550</v>
      </c>
      <c r="Q59" s="3">
        <f t="shared" si="6"/>
        <v>129</v>
      </c>
      <c r="R59" s="10" t="n">
        <f>ROUND($J59*1.637*1.75*2.1*2.3*1,0)</f>
        <v>10211515965</v>
      </c>
      <c r="S59" s="5">
        <f t="shared" si="7"/>
        <v>131</v>
      </c>
      <c r="T59" s="9" t="n">
        <f>ROUND($J59*1.637*1.75*2.1*2.3*2.6*1,0)</f>
        <v>26549941509</v>
      </c>
      <c r="U59" s="3">
        <f t="shared" si="8"/>
        <v>134</v>
      </c>
      <c r="V59" s="10" t="n">
        <f>ROUND($J59*1.637*1.75*2.1*2.3*2.6*3.2*1,0)</f>
        <v>84959812829</v>
      </c>
      <c r="W59" s="5">
        <f t="shared" si="9"/>
        <v>138</v>
      </c>
      <c r="X59" s="9" t="n">
        <f>ROUND($J59*1.637*1.75*2.1*2.3*2.6*3.2*4.2*1,0)</f>
        <v>356831213881</v>
      </c>
      <c r="Y59" s="3">
        <f t="shared" si="10"/>
        <v>140</v>
      </c>
      <c r="Z59" s="10" t="n">
        <f>ROUND($J59*1.637*1.75*2.1*2.3*2.6*3.2*4.2*2.4*1,0)</f>
        <v>856394913314</v>
      </c>
      <c r="AA59" s="5">
        <f t="shared" si="11"/>
        <v>142</v>
      </c>
      <c r="AB59" s="9" t="n">
        <f>ROUND($J59*1.637*1.75*2.1*2.3*2.6*3.2*4.2*2.4*2.5*1,0)</f>
        <v>2140987283286</v>
      </c>
      <c r="AC59" s="3">
        <f t="shared" si="12"/>
        <v>144</v>
      </c>
      <c r="AD59" s="10" t="n">
        <f>ROUND($J59*1.637*1.75*2.1*2.3*2.6*3.2*4.2*2.4*2.5*2.8*1,0)</f>
        <v>5994764393200</v>
      </c>
      <c r="AE59" s="5">
        <f t="shared" si="13"/>
        <v>147</v>
      </c>
      <c r="AF59" s="9" t="n">
        <f>ROUND($J59*1.637*1.75*2.1*2.3*2.6*3.2*4.2*2.4*2.5*2.8*3.2*1,0)</f>
        <v>19183246058240</v>
      </c>
      <c r="AG59" s="3">
        <f t="shared" si="14"/>
        <v>150</v>
      </c>
      <c r="AH59" s="10" t="n">
        <f>ROUND($J59*1.637*1.75*2.1*2.3*2.6*3.2*4.2*2.4*2.5*2.8*3.2*3.8*1,0)</f>
        <v>72896335021314</v>
      </c>
    </row>
    <row r="60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 t="n">
        <f>ROUND($J60*1.637*1,0)</f>
        <v>1073872000</v>
      </c>
      <c r="M60" s="3">
        <f t="shared" si="2"/>
        <v>125</v>
      </c>
      <c r="N60" s="10" t="n">
        <f>ROUND($J60*1.637*1.75*1,0)</f>
        <v>1879276000</v>
      </c>
      <c r="O60" s="5">
        <f t="shared" si="4"/>
        <v>127</v>
      </c>
      <c r="P60" s="9" t="n">
        <f>ROUND($J60*1.637*1.75*2.1*1,0)</f>
        <v>3946479600</v>
      </c>
      <c r="Q60" s="3">
        <f t="shared" si="6"/>
        <v>129</v>
      </c>
      <c r="R60" s="10" t="n">
        <f>ROUND($J60*1.637*1.75*2.1*2.3*1,0)</f>
        <v>9076903080</v>
      </c>
      <c r="S60" s="5">
        <f t="shared" si="7"/>
        <v>131</v>
      </c>
      <c r="T60" s="9" t="n">
        <f>ROUND($J60*1.637*1.75*2.1*2.3*2.6*1,0)</f>
        <v>23599948008</v>
      </c>
      <c r="U60" s="3">
        <f t="shared" si="8"/>
        <v>134</v>
      </c>
      <c r="V60" s="10" t="n">
        <f>ROUND($J60*1.637*1.75*2.1*2.3*2.6*3.2*1,0)</f>
        <v>75519833626</v>
      </c>
      <c r="W60" s="5">
        <f t="shared" si="9"/>
        <v>138</v>
      </c>
      <c r="X60" s="9" t="n">
        <f>ROUND($J60*1.637*1.75*2.1*2.3*2.6*3.2*4.2*1,0)</f>
        <v>317183301228</v>
      </c>
      <c r="Y60" s="3">
        <f t="shared" si="10"/>
        <v>140</v>
      </c>
      <c r="Z60" s="10" t="n">
        <f>ROUND($J60*1.637*1.75*2.1*2.3*2.6*3.2*4.2*2.4*1,0)</f>
        <v>761239922946</v>
      </c>
      <c r="AA60" s="5">
        <f t="shared" si="11"/>
        <v>142</v>
      </c>
      <c r="AB60" s="9" t="n">
        <f>ROUND($J60*1.637*1.75*2.1*2.3*2.6*3.2*4.2*2.4*2.5*1,0)</f>
        <v>1903099807365</v>
      </c>
      <c r="AC60" s="3">
        <f t="shared" si="12"/>
        <v>144</v>
      </c>
      <c r="AD60" s="10" t="n">
        <f>ROUND($J60*1.637*1.75*2.1*2.3*2.6*3.2*4.2*2.4*2.5*2.8*1,0)</f>
        <v>5328679460622</v>
      </c>
      <c r="AE60" s="5">
        <f t="shared" si="13"/>
        <v>147</v>
      </c>
      <c r="AF60" s="9" t="n">
        <f>ROUND($J60*1.637*1.75*2.1*2.3*2.6*3.2*4.2*2.4*2.5*2.8*3.2*1,0)</f>
        <v>17051774273992</v>
      </c>
      <c r="AG60" s="3">
        <f t="shared" si="14"/>
        <v>150</v>
      </c>
      <c r="AH60" s="10" t="n">
        <f>ROUND($J60*1.637*1.75*2.1*2.3*2.6*3.2*4.2*2.4*2.5*2.8*3.2*3.8*1,0)</f>
        <v>64796742241168</v>
      </c>
    </row>
    <row r="6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 t="n">
        <f>ROUND($J61*1.637*0.8,0)</f>
        <v>161080800</v>
      </c>
      <c r="M61" s="3">
        <f t="shared" si="2"/>
        <v>125</v>
      </c>
      <c r="N61" s="10" t="n">
        <f>ROUND($J61*1.637*1.75*0.8,0)</f>
        <v>281891400</v>
      </c>
      <c r="O61" s="5">
        <f t="shared" si="4"/>
        <v>127</v>
      </c>
      <c r="P61" s="9" t="n">
        <f>ROUND($J61*1.637*1.75*2.1*0.8,0)</f>
        <v>591971940</v>
      </c>
      <c r="Q61" s="3">
        <f t="shared" si="6"/>
        <v>129</v>
      </c>
      <c r="R61" s="10" t="n">
        <f>ROUND($J61*1.637*1.75*2.1*2.3*0.542035092435954,0)</f>
        <v>922500000</v>
      </c>
      <c r="S61" s="5">
        <f t="shared" si="7"/>
        <v>131</v>
      </c>
      <c r="T61" s="9" t="n">
        <f>ROUND($J61*1.637*1.75*2.1*2.3*2.6*0.544690061623969,0)</f>
        <v>2410248213</v>
      </c>
      <c r="U61" s="3">
        <f t="shared" si="8"/>
        <v>134</v>
      </c>
      <c r="V61" s="10" t="n">
        <f>ROUND($J61*1.637*1.75*2.1*2.3*2.6*3.2*0.547345030811984,0)</f>
        <v>7750388562</v>
      </c>
      <c r="W61" s="5">
        <f t="shared" si="9"/>
        <v>138</v>
      </c>
      <c r="X61" s="9" t="n">
        <f>ROUND($J61*1.637*1.75*2.1*2.3*2.6*3.2*4.2*0.55,0)</f>
        <v>32709527939</v>
      </c>
      <c r="Y61" s="3">
        <f t="shared" si="10"/>
        <v>140</v>
      </c>
      <c r="Z61" s="10" t="n">
        <f>ROUND($J61*1.637*1.75*2.1*2.3*2.6*3.2*4.2*2.4*0.55,0)</f>
        <v>78502867054</v>
      </c>
      <c r="AA61" s="5">
        <f t="shared" si="11"/>
        <v>142</v>
      </c>
      <c r="AB61" s="9" t="n">
        <f>ROUND($J61*1.637*1.75*2.1*2.3*2.6*3.2*4.2*2.4*2.5*0.55,0)</f>
        <v>196257167635</v>
      </c>
      <c r="AC61" s="3">
        <f t="shared" si="12"/>
        <v>144</v>
      </c>
      <c r="AD61" s="10" t="n">
        <f>ROUND($J61*1.637*1.75*2.1*2.3*2.6*3.2*4.2*2.4*2.5*2.8*0.55,0)</f>
        <v>549520069377</v>
      </c>
      <c r="AE61" s="5">
        <f t="shared" si="13"/>
        <v>147</v>
      </c>
      <c r="AF61" s="9" t="n">
        <f>ROUND($J61*1.637*1.75*2.1*2.3*2.6*3.2*4.2*2.4*2.5*2.8*3.2*0.55,0)</f>
        <v>1758464222005</v>
      </c>
      <c r="AG61" s="3">
        <f t="shared" si="14"/>
        <v>150</v>
      </c>
      <c r="AH61" s="10" t="n">
        <f>ROUND($J61*1.637*1.75*2.1*2.3*2.6*3.2*4.2*2.4*2.5*2.8*3.2*3.8*0.55,0)</f>
        <v>6682164043620</v>
      </c>
    </row>
    <row r="62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 t="n">
        <f>ROUND($J62*1.637*1,0)</f>
        <v>943075700</v>
      </c>
      <c r="M62" s="3">
        <f t="shared" si="2"/>
        <v>125</v>
      </c>
      <c r="N62" s="10" t="n">
        <f>ROUND($J62*1.637*1.75*1,0)</f>
        <v>1650382475</v>
      </c>
      <c r="O62" s="5">
        <f t="shared" si="4"/>
        <v>127</v>
      </c>
      <c r="P62" s="9" t="n">
        <f>ROUND($J62*1.637*1.75*2.1*1,0)</f>
        <v>3465803198</v>
      </c>
      <c r="Q62" s="3">
        <f t="shared" si="6"/>
        <v>129</v>
      </c>
      <c r="R62" s="10" t="n">
        <f>ROUND($J62*1.637*1.75*2.1*2.3*1,0)</f>
        <v>7971347354</v>
      </c>
      <c r="S62" s="5">
        <f t="shared" si="7"/>
        <v>131</v>
      </c>
      <c r="T62" s="9" t="n">
        <f>ROUND($J62*1.637*1.75*2.1*2.3*2.6*1,0)</f>
        <v>20725503121</v>
      </c>
      <c r="U62" s="3">
        <f t="shared" si="8"/>
        <v>134</v>
      </c>
      <c r="V62" s="10" t="n">
        <f>ROUND($J62*1.637*1.75*2.1*2.3*2.6*3.2*1,0)</f>
        <v>66321609987</v>
      </c>
      <c r="W62" s="5">
        <f t="shared" si="9"/>
        <v>138</v>
      </c>
      <c r="X62" s="9" t="n">
        <f>ROUND($J62*1.637*1.75*2.1*2.3*2.6*3.2*4.2*1,0)</f>
        <v>278550761947</v>
      </c>
      <c r="Y62" s="3">
        <f t="shared" si="10"/>
        <v>140</v>
      </c>
      <c r="Z62" s="10" t="n">
        <f>ROUND($J62*1.637*1.75*2.1*2.3*2.6*3.2*4.2*2.4*1,0)</f>
        <v>668521828673</v>
      </c>
      <c r="AA62" s="5">
        <f t="shared" si="11"/>
        <v>142</v>
      </c>
      <c r="AB62" s="9" t="n">
        <f>ROUND($J62*1.637*1.75*2.1*2.3*2.6*3.2*4.2*2.4*2.5*1,0)</f>
        <v>1671304571681</v>
      </c>
      <c r="AC62" s="3">
        <f t="shared" si="12"/>
        <v>144</v>
      </c>
      <c r="AD62" s="10" t="n">
        <f>ROUND($J62*1.637*1.75*2.1*2.3*2.6*3.2*4.2*2.4*2.5*2.8*1,0)</f>
        <v>4679652800708</v>
      </c>
      <c r="AE62" s="5">
        <f t="shared" si="13"/>
        <v>147</v>
      </c>
      <c r="AF62" s="9" t="n">
        <f>ROUND($J62*1.637*1.75*2.1*2.3*2.6*3.2*4.2*2.4*2.5*2.8*3.2*1,0)</f>
        <v>14974888962266</v>
      </c>
      <c r="AG62" s="3">
        <f t="shared" si="14"/>
        <v>150</v>
      </c>
      <c r="AH62" s="10" t="n">
        <f>ROUND($J62*1.637*1.75*2.1*2.3*2.6*3.2*4.2*2.4*2.5*2.8*3.2*3.8*1,0)</f>
        <v>56904578056611</v>
      </c>
    </row>
    <row r="63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 t="n">
        <f>ROUND($J63*1.637*1,0)</f>
        <v>6106010000</v>
      </c>
      <c r="M63" s="3">
        <f t="shared" si="2"/>
        <v>125</v>
      </c>
      <c r="N63" s="10" t="n">
        <f>ROUND($J63*1.637*1.75*1,0)</f>
        <v>10685517500</v>
      </c>
      <c r="O63" s="5">
        <f t="shared" si="4"/>
        <v>127</v>
      </c>
      <c r="P63" s="9" t="n">
        <f>ROUND($J63*1.637*1.75*2.1*1,0)</f>
        <v>22439586750</v>
      </c>
      <c r="Q63" s="3">
        <f t="shared" si="6"/>
        <v>129</v>
      </c>
      <c r="R63" s="10" t="n">
        <f>ROUND($J63*1.637*1.75*2.1*2.3*1.25,0)</f>
        <v>64513811906</v>
      </c>
      <c r="S63" s="5">
        <f t="shared" si="7"/>
        <v>131</v>
      </c>
      <c r="T63" s="9" t="n">
        <f>ROUND($J63*1.637*1.75*2.1*2.3*2.6*1.25,0)</f>
        <v>167735910956</v>
      </c>
      <c r="U63" s="3">
        <f t="shared" si="8"/>
        <v>134</v>
      </c>
      <c r="V63" s="10" t="n">
        <f>ROUND($J63*1.637*1.75*2.1*2.3*2.6*3.2*1.25,0)</f>
        <v>536754915060</v>
      </c>
      <c r="W63" s="5">
        <f t="shared" si="9"/>
        <v>138</v>
      </c>
      <c r="X63" s="9" t="n">
        <f>ROUND($J63*1.637*1.75*2.1*2.3*2.6*3.2*4.2*1.25,0)</f>
        <v>2254370643252</v>
      </c>
      <c r="Y63" s="3">
        <f t="shared" si="10"/>
        <v>140</v>
      </c>
      <c r="Z63" s="10" t="n">
        <f>ROUND($J63*1.637*1.75*2.1*2.3*2.6*3.2*4.2*2.4*1.25,0)</f>
        <v>5410489543805</v>
      </c>
      <c r="AA63" s="5">
        <f t="shared" si="11"/>
        <v>142</v>
      </c>
      <c r="AB63" s="9" t="n">
        <f>ROUND($J63*1.637*1.75*2.1*2.3*2.6*3.2*4.2*2.4*2.5*1.25,0)</f>
        <v>13526223859512</v>
      </c>
      <c r="AC63" s="3">
        <f t="shared" si="12"/>
        <v>144</v>
      </c>
      <c r="AD63" s="10" t="n">
        <f>ROUND($J63*1.637*1.75*2.1*2.3*2.6*3.2*4.2*2.4*2.5*2.8*1.25,0)</f>
        <v>37873426806634</v>
      </c>
      <c r="AE63" s="5">
        <f t="shared" si="13"/>
        <v>147</v>
      </c>
      <c r="AF63" s="9" t="n">
        <f>ROUND($J63*1.637*1.75*2.1*2.3*2.6*3.2*4.2*2.4*2.5*2.8*3.2*1.25,0)</f>
        <v>121194965781228</v>
      </c>
      <c r="AG63" s="3">
        <f t="shared" si="14"/>
        <v>150</v>
      </c>
      <c r="AH63" s="10" t="n">
        <f>ROUND($J63*1.637*1.75*2.1*2.3*2.6*3.2*4.2*2.4*2.5*2.8*3.2*3.8*1.25,0)</f>
        <v>460540869968664</v>
      </c>
    </row>
    <row r="64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 t="n">
        <f>ROUND($J64*1.637*1,0)</f>
        <v>15682460000</v>
      </c>
      <c r="M64" s="3">
        <f t="shared" si="2"/>
        <v>125</v>
      </c>
      <c r="N64" s="10" t="n">
        <f>ROUND($J64*1.637*1.75*1,0)</f>
        <v>27444305000</v>
      </c>
      <c r="O64" s="5">
        <f t="shared" si="4"/>
        <v>127</v>
      </c>
      <c r="P64" s="9" t="n">
        <f>ROUND($J64*1.637*1.75*2.1*1,0)</f>
        <v>57633040500</v>
      </c>
      <c r="Q64" s="3">
        <f t="shared" si="6"/>
        <v>129</v>
      </c>
      <c r="R64" s="10" t="n">
        <f>ROUND($J64*1.637*1.75*2.1*2.3*1.25,0)</f>
        <v>165694991438</v>
      </c>
      <c r="S64" s="5">
        <f t="shared" si="7"/>
        <v>131</v>
      </c>
      <c r="T64" s="9" t="n">
        <f>ROUND($J64*1.637*1.75*2.1*2.3*2.6*1.25,0)</f>
        <v>430806977738</v>
      </c>
      <c r="U64" s="3">
        <f t="shared" si="8"/>
        <v>134</v>
      </c>
      <c r="V64" s="10" t="n">
        <f>ROUND($J64*1.637*1.75*2.1*2.3*2.6*3.2*1.25,0)</f>
        <v>1378582328760</v>
      </c>
      <c r="W64" s="5">
        <f t="shared" si="9"/>
        <v>138</v>
      </c>
      <c r="X64" s="9" t="n">
        <f>ROUND($J64*1.637*1.75*2.1*2.3*2.6*3.2*4.2*1.25,0)</f>
        <v>5790045780792</v>
      </c>
      <c r="Y64" s="3">
        <f t="shared" si="10"/>
        <v>140</v>
      </c>
      <c r="Z64" s="10" t="n">
        <f>ROUND($J64*1.637*1.75*2.1*2.3*2.6*3.2*4.2*2.4*1.25,0)</f>
        <v>13896109873901</v>
      </c>
      <c r="AA64" s="5">
        <f t="shared" si="11"/>
        <v>142</v>
      </c>
      <c r="AB64" s="9" t="n">
        <f>ROUND($J64*1.637*1.75*2.1*2.3*2.6*3.2*4.2*2.4*2.5*1.25,0)</f>
        <v>34740274684752</v>
      </c>
      <c r="AC64" s="3">
        <f t="shared" si="12"/>
        <v>144</v>
      </c>
      <c r="AD64" s="10" t="n">
        <f>ROUND($J64*1.637*1.75*2.1*2.3*2.6*3.2*4.2*2.4*2.5*2.8*1.25,0)</f>
        <v>97272769117306</v>
      </c>
      <c r="AE64" s="5">
        <f t="shared" si="13"/>
        <v>147</v>
      </c>
      <c r="AF64" s="9" t="n">
        <f>ROUND($J64*1.637*1.75*2.1*2.3*2.6*3.2*4.2*2.4*2.5*2.8*3.2*1.25,0)</f>
        <v>311272861175378</v>
      </c>
      <c r="AG64" s="3">
        <f t="shared" si="14"/>
        <v>150</v>
      </c>
      <c r="AH64" s="10" t="n">
        <f>ROUND($J64*1.637*1.75*2.1*2.3*2.6*3.2*4.2*2.4*2.5*2.8*3.2*3.8*1.25,0)</f>
        <v>1182836872466440</v>
      </c>
    </row>
    <row r="65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 t="n">
        <f>ROUND($J65*1.637*0.8,0)</f>
        <v>269777600</v>
      </c>
      <c r="M65" s="3">
        <f t="shared" si="2"/>
        <v>125</v>
      </c>
      <c r="N65" s="10" t="n">
        <f>ROUND($J65*1.637*1.75*0.8,0)</f>
        <v>472110800</v>
      </c>
      <c r="O65" s="5">
        <f t="shared" si="4"/>
        <v>127</v>
      </c>
      <c r="P65" s="9" t="n">
        <f>ROUND($J65*1.637*1.75*2.1*0.8,0)</f>
        <v>991432680</v>
      </c>
      <c r="Q65" s="3">
        <f t="shared" si="6"/>
        <v>129</v>
      </c>
      <c r="R65" s="10" t="n">
        <f>ROUND($J65*1.637*1.75*2.1*2.3*0.542035092435954,0)</f>
        <v>1545000000</v>
      </c>
      <c r="S65" s="5">
        <f t="shared" si="7"/>
        <v>131</v>
      </c>
      <c r="T65" s="9" t="n">
        <f>ROUND($J65*1.637*1.75*2.1*2.3*2.6*0.544690061623969,0)</f>
        <v>4036675869</v>
      </c>
      <c r="U65" s="3">
        <f t="shared" si="8"/>
        <v>134</v>
      </c>
      <c r="V65" s="10" t="n">
        <f>ROUND($J65*1.637*1.75*2.1*2.3*2.6*3.2*0.547345030811984,0)</f>
        <v>12980325559</v>
      </c>
      <c r="W65" s="5">
        <f t="shared" si="9"/>
        <v>138</v>
      </c>
      <c r="X65" s="9" t="n">
        <f>ROUND($J65*1.637*1.75*2.1*2.3*2.6*3.2*4.2*0.55,0)</f>
        <v>54781811020</v>
      </c>
      <c r="Y65" s="3">
        <f t="shared" si="10"/>
        <v>140</v>
      </c>
      <c r="Z65" s="10" t="n">
        <f>ROUND($J65*1.637*1.75*2.1*2.3*2.6*3.2*4.2*2.4*0.55,0)</f>
        <v>131476346448</v>
      </c>
      <c r="AA65" s="5">
        <f t="shared" si="11"/>
        <v>142</v>
      </c>
      <c r="AB65" s="9" t="n">
        <f>ROUND($J65*1.637*1.75*2.1*2.3*2.6*3.2*4.2*2.4*2.5*0.55,0)</f>
        <v>328690866120</v>
      </c>
      <c r="AC65" s="3">
        <f t="shared" si="12"/>
        <v>144</v>
      </c>
      <c r="AD65" s="10" t="n">
        <f>ROUND($J65*1.637*1.75*2.1*2.3*2.6*3.2*4.2*2.4*2.5*2.8*0.55,0)</f>
        <v>920334425135</v>
      </c>
      <c r="AE65" s="5">
        <f t="shared" si="13"/>
        <v>147</v>
      </c>
      <c r="AF65" s="9" t="n">
        <f>ROUND($J65*1.637*1.75*2.1*2.3*2.6*3.2*4.2*2.4*2.5*2.8*3.2*0.55,0)</f>
        <v>2945070160432</v>
      </c>
      <c r="AG65" s="3">
        <f t="shared" si="14"/>
        <v>150</v>
      </c>
      <c r="AH65" s="10" t="n">
        <f>ROUND($J65*1.637*1.75*2.1*2.3*2.6*3.2*4.2*2.4*2.5*2.8*3.2*3.8*0.55,0)</f>
        <v>11191266609641</v>
      </c>
    </row>
    <row r="66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 t="n">
        <f>ROUND($J66*1.637*1,0)</f>
        <v>666259000</v>
      </c>
      <c r="M66" s="3">
        <f t="shared" si="2"/>
        <v>125</v>
      </c>
      <c r="N66" s="10" t="n">
        <f>ROUND($J66*1.637*1.75*1,0)</f>
        <v>1165953250</v>
      </c>
      <c r="O66" s="5">
        <f t="shared" si="4"/>
        <v>127</v>
      </c>
      <c r="P66" s="9" t="n">
        <f>ROUND($J66*1.637*1.75*2.1*1,0)</f>
        <v>2448501825</v>
      </c>
      <c r="Q66" s="3">
        <f t="shared" si="6"/>
        <v>129</v>
      </c>
      <c r="R66" s="10" t="n">
        <f>ROUND($J66*1.637*1.75*2.1*2.3*1,0)</f>
        <v>5631554198</v>
      </c>
      <c r="S66" s="5">
        <f t="shared" si="7"/>
        <v>131</v>
      </c>
      <c r="T66" s="9" t="n">
        <f>ROUND($J66*1.637*1.75*2.1*2.3*2.6*1,0)</f>
        <v>14642040914</v>
      </c>
      <c r="U66" s="3">
        <f t="shared" si="8"/>
        <v>134</v>
      </c>
      <c r="V66" s="10" t="n">
        <f>ROUND($J66*1.637*1.75*2.1*2.3*2.6*3.2*1,0)</f>
        <v>46854530923</v>
      </c>
      <c r="W66" s="5">
        <f t="shared" si="9"/>
        <v>138</v>
      </c>
      <c r="X66" s="9" t="n">
        <f>ROUND($J66*1.637*1.75*2.1*2.3*2.6*3.2*4.2*1,0)</f>
        <v>196789029877</v>
      </c>
      <c r="Y66" s="3">
        <f t="shared" si="10"/>
        <v>140</v>
      </c>
      <c r="Z66" s="10" t="n">
        <f>ROUND($J66*1.637*1.75*2.1*2.3*2.6*3.2*4.2*2.4*1,0)</f>
        <v>472293671706</v>
      </c>
      <c r="AA66" s="5">
        <f t="shared" si="11"/>
        <v>142</v>
      </c>
      <c r="AB66" s="9" t="n">
        <f>ROUND($J66*1.637*1.75*2.1*2.3*2.6*3.2*4.2*2.4*2.5*1,0)</f>
        <v>1180734179265</v>
      </c>
      <c r="AC66" s="3">
        <f t="shared" si="12"/>
        <v>144</v>
      </c>
      <c r="AD66" s="10" t="n">
        <f>ROUND($J66*1.637*1.75*2.1*2.3*2.6*3.2*4.2*2.4*2.5*2.8*1,0)</f>
        <v>3306055701941</v>
      </c>
      <c r="AE66" s="5">
        <f t="shared" si="13"/>
        <v>147</v>
      </c>
      <c r="AF66" s="9" t="n">
        <f>ROUND($J66*1.637*1.75*2.1*2.3*2.6*3.2*4.2*2.4*2.5*2.8*3.2*1,0)</f>
        <v>10579378246211</v>
      </c>
      <c r="AG66" s="3">
        <f t="shared" si="14"/>
        <v>150</v>
      </c>
      <c r="AH66" s="10" t="n">
        <f>ROUND($J66*1.637*1.75*2.1*2.3*2.6*3.2*4.2*2.4*2.5*2.8*3.2*3.8*1,0)</f>
        <v>40201637335603</v>
      </c>
    </row>
    <row r="67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 t="shared" ref="K67:K130" si="27">$E67+1</f>
        <v>124</v>
      </c>
      <c r="L67" s="9" t="n">
        <f>ROUND($J67*1.637*1,0)</f>
        <v>1571520000</v>
      </c>
      <c r="M67" s="3" t="n">
        <f t="shared" ref="M67:M130" si="28">$E67+2</f>
        <v>125</v>
      </c>
      <c r="N67" s="10" t="n">
        <f>ROUND($J67*1.637*1.75*1,0)</f>
        <v>2750160000</v>
      </c>
      <c r="O67" s="5" t="n">
        <f t="shared" ref="O67:O130" si="29">$E67+4</f>
        <v>127</v>
      </c>
      <c r="P67" s="9" t="n">
        <f>ROUND($J67*1.637*1.75*2.1*1,0)</f>
        <v>5775336000</v>
      </c>
      <c r="Q67" s="3" t="n">
        <f t="shared" ref="Q67:Q130" si="30">$E67+6</f>
        <v>129</v>
      </c>
      <c r="R67" s="10" t="n">
        <f>ROUND($J67*1.637*1.75*2.1*2.3*1.25,0)</f>
        <v>16604091000</v>
      </c>
      <c r="S67" s="5" t="n">
        <f t="shared" ref="S67:S130" si="31">$E67+8</f>
        <v>131</v>
      </c>
      <c r="T67" s="9" t="n">
        <f>ROUND($J67*1.637*1.75*2.1*2.3*2.6*1.25,0)</f>
        <v>43170636600</v>
      </c>
      <c r="U67" s="3" t="n">
        <f t="shared" ref="U67:U130" si="32">$E67+11</f>
        <v>134</v>
      </c>
      <c r="V67" s="10" t="n">
        <f>ROUND($J67*1.637*1.75*2.1*2.3*2.6*3.2*1.25,0)</f>
        <v>138146037120</v>
      </c>
      <c r="W67" s="5" t="n">
        <f t="shared" ref="W67:W130" si="33">$E67+15</f>
        <v>138</v>
      </c>
      <c r="X67" s="9" t="n">
        <f>ROUND($J67*1.637*1.75*2.1*2.3*2.6*3.2*4.2*1.25,0)</f>
        <v>580213355904</v>
      </c>
      <c r="Y67" s="3" t="n">
        <f t="shared" ref="Y67:Y130" si="34">$E67+17</f>
        <v>140</v>
      </c>
      <c r="Z67" s="10" t="n">
        <f>ROUND($J67*1.637*1.75*2.1*2.3*2.6*3.2*4.2*2.4*1.25,0)</f>
        <v>1392512054170</v>
      </c>
      <c r="AA67" s="5" t="n">
        <f t="shared" ref="AA67:AA130" si="35">$E67+19</f>
        <v>142</v>
      </c>
      <c r="AB67" s="9" t="n">
        <f>ROUND($J67*1.637*1.75*2.1*2.3*2.6*3.2*4.2*2.4*2.5*1.25,0)</f>
        <v>3481280135424</v>
      </c>
      <c r="AC67" s="3" t="n">
        <f t="shared" ref="AC67:AC130" si="36">$E67+21</f>
        <v>144</v>
      </c>
      <c r="AD67" s="10" t="n">
        <f>ROUND($J67*1.637*1.75*2.1*2.3*2.6*3.2*4.2*2.4*2.5*2.8*1.25,0)</f>
        <v>9747584379187</v>
      </c>
      <c r="AE67" s="5" t="n">
        <f t="shared" ref="AE67:AE130" si="37">$E67+24</f>
        <v>147</v>
      </c>
      <c r="AF67" s="9" t="n">
        <f>ROUND($J67*1.637*1.75*2.1*2.3*2.6*3.2*4.2*2.4*2.5*2.8*3.2*1.25,0)</f>
        <v>31192270013399</v>
      </c>
      <c r="AG67" s="3" t="n">
        <f t="shared" ref="AG67:AG130" si="38">$E67+27</f>
        <v>150</v>
      </c>
      <c r="AH67" s="10" t="n">
        <f>ROUND($J67*1.637*1.75*2.1*2.3*2.6*3.2*4.2*2.4*2.5*2.8*3.2*3.8*1.25,0)</f>
        <v>118530626050916</v>
      </c>
    </row>
    <row r="68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 t="n">
        <f>ROUND($J68*1.637*1,0)</f>
        <v>448538000</v>
      </c>
      <c r="M68" s="3">
        <f t="shared" si="28"/>
        <v>125</v>
      </c>
      <c r="N68" s="10" t="n">
        <f>ROUND($J68*1.637*1.75*1,0)</f>
        <v>784941500</v>
      </c>
      <c r="O68" s="5">
        <f t="shared" si="29"/>
        <v>127</v>
      </c>
      <c r="P68" s="9" t="n">
        <f>ROUND($J68*1.637*1.75*2.1*1,0)</f>
        <v>1648377150</v>
      </c>
      <c r="Q68" s="3">
        <f t="shared" si="30"/>
        <v>129</v>
      </c>
      <c r="R68" s="10" t="n">
        <f>ROUND($J68*1.637*1.75*2.1*2.3*1,0)</f>
        <v>3791267445</v>
      </c>
      <c r="S68" s="5">
        <f t="shared" si="31"/>
        <v>131</v>
      </c>
      <c r="T68" s="9" t="n">
        <f>ROUND($J68*1.637*1.75*2.1*2.3*2.6*1,0)</f>
        <v>9857295357</v>
      </c>
      <c r="U68" s="3">
        <f t="shared" si="32"/>
        <v>134</v>
      </c>
      <c r="V68" s="10" t="n">
        <f>ROUND($J68*1.637*1.75*2.1*2.3*2.6*3.2*1,0)</f>
        <v>31543345142</v>
      </c>
      <c r="W68" s="5">
        <f t="shared" si="33"/>
        <v>138</v>
      </c>
      <c r="X68" s="9" t="n">
        <f>ROUND($J68*1.637*1.75*2.1*2.3*2.6*3.2*4.2*1,0)</f>
        <v>132482049598</v>
      </c>
      <c r="Y68" s="3">
        <f t="shared" si="34"/>
        <v>140</v>
      </c>
      <c r="Z68" s="10" t="n">
        <f>ROUND($J68*1.637*1.75*2.1*2.3*2.6*3.2*4.2*2.4*1,0)</f>
        <v>317956919035</v>
      </c>
      <c r="AA68" s="5">
        <f t="shared" si="35"/>
        <v>142</v>
      </c>
      <c r="AB68" s="9" t="n">
        <f>ROUND($J68*1.637*1.75*2.1*2.3*2.6*3.2*4.2*2.4*2.5*1,0)</f>
        <v>794892297588</v>
      </c>
      <c r="AC68" s="3">
        <f t="shared" si="36"/>
        <v>144</v>
      </c>
      <c r="AD68" s="10" t="n">
        <f>ROUND($J68*1.637*1.75*2.1*2.3*2.6*3.2*4.2*2.4*2.5*2.8*1,0)</f>
        <v>2225698433248</v>
      </c>
      <c r="AE68" s="5">
        <f t="shared" si="37"/>
        <v>147</v>
      </c>
      <c r="AF68" s="9" t="n">
        <f>ROUND($J68*1.637*1.75*2.1*2.3*2.6*3.2*4.2*2.4*2.5*2.8*3.2*1,0)</f>
        <v>7122234986393</v>
      </c>
      <c r="AG68" s="3">
        <f t="shared" si="38"/>
        <v>150</v>
      </c>
      <c r="AH68" s="10" t="n">
        <f>ROUND($J68*1.637*1.75*2.1*2.3*2.6*3.2*4.2*2.4*2.5*2.8*3.2*3.8*1,0)</f>
        <v>27064492948293</v>
      </c>
    </row>
    <row r="69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 t="n">
        <f>ROUND($J69*1.637*1,0)</f>
        <v>4243104000</v>
      </c>
      <c r="M69" s="3">
        <f t="shared" si="28"/>
        <v>125</v>
      </c>
      <c r="N69" s="10" t="n">
        <f>ROUND($J69*1.637*1.75*1,0)</f>
        <v>7425432000</v>
      </c>
      <c r="O69" s="5">
        <f t="shared" si="29"/>
        <v>127</v>
      </c>
      <c r="P69" s="9" t="n">
        <f>ROUND($J69*1.637*1.75*2.1*1,0)</f>
        <v>15593407200</v>
      </c>
      <c r="Q69" s="3">
        <f t="shared" si="30"/>
        <v>129</v>
      </c>
      <c r="R69" s="10" t="n">
        <f>ROUND($J69*1.637*1.75*2.1*2.3*1.25,0)</f>
        <v>44831045700</v>
      </c>
      <c r="S69" s="5">
        <f t="shared" si="31"/>
        <v>131</v>
      </c>
      <c r="T69" s="9" t="n">
        <f>ROUND($J69*1.637*1.75*2.1*2.3*2.6*1.25,0)</f>
        <v>116560718820</v>
      </c>
      <c r="U69" s="3">
        <f t="shared" si="32"/>
        <v>134</v>
      </c>
      <c r="V69" s="10" t="n">
        <f>ROUND($J69*1.637*1.75*2.1*2.3*2.6*3.2*1.25,0)</f>
        <v>372994300224</v>
      </c>
      <c r="W69" s="5">
        <f t="shared" si="33"/>
        <v>138</v>
      </c>
      <c r="X69" s="9" t="n">
        <f>ROUND($J69*1.637*1.75*2.1*2.3*2.6*3.2*4.2*1.25,0)</f>
        <v>1566576060941</v>
      </c>
      <c r="Y69" s="3">
        <f t="shared" si="34"/>
        <v>140</v>
      </c>
      <c r="Z69" s="10" t="n">
        <f>ROUND($J69*1.637*1.75*2.1*2.3*2.6*3.2*4.2*2.4*1.25,0)</f>
        <v>3759782546258</v>
      </c>
      <c r="AA69" s="5">
        <f t="shared" si="35"/>
        <v>142</v>
      </c>
      <c r="AB69" s="9" t="n">
        <f>ROUND($J69*1.637*1.75*2.1*2.3*2.6*3.2*4.2*2.4*2.5*1.25,0)</f>
        <v>9399456365645</v>
      </c>
      <c r="AC69" s="3">
        <f t="shared" si="36"/>
        <v>144</v>
      </c>
      <c r="AD69" s="10" t="n">
        <f>ROUND($J69*1.637*1.75*2.1*2.3*2.6*3.2*4.2*2.4*2.5*2.8*1.25,0)</f>
        <v>26318477823805</v>
      </c>
      <c r="AE69" s="5">
        <f t="shared" si="37"/>
        <v>147</v>
      </c>
      <c r="AF69" s="9" t="n">
        <f>ROUND($J69*1.637*1.75*2.1*2.3*2.6*3.2*4.2*2.4*2.5*2.8*3.2*1.25,0)</f>
        <v>84219129036177</v>
      </c>
      <c r="AG69" s="3">
        <f t="shared" si="38"/>
        <v>150</v>
      </c>
      <c r="AH69" s="10" t="n">
        <f>ROUND($J69*1.637*1.75*2.1*2.3*2.6*3.2*4.2*2.4*2.5*2.8*3.2*3.8*1.25,0)</f>
        <v>320032690337474</v>
      </c>
    </row>
    <row r="70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 t="n">
        <f>ROUND($J70*1.637*0.8,0)</f>
        <v>162390400</v>
      </c>
      <c r="M70" s="3">
        <f t="shared" si="28"/>
        <v>125</v>
      </c>
      <c r="N70" s="10" t="n">
        <f>ROUND($J70*1.637*1.75*0.8,0)</f>
        <v>284183200</v>
      </c>
      <c r="O70" s="5">
        <f t="shared" si="29"/>
        <v>127</v>
      </c>
      <c r="P70" s="9" t="n">
        <f>ROUND($J70*1.637*1.75*2.1*0.8,0)</f>
        <v>596784720</v>
      </c>
      <c r="Q70" s="3">
        <f t="shared" si="30"/>
        <v>129</v>
      </c>
      <c r="R70" s="10" t="n">
        <f>ROUND($J70*1.637*1.75*2.1*2.3*0.542035092435954,0)</f>
        <v>930000000</v>
      </c>
      <c r="S70" s="5">
        <f t="shared" si="31"/>
        <v>131</v>
      </c>
      <c r="T70" s="9" t="n">
        <f>ROUND($J70*1.637*1.75*2.1*2.3*2.6*0.544690061623969,0)</f>
        <v>2429843727</v>
      </c>
      <c r="U70" s="3">
        <f t="shared" si="32"/>
        <v>134</v>
      </c>
      <c r="V70" s="10" t="n">
        <f>ROUND($J70*1.637*1.75*2.1*2.3*2.6*3.2*0.547345030811984,0)</f>
        <v>7813399851</v>
      </c>
      <c r="W70" s="5">
        <f t="shared" si="33"/>
        <v>138</v>
      </c>
      <c r="X70" s="9" t="n">
        <f>ROUND($J70*1.637*1.75*2.1*2.3*2.6*3.2*4.2*0.55,0)</f>
        <v>32975459061</v>
      </c>
      <c r="Y70" s="3">
        <f t="shared" si="34"/>
        <v>140</v>
      </c>
      <c r="Z70" s="10" t="n">
        <f>ROUND($J70*1.637*1.75*2.1*2.3*2.6*3.2*4.2*2.4*0.55,0)</f>
        <v>79141101745</v>
      </c>
      <c r="AA70" s="5">
        <f t="shared" si="35"/>
        <v>142</v>
      </c>
      <c r="AB70" s="9" t="n">
        <f>ROUND($J70*1.637*1.75*2.1*2.3*2.6*3.2*4.2*2.4*2.5*0.55,0)</f>
        <v>197852754363</v>
      </c>
      <c r="AC70" s="3">
        <f t="shared" si="36"/>
        <v>144</v>
      </c>
      <c r="AD70" s="10" t="n">
        <f>ROUND($J70*1.637*1.75*2.1*2.3*2.6*3.2*4.2*2.4*2.5*2.8*0.55,0)</f>
        <v>553987712217</v>
      </c>
      <c r="AE70" s="5">
        <f t="shared" si="37"/>
        <v>147</v>
      </c>
      <c r="AF70" s="9" t="n">
        <f>ROUND($J70*1.637*1.75*2.1*2.3*2.6*3.2*4.2*2.4*2.5*2.8*3.2*0.55,0)</f>
        <v>1772760679095</v>
      </c>
      <c r="AG70" s="3">
        <f t="shared" si="38"/>
        <v>150</v>
      </c>
      <c r="AH70" s="10" t="n">
        <f>ROUND($J70*1.637*1.75*2.1*2.3*2.6*3.2*4.2*2.4*2.5*2.8*3.2*3.8*0.55,0)</f>
        <v>6736490580560</v>
      </c>
    </row>
    <row r="7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 t="n">
        <f t="shared" ref="L71:L90" si="39">ROUND($J71*1.637*1,0)</f>
        <v>608964000</v>
      </c>
      <c r="M71" s="3">
        <f t="shared" si="28"/>
        <v>125</v>
      </c>
      <c r="N71" s="10" t="n">
        <f t="shared" ref="N71:N90" si="40">ROUND($J71*1.637*1.75*1,0)</f>
        <v>1065687000</v>
      </c>
      <c r="O71" s="5">
        <f t="shared" si="29"/>
        <v>127</v>
      </c>
      <c r="P71" s="9" t="n">
        <f t="shared" ref="P71:P90" si="41">ROUND($J71*1.637*1.75*2.1*1,0)</f>
        <v>2237942700</v>
      </c>
      <c r="Q71" s="3">
        <f t="shared" si="30"/>
        <v>129</v>
      </c>
      <c r="R71" s="10" t="n">
        <f>ROUND($J71*1.637*1.75*2.1*2.3*1,0)</f>
        <v>5147268210</v>
      </c>
      <c r="S71" s="5">
        <f t="shared" si="31"/>
        <v>131</v>
      </c>
      <c r="T71" s="9" t="n">
        <f>ROUND($J71*1.637*1.75*2.1*2.3*2.6*1,0)</f>
        <v>13382897346</v>
      </c>
      <c r="U71" s="3">
        <f t="shared" si="32"/>
        <v>134</v>
      </c>
      <c r="V71" s="10" t="n">
        <f>ROUND($J71*1.637*1.75*2.1*2.3*2.6*3.2*1,0)</f>
        <v>42825271507</v>
      </c>
      <c r="W71" s="5">
        <f t="shared" si="33"/>
        <v>138</v>
      </c>
      <c r="X71" s="9" t="n">
        <f>ROUND($J71*1.637*1.75*2.1*2.3*2.6*3.2*4.2*1,0)</f>
        <v>179866140330</v>
      </c>
      <c r="Y71" s="3">
        <f t="shared" si="34"/>
        <v>140</v>
      </c>
      <c r="Z71" s="10" t="n">
        <f>ROUND($J71*1.637*1.75*2.1*2.3*2.6*3.2*4.2*2.4*1,0)</f>
        <v>431678736793</v>
      </c>
      <c r="AA71" s="5">
        <f t="shared" si="35"/>
        <v>142</v>
      </c>
      <c r="AB71" s="9" t="n">
        <f>ROUND($J71*1.637*1.75*2.1*2.3*2.6*3.2*4.2*2.4*2.5*1,0)</f>
        <v>1079196841981</v>
      </c>
      <c r="AC71" s="3">
        <f t="shared" si="36"/>
        <v>144</v>
      </c>
      <c r="AD71" s="10" t="n">
        <f>ROUND($J71*1.637*1.75*2.1*2.3*2.6*3.2*4.2*2.4*2.5*2.8*1,0)</f>
        <v>3021751157548</v>
      </c>
      <c r="AE71" s="5">
        <f t="shared" si="37"/>
        <v>147</v>
      </c>
      <c r="AF71" s="9" t="n">
        <f>ROUND($J71*1.637*1.75*2.1*2.3*2.6*3.2*4.2*2.4*2.5*2.8*3.2*1,0)</f>
        <v>9669603704154</v>
      </c>
      <c r="AG71" s="3">
        <f t="shared" si="38"/>
        <v>150</v>
      </c>
      <c r="AH71" s="10" t="n">
        <f>ROUND($J71*1.637*1.75*2.1*2.3*2.6*3.2*4.2*2.4*2.5*2.8*3.2*3.8*1,0)</f>
        <v>36744494075784</v>
      </c>
    </row>
    <row r="72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 t="n">
        <f>ROUND($J72*1.637*1.75*2.1*2.3*1.25,0)</f>
        <v>40299512531</v>
      </c>
      <c r="S72" s="5">
        <f t="shared" si="31"/>
        <v>131</v>
      </c>
      <c r="T72" s="9" t="n">
        <f>ROUND($J72*1.637*1.75*2.1*2.3*2.6*1.25,0)</f>
        <v>104778732581</v>
      </c>
      <c r="U72" s="3">
        <f t="shared" si="32"/>
        <v>134</v>
      </c>
      <c r="V72" s="10" t="n">
        <f>ROUND($J72*1.637*1.75*2.1*2.3*2.6*3.2*1.25,0)</f>
        <v>335291944260</v>
      </c>
      <c r="W72" s="5">
        <f t="shared" si="33"/>
        <v>138</v>
      </c>
      <c r="X72" s="9" t="n">
        <f>ROUND($J72*1.637*1.75*2.1*2.3*2.6*3.2*4.2*1.25,0)</f>
        <v>1408226165892</v>
      </c>
      <c r="Y72" s="3">
        <f t="shared" si="34"/>
        <v>140</v>
      </c>
      <c r="Z72" s="10" t="n">
        <f>ROUND($J72*1.637*1.75*2.1*2.3*2.6*3.2*4.2*2.4*1.25,0)</f>
        <v>3379742798141</v>
      </c>
      <c r="AA72" s="5">
        <f t="shared" si="35"/>
        <v>142</v>
      </c>
      <c r="AB72" s="9" t="n">
        <f>ROUND($J72*1.637*1.75*2.1*2.3*2.6*3.2*4.2*2.4*2.5*1.25,0)</f>
        <v>8449356995352</v>
      </c>
      <c r="AC72" s="3">
        <f t="shared" si="36"/>
        <v>144</v>
      </c>
      <c r="AD72" s="10" t="n">
        <f>ROUND($J72*1.637*1.75*2.1*2.3*2.6*3.2*4.2*2.4*2.5*2.8*1.25,0)</f>
        <v>23658199586986</v>
      </c>
      <c r="AE72" s="5">
        <f t="shared" si="37"/>
        <v>147</v>
      </c>
      <c r="AF72" s="9" t="n">
        <f>ROUND($J72*1.637*1.75*2.1*2.3*2.6*3.2*4.2*2.4*2.5*2.8*3.2*1.25,0)</f>
        <v>75706238678354</v>
      </c>
      <c r="AG72" s="3">
        <f t="shared" si="38"/>
        <v>150</v>
      </c>
      <c r="AH72" s="10" t="n">
        <f>ROUND($J72*1.637*1.75*2.1*2.3*2.6*3.2*4.2*2.4*2.5*2.8*3.2*3.8*1.25,0)</f>
        <v>287683706977745</v>
      </c>
    </row>
    <row r="73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 t="n">
        <f>ROUND($J73*1.637*1.75*2.1*2.3*1,0)</f>
        <v>13144905375</v>
      </c>
      <c r="S73" s="5">
        <f t="shared" si="31"/>
        <v>131</v>
      </c>
      <c r="T73" s="9" t="n">
        <f>ROUND($J73*1.637*1.75*2.1*2.3*2.6*1,0)</f>
        <v>34176753975</v>
      </c>
      <c r="U73" s="3">
        <f t="shared" si="32"/>
        <v>134</v>
      </c>
      <c r="V73" s="10" t="n">
        <f>ROUND($J73*1.637*1.75*2.1*2.3*2.6*3.2*1,0)</f>
        <v>109365612720</v>
      </c>
      <c r="W73" s="5">
        <f t="shared" si="33"/>
        <v>138</v>
      </c>
      <c r="X73" s="9" t="n">
        <f>ROUND($J73*1.637*1.75*2.1*2.3*2.6*3.2*4.2*1,0)</f>
        <v>459335573424</v>
      </c>
      <c r="Y73" s="3">
        <f t="shared" si="34"/>
        <v>140</v>
      </c>
      <c r="Z73" s="10" t="n">
        <f>ROUND($J73*1.637*1.75*2.1*2.3*2.6*3.2*4.2*2.4*1,0)</f>
        <v>1102405376218</v>
      </c>
      <c r="AA73" s="5">
        <f t="shared" si="35"/>
        <v>142</v>
      </c>
      <c r="AB73" s="9" t="n">
        <f>ROUND($J73*1.637*1.75*2.1*2.3*2.6*3.2*4.2*2.4*2.5*1,0)</f>
        <v>2756013440544</v>
      </c>
      <c r="AC73" s="3">
        <f t="shared" si="36"/>
        <v>144</v>
      </c>
      <c r="AD73" s="10" t="n">
        <f>ROUND($J73*1.637*1.75*2.1*2.3*2.6*3.2*4.2*2.4*2.5*2.8*1,0)</f>
        <v>7716837633523</v>
      </c>
      <c r="AE73" s="5">
        <f t="shared" si="37"/>
        <v>147</v>
      </c>
      <c r="AF73" s="9" t="n">
        <f>ROUND($J73*1.637*1.75*2.1*2.3*2.6*3.2*4.2*2.4*2.5*2.8*3.2*1,0)</f>
        <v>24693880427274</v>
      </c>
      <c r="AG73" s="3">
        <f t="shared" si="38"/>
        <v>150</v>
      </c>
      <c r="AH73" s="10" t="n">
        <f>ROUND($J73*1.637*1.75*2.1*2.3*2.6*3.2*4.2*2.4*2.5*2.8*3.2*3.8*1,0)</f>
        <v>93836745623642</v>
      </c>
    </row>
    <row r="74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 t="n">
        <f>ROUND($J74*1.637*1.75*2.1*2.3*1,0)</f>
        <v>2891879183</v>
      </c>
      <c r="S74" s="5">
        <f t="shared" si="31"/>
        <v>131</v>
      </c>
      <c r="T74" s="9" t="n">
        <f>ROUND($J74*1.637*1.75*2.1*2.3*2.6*1,0)</f>
        <v>7518885875</v>
      </c>
      <c r="U74" s="3">
        <f t="shared" si="32"/>
        <v>134</v>
      </c>
      <c r="V74" s="10" t="n">
        <f>ROUND($J74*1.637*1.75*2.1*2.3*2.6*3.2*1,0)</f>
        <v>24060434798</v>
      </c>
      <c r="W74" s="5">
        <f t="shared" si="33"/>
        <v>138</v>
      </c>
      <c r="X74" s="9" t="n">
        <f>ROUND($J74*1.637*1.75*2.1*2.3*2.6*3.2*4.2*1,0)</f>
        <v>101053826153</v>
      </c>
      <c r="Y74" s="3">
        <f t="shared" si="34"/>
        <v>140</v>
      </c>
      <c r="Z74" s="10" t="n">
        <f>ROUND($J74*1.637*1.75*2.1*2.3*2.6*3.2*4.2*2.4*1,0)</f>
        <v>242529182768</v>
      </c>
      <c r="AA74" s="5">
        <f t="shared" si="35"/>
        <v>142</v>
      </c>
      <c r="AB74" s="9" t="n">
        <f>ROUND($J74*1.637*1.75*2.1*2.3*2.6*3.2*4.2*2.4*2.5*1,0)</f>
        <v>606322956920</v>
      </c>
      <c r="AC74" s="3">
        <f t="shared" si="36"/>
        <v>144</v>
      </c>
      <c r="AD74" s="10" t="n">
        <f>ROUND($J74*1.637*1.75*2.1*2.3*2.6*3.2*4.2*2.4*2.5*2.8*1,0)</f>
        <v>1697704279375</v>
      </c>
      <c r="AE74" s="5">
        <f t="shared" si="37"/>
        <v>147</v>
      </c>
      <c r="AF74" s="9" t="n">
        <f>ROUND($J74*1.637*1.75*2.1*2.3*2.6*3.2*4.2*2.4*2.5*2.8*3.2*1,0)</f>
        <v>5432653694000</v>
      </c>
      <c r="AG74" s="3">
        <f t="shared" si="38"/>
        <v>150</v>
      </c>
      <c r="AH74" s="10" t="n">
        <f>ROUND($J74*1.637*1.75*2.1*2.3*2.6*3.2*4.2*2.4*2.5*2.8*3.2*3.8*1,0)</f>
        <v>20644084037201</v>
      </c>
    </row>
    <row r="75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 t="n">
        <f>ROUND($J75*1.637*1.75*2.1*2.3*1,0)</f>
        <v>11761231125</v>
      </c>
      <c r="S75" s="5">
        <f t="shared" si="31"/>
        <v>131</v>
      </c>
      <c r="T75" s="9" t="n">
        <f>ROUND($J75*1.637*1.75*2.1*2.3*2.6*1,0)</f>
        <v>30579200925</v>
      </c>
      <c r="U75" s="3">
        <f t="shared" si="32"/>
        <v>134</v>
      </c>
      <c r="V75" s="10" t="n">
        <f>ROUND($J75*1.637*1.75*2.1*2.3*2.6*3.2*1,0)</f>
        <v>97853442960</v>
      </c>
      <c r="W75" s="5">
        <f t="shared" si="33"/>
        <v>138</v>
      </c>
      <c r="X75" s="9" t="n">
        <f>ROUND($J75*1.637*1.75*2.1*2.3*2.6*3.2*4.2*1,0)</f>
        <v>410984460432</v>
      </c>
      <c r="Y75" s="3">
        <f t="shared" si="34"/>
        <v>140</v>
      </c>
      <c r="Z75" s="10" t="n">
        <f>ROUND($J75*1.637*1.75*2.1*2.3*2.6*3.2*4.2*2.4*1,0)</f>
        <v>986362705037</v>
      </c>
      <c r="AA75" s="5">
        <f t="shared" si="35"/>
        <v>142</v>
      </c>
      <c r="AB75" s="9" t="n">
        <f>ROUND($J75*1.637*1.75*2.1*2.3*2.6*3.2*4.2*2.4*2.5*1,0)</f>
        <v>2465906762592</v>
      </c>
      <c r="AC75" s="3">
        <f t="shared" si="36"/>
        <v>144</v>
      </c>
      <c r="AD75" s="10" t="n">
        <f>ROUND($J75*1.637*1.75*2.1*2.3*2.6*3.2*4.2*2.4*2.5*2.8*1,0)</f>
        <v>6904538935258</v>
      </c>
      <c r="AE75" s="5">
        <f t="shared" si="37"/>
        <v>147</v>
      </c>
      <c r="AF75" s="9" t="n">
        <f>ROUND($J75*1.637*1.75*2.1*2.3*2.6*3.2*4.2*2.4*2.5*2.8*3.2*1,0)</f>
        <v>22094524592824</v>
      </c>
      <c r="AG75" s="3">
        <f t="shared" si="38"/>
        <v>150</v>
      </c>
      <c r="AH75" s="10" t="n">
        <f>ROUND($J75*1.637*1.75*2.1*2.3*2.6*3.2*4.2*2.4*2.5*2.8*3.2*3.8*1,0)</f>
        <v>83959193452732</v>
      </c>
    </row>
    <row r="76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 t="n">
        <f>ROUND($J76*1.637*1.75*2.1*2.3*1,0)</f>
        <v>3708246990</v>
      </c>
      <c r="S76" s="5">
        <f t="shared" si="31"/>
        <v>131</v>
      </c>
      <c r="T76" s="9" t="n">
        <f>ROUND($J76*1.637*1.75*2.1*2.3*2.6*1,0)</f>
        <v>9641442174</v>
      </c>
      <c r="U76" s="3">
        <f t="shared" si="32"/>
        <v>134</v>
      </c>
      <c r="V76" s="10" t="n">
        <f>ROUND($J76*1.637*1.75*2.1*2.3*2.6*3.2*1,0)</f>
        <v>30852614957</v>
      </c>
      <c r="W76" s="5">
        <f t="shared" si="33"/>
        <v>138</v>
      </c>
      <c r="X76" s="9" t="n">
        <f>ROUND($J76*1.637*1.75*2.1*2.3*2.6*3.2*4.2*1,0)</f>
        <v>129580982819</v>
      </c>
      <c r="Y76" s="3">
        <f t="shared" si="34"/>
        <v>140</v>
      </c>
      <c r="Z76" s="10" t="n">
        <f>ROUND($J76*1.637*1.75*2.1*2.3*2.6*3.2*4.2*2.4*1,0)</f>
        <v>310994358765</v>
      </c>
      <c r="AA76" s="5">
        <f t="shared" si="35"/>
        <v>142</v>
      </c>
      <c r="AB76" s="9" t="n">
        <f>ROUND($J76*1.637*1.75*2.1*2.3*2.6*3.2*4.2*2.4*2.5*1,0)</f>
        <v>777485896911</v>
      </c>
      <c r="AC76" s="3">
        <f t="shared" si="36"/>
        <v>144</v>
      </c>
      <c r="AD76" s="10" t="n">
        <f>ROUND($J76*1.637*1.75*2.1*2.3*2.6*3.2*4.2*2.4*2.5*2.8*1,0)</f>
        <v>2176960511352</v>
      </c>
      <c r="AE76" s="5">
        <f t="shared" si="37"/>
        <v>147</v>
      </c>
      <c r="AF76" s="9" t="n">
        <f>ROUND($J76*1.637*1.75*2.1*2.3*2.6*3.2*4.2*2.4*2.5*2.8*3.2*1,0)</f>
        <v>6966273636326</v>
      </c>
      <c r="AG76" s="3">
        <f t="shared" si="38"/>
        <v>150</v>
      </c>
      <c r="AH76" s="10" t="n">
        <f>ROUND($J76*1.637*1.75*2.1*2.3*2.6*3.2*4.2*2.4*2.5*2.8*3.2*3.8*1,0)</f>
        <v>26471839818038</v>
      </c>
    </row>
    <row r="77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 t="n">
        <f>ROUND($J77*1.637*1.75*2.1*2.3*1,0)</f>
        <v>12951190980</v>
      </c>
      <c r="S77" s="5">
        <f t="shared" si="31"/>
        <v>131</v>
      </c>
      <c r="T77" s="9" t="n">
        <f>ROUND($J77*1.637*1.75*2.1*2.3*2.6*1,0)</f>
        <v>33673096548</v>
      </c>
      <c r="U77" s="3">
        <f t="shared" si="32"/>
        <v>134</v>
      </c>
      <c r="V77" s="10" t="n">
        <f>ROUND($J77*1.637*1.75*2.1*2.3*2.6*3.2*1,0)</f>
        <v>107753908954</v>
      </c>
      <c r="W77" s="5">
        <f t="shared" si="33"/>
        <v>138</v>
      </c>
      <c r="X77" s="9" t="n">
        <f>ROUND($J77*1.637*1.75*2.1*2.3*2.6*3.2*4.2*1,0)</f>
        <v>452566417605</v>
      </c>
      <c r="Y77" s="3">
        <f t="shared" si="34"/>
        <v>140</v>
      </c>
      <c r="Z77" s="10" t="n">
        <f>ROUND($J77*1.637*1.75*2.1*2.3*2.6*3.2*4.2*2.4*1,0)</f>
        <v>1086159402252</v>
      </c>
      <c r="AA77" s="5">
        <f t="shared" si="35"/>
        <v>142</v>
      </c>
      <c r="AB77" s="9" t="n">
        <f>ROUND($J77*1.637*1.75*2.1*2.3*2.6*3.2*4.2*2.4*2.5*1,0)</f>
        <v>2715398505631</v>
      </c>
      <c r="AC77" s="3">
        <f t="shared" si="36"/>
        <v>144</v>
      </c>
      <c r="AD77" s="10" t="n">
        <f>ROUND($J77*1.637*1.75*2.1*2.3*2.6*3.2*4.2*2.4*2.5*2.8*1,0)</f>
        <v>7603115815766</v>
      </c>
      <c r="AE77" s="5">
        <f t="shared" si="37"/>
        <v>147</v>
      </c>
      <c r="AF77" s="9" t="n">
        <f>ROUND($J77*1.637*1.75*2.1*2.3*2.6*3.2*4.2*2.4*2.5*2.8*3.2*1,0)</f>
        <v>24329970610451</v>
      </c>
      <c r="AG77" s="3">
        <f t="shared" si="38"/>
        <v>150</v>
      </c>
      <c r="AH77" s="10" t="n">
        <f>ROUND($J77*1.637*1.75*2.1*2.3*2.6*3.2*4.2*2.4*2.5*2.8*3.2*3.8*1,0)</f>
        <v>92453888319715</v>
      </c>
    </row>
    <row r="78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 t="n">
        <f>ROUND($J78*1.637*1.75*2.1*2.3*1.25,0)</f>
        <v>159814375875</v>
      </c>
      <c r="S78" s="5">
        <f t="shared" si="31"/>
        <v>131</v>
      </c>
      <c r="T78" s="9" t="n">
        <f>ROUND($J78*1.637*1.75*2.1*2.3*2.6*1.25,0)</f>
        <v>415517377275</v>
      </c>
      <c r="U78" s="3">
        <f t="shared" si="32"/>
        <v>134</v>
      </c>
      <c r="V78" s="10" t="n">
        <f>ROUND($J78*1.637*1.75*2.1*2.3*2.6*3.2*1.25,0)</f>
        <v>1329655607280</v>
      </c>
      <c r="W78" s="5">
        <f t="shared" si="33"/>
        <v>138</v>
      </c>
      <c r="X78" s="9" t="n">
        <f>ROUND($J78*1.637*1.75*2.1*2.3*2.6*3.2*4.2*1.25,0)</f>
        <v>5584553550576</v>
      </c>
      <c r="Y78" s="3">
        <f t="shared" si="34"/>
        <v>140</v>
      </c>
      <c r="Z78" s="10" t="n">
        <f>ROUND($J78*1.637*1.75*2.1*2.3*2.6*3.2*4.2*2.4*1.25,0)</f>
        <v>13402928521382</v>
      </c>
      <c r="AA78" s="5">
        <f t="shared" si="35"/>
        <v>142</v>
      </c>
      <c r="AB78" s="9" t="n">
        <f>ROUND($J78*1.637*1.75*2.1*2.3*2.6*3.2*4.2*2.4*2.5*1.25,0)</f>
        <v>33507321303456</v>
      </c>
      <c r="AC78" s="3">
        <f t="shared" si="36"/>
        <v>144</v>
      </c>
      <c r="AD78" s="10" t="n">
        <f>ROUND($J78*1.637*1.75*2.1*2.3*2.6*3.2*4.2*2.4*2.5*2.8*1.25,0)</f>
        <v>93820499649677</v>
      </c>
      <c r="AE78" s="5">
        <f t="shared" si="37"/>
        <v>147</v>
      </c>
      <c r="AF78" s="9" t="n">
        <f>ROUND($J78*1.637*1.75*2.1*2.3*2.6*3.2*4.2*2.4*2.5*2.8*3.2*1.25,0)</f>
        <v>300225598878966</v>
      </c>
      <c r="AG78" s="3">
        <f t="shared" si="38"/>
        <v>150</v>
      </c>
      <c r="AH78" s="10" t="n">
        <f>ROUND($J78*1.637*1.75*2.1*2.3*2.6*3.2*4.2*2.4*2.5*2.8*3.2*3.8*1.25,0)</f>
        <v>1140857275740070</v>
      </c>
    </row>
    <row r="79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 t="n">
        <f>ROUND($J79*1.637*1.75*2.1*2.3*1.25,0)</f>
        <v>113807207063</v>
      </c>
      <c r="S79" s="5">
        <f t="shared" si="31"/>
        <v>131</v>
      </c>
      <c r="T79" s="9" t="n">
        <f>ROUND($J79*1.637*1.75*2.1*2.3*2.6*1.25,0)</f>
        <v>295898738363</v>
      </c>
      <c r="U79" s="3">
        <f t="shared" si="32"/>
        <v>134</v>
      </c>
      <c r="V79" s="10" t="n">
        <f>ROUND($J79*1.637*1.75*2.1*2.3*2.6*3.2*1.25,0)</f>
        <v>946875962760</v>
      </c>
      <c r="W79" s="5">
        <f t="shared" si="33"/>
        <v>138</v>
      </c>
      <c r="X79" s="9" t="n">
        <f>ROUND($J79*1.637*1.75*2.1*2.3*2.6*3.2*4.2*1.25,0)</f>
        <v>3976879043592</v>
      </c>
      <c r="Y79" s="3">
        <f t="shared" si="34"/>
        <v>140</v>
      </c>
      <c r="Z79" s="10" t="n">
        <f>ROUND($J79*1.637*1.75*2.1*2.3*2.6*3.2*4.2*2.4*1.25,0)</f>
        <v>9544509704621</v>
      </c>
      <c r="AA79" s="5">
        <f t="shared" si="35"/>
        <v>142</v>
      </c>
      <c r="AB79" s="9" t="n">
        <f>ROUND($J79*1.637*1.75*2.1*2.3*2.6*3.2*4.2*2.4*2.5*1.25,0)</f>
        <v>23861274261552</v>
      </c>
      <c r="AC79" s="3">
        <f t="shared" si="36"/>
        <v>144</v>
      </c>
      <c r="AD79" s="10" t="n">
        <f>ROUND($J79*1.637*1.75*2.1*2.3*2.6*3.2*4.2*2.4*2.5*2.8*1.25,0)</f>
        <v>66811567932346</v>
      </c>
      <c r="AE79" s="5">
        <f t="shared" si="37"/>
        <v>147</v>
      </c>
      <c r="AF79" s="9" t="n">
        <f>ROUND($J79*1.637*1.75*2.1*2.3*2.6*3.2*4.2*2.4*2.5*2.8*3.2*1.25,0)</f>
        <v>213797017383506</v>
      </c>
      <c r="AG79" s="3">
        <f t="shared" si="38"/>
        <v>150</v>
      </c>
      <c r="AH79" s="10" t="n">
        <f>ROUND($J79*1.637*1.75*2.1*2.3*2.6*3.2*4.2*2.4*2.5*2.8*3.2*3.8*1.25,0)</f>
        <v>812428666057322</v>
      </c>
    </row>
    <row r="80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 t="n">
        <f>ROUND($J80*1.637*1.75*2.1*2.3*1,0)</f>
        <v>7347310268</v>
      </c>
      <c r="S80" s="5">
        <f t="shared" si="31"/>
        <v>130</v>
      </c>
      <c r="T80" s="9" t="n">
        <f>ROUND($J80*1.637*1.75*2.1*2.3*2.6*1,0)</f>
        <v>19103006696</v>
      </c>
      <c r="U80" s="3">
        <f t="shared" si="32"/>
        <v>133</v>
      </c>
      <c r="V80" s="10" t="n">
        <f>ROUND($J80*1.637*1.75*2.1*2.3*2.6*3.2*1,0)</f>
        <v>61129621426</v>
      </c>
      <c r="W80" s="5">
        <f t="shared" si="33"/>
        <v>137</v>
      </c>
      <c r="X80" s="9" t="n">
        <f>ROUND($J80*1.637*1.75*2.1*2.3*2.6*3.2*4.2*1,0)</f>
        <v>256744409988</v>
      </c>
      <c r="Y80" s="3">
        <f t="shared" si="34"/>
        <v>139</v>
      </c>
      <c r="Z80" s="10" t="n">
        <f>ROUND($J80*1.637*1.75*2.1*2.3*2.6*3.2*4.2*2.4*1,0)</f>
        <v>616186583970</v>
      </c>
      <c r="AA80" s="5">
        <f t="shared" si="35"/>
        <v>141</v>
      </c>
      <c r="AB80" s="9" t="n">
        <f>ROUND($J80*1.637*1.75*2.1*2.3*2.6*3.2*4.2*2.4*2.5*1,0)</f>
        <v>1540466459925</v>
      </c>
      <c r="AC80" s="3">
        <f t="shared" si="36"/>
        <v>143</v>
      </c>
      <c r="AD80" s="10" t="n">
        <f>ROUND($J80*1.637*1.75*2.1*2.3*2.6*3.2*4.2*2.4*2.5*2.8*1,0)</f>
        <v>4313306087790</v>
      </c>
      <c r="AE80" s="5">
        <f t="shared" si="37"/>
        <v>146</v>
      </c>
      <c r="AF80" s="9" t="n">
        <f>ROUND($J80*1.637*1.75*2.1*2.3*2.6*3.2*4.2*2.4*2.5*2.8*3.2*1,0)</f>
        <v>13802579480929</v>
      </c>
      <c r="AG80" s="3">
        <f t="shared" si="38"/>
        <v>149</v>
      </c>
      <c r="AH80" s="10" t="n">
        <f>ROUND($J80*1.637*1.75*2.1*2.3*2.6*3.2*4.2*2.4*2.5*2.8*3.2*3.8*1,0)</f>
        <v>52449802027531</v>
      </c>
    </row>
    <row r="8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 t="n">
        <f>ROUND($J81*1.637*1.75*2.1*2.3*1,0)</f>
        <v>4981227300</v>
      </c>
      <c r="S81" s="5">
        <f t="shared" si="31"/>
        <v>130</v>
      </c>
      <c r="T81" s="9" t="n">
        <f>ROUND($J81*1.637*1.75*2.1*2.3*2.6*1,0)</f>
        <v>12951190980</v>
      </c>
      <c r="U81" s="3">
        <f t="shared" si="32"/>
        <v>133</v>
      </c>
      <c r="V81" s="10" t="n">
        <f>ROUND($J81*1.637*1.75*2.1*2.3*2.6*3.2*1,0)</f>
        <v>41443811136</v>
      </c>
      <c r="W81" s="5">
        <f t="shared" si="33"/>
        <v>137</v>
      </c>
      <c r="X81" s="9" t="n">
        <f>ROUND($J81*1.637*1.75*2.1*2.3*2.6*3.2*4.2*1,0)</f>
        <v>174064006771</v>
      </c>
      <c r="Y81" s="3">
        <f t="shared" si="34"/>
        <v>139</v>
      </c>
      <c r="Z81" s="10" t="n">
        <f>ROUND($J81*1.637*1.75*2.1*2.3*2.6*3.2*4.2*2.4*1,0)</f>
        <v>417753616251</v>
      </c>
      <c r="AA81" s="5">
        <f t="shared" si="35"/>
        <v>141</v>
      </c>
      <c r="AB81" s="9" t="n">
        <f>ROUND($J81*1.637*1.75*2.1*2.3*2.6*3.2*4.2*2.4*2.5*1,0)</f>
        <v>1044384040627</v>
      </c>
      <c r="AC81" s="3">
        <f t="shared" si="36"/>
        <v>143</v>
      </c>
      <c r="AD81" s="10" t="n">
        <f>ROUND($J81*1.637*1.75*2.1*2.3*2.6*3.2*4.2*2.4*2.5*2.8*1,0)</f>
        <v>2924275313756</v>
      </c>
      <c r="AE81" s="5">
        <f t="shared" si="37"/>
        <v>146</v>
      </c>
      <c r="AF81" s="9" t="n">
        <f>ROUND($J81*1.637*1.75*2.1*2.3*2.6*3.2*4.2*2.4*2.5*2.8*3.2*1,0)</f>
        <v>9357681004020</v>
      </c>
      <c r="AG81" s="3">
        <f t="shared" si="38"/>
        <v>149</v>
      </c>
      <c r="AH81" s="10" t="n">
        <f>ROUND($J81*1.637*1.75*2.1*2.3*2.6*3.2*4.2*2.4*2.5*2.8*3.2*3.8*1,0)</f>
        <v>35559187815275</v>
      </c>
    </row>
    <row r="82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 t="n">
        <f>ROUND($J82*1.637*1.75*2.1*2.3*1,0)</f>
        <v>4348888168</v>
      </c>
      <c r="S82" s="5">
        <f t="shared" si="31"/>
        <v>130</v>
      </c>
      <c r="T82" s="9" t="n">
        <f>ROUND($J82*1.637*1.75*2.1*2.3*2.6*1,0)</f>
        <v>11307109236</v>
      </c>
      <c r="U82" s="3">
        <f t="shared" si="32"/>
        <v>133</v>
      </c>
      <c r="V82" s="10" t="n">
        <f>ROUND($J82*1.637*1.75*2.1*2.3*2.6*3.2*1,0)</f>
        <v>36182749556</v>
      </c>
      <c r="W82" s="5">
        <f t="shared" si="33"/>
        <v>137</v>
      </c>
      <c r="X82" s="9" t="n">
        <f>ROUND($J82*1.637*1.75*2.1*2.3*2.6*3.2*4.2*1,0)</f>
        <v>151967548134</v>
      </c>
      <c r="Y82" s="3">
        <f t="shared" si="34"/>
        <v>139</v>
      </c>
      <c r="Z82" s="10" t="n">
        <f>ROUND($J82*1.637*1.75*2.1*2.3*2.6*3.2*4.2*2.4*1,0)</f>
        <v>364722115521</v>
      </c>
      <c r="AA82" s="5">
        <f t="shared" si="35"/>
        <v>141</v>
      </c>
      <c r="AB82" s="9" t="n">
        <f>ROUND($J82*1.637*1.75*2.1*2.3*2.6*3.2*4.2*2.4*2.5*1,0)</f>
        <v>911805288803</v>
      </c>
      <c r="AC82" s="3">
        <f t="shared" si="36"/>
        <v>143</v>
      </c>
      <c r="AD82" s="10" t="n">
        <f>ROUND($J82*1.637*1.75*2.1*2.3*2.6*3.2*4.2*2.4*2.5*2.8*1,0)</f>
        <v>2553054808649</v>
      </c>
      <c r="AE82" s="5">
        <f t="shared" si="37"/>
        <v>146</v>
      </c>
      <c r="AF82" s="9" t="n">
        <f>ROUND($J82*1.637*1.75*2.1*2.3*2.6*3.2*4.2*2.4*2.5*2.8*3.2*1,0)</f>
        <v>8169775387676</v>
      </c>
      <c r="AG82" s="3">
        <f t="shared" si="38"/>
        <v>149</v>
      </c>
      <c r="AH82" s="10" t="n">
        <f>ROUND($J82*1.637*1.75*2.1*2.3*2.6*3.2*4.2*2.4*2.5*2.8*3.2*3.8*1,0)</f>
        <v>31045146473169</v>
      </c>
    </row>
    <row r="83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 t="n">
        <f>ROUND($J83*1.637*1.75*2.1*2.3*1.25,0)</f>
        <v>46716301866</v>
      </c>
      <c r="S83" s="5">
        <f t="shared" si="31"/>
        <v>130</v>
      </c>
      <c r="T83" s="9" t="n">
        <f>ROUND($J83*1.637*1.75*2.1*2.3*2.6*1.25,0)</f>
        <v>121462384851</v>
      </c>
      <c r="U83" s="3">
        <f t="shared" si="32"/>
        <v>133</v>
      </c>
      <c r="V83" s="10" t="n">
        <f>ROUND($J83*1.637*1.75*2.1*2.3*2.6*3.2*1.25,0)</f>
        <v>388679631522</v>
      </c>
      <c r="W83" s="5">
        <f t="shared" si="33"/>
        <v>137</v>
      </c>
      <c r="X83" s="9" t="n">
        <f>ROUND($J83*1.637*1.75*2.1*2.3*2.6*3.2*4.2*1.25,0)</f>
        <v>1632454452392</v>
      </c>
      <c r="Y83" s="3">
        <f t="shared" si="34"/>
        <v>139</v>
      </c>
      <c r="Z83" s="10" t="n">
        <f>ROUND($J83*1.637*1.75*2.1*2.3*2.6*3.2*4.2*2.4*1.25,0)</f>
        <v>3917890685742</v>
      </c>
      <c r="AA83" s="5">
        <f t="shared" si="35"/>
        <v>141</v>
      </c>
      <c r="AB83" s="9" t="n">
        <f>ROUND($J83*1.637*1.75*2.1*2.3*2.6*3.2*4.2*2.4*2.5*1.25,0)</f>
        <v>9794726714354</v>
      </c>
      <c r="AC83" s="3">
        <f t="shared" si="36"/>
        <v>143</v>
      </c>
      <c r="AD83" s="10" t="n">
        <f>ROUND($J83*1.637*1.75*2.1*2.3*2.6*3.2*4.2*2.4*2.5*2.8*1.25,0)</f>
        <v>27425234800192</v>
      </c>
      <c r="AE83" s="5">
        <f t="shared" si="37"/>
        <v>146</v>
      </c>
      <c r="AF83" s="9" t="n">
        <f>ROUND($J83*1.637*1.75*2.1*2.3*2.6*3.2*4.2*2.4*2.5*2.8*3.2*1.25,0)</f>
        <v>87760751360615</v>
      </c>
      <c r="AG83" s="3">
        <f t="shared" si="38"/>
        <v>149</v>
      </c>
      <c r="AH83" s="10" t="n">
        <f>ROUND($J83*1.637*1.75*2.1*2.3*2.6*3.2*4.2*2.4*2.5*2.8*3.2*3.8*1.25,0)</f>
        <v>333490855170339</v>
      </c>
    </row>
    <row r="84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 t="n">
        <f>ROUND($J84*1.637*1.75*2.1*2.3*1.25,0)</f>
        <v>71259223875</v>
      </c>
      <c r="S84" s="5">
        <f t="shared" si="31"/>
        <v>130</v>
      </c>
      <c r="T84" s="9" t="n">
        <f>ROUND($J84*1.637*1.75*2.1*2.3*2.6*1.25,0)</f>
        <v>185273982075</v>
      </c>
      <c r="U84" s="3">
        <f t="shared" si="32"/>
        <v>133</v>
      </c>
      <c r="V84" s="10" t="n">
        <f>ROUND($J84*1.637*1.75*2.1*2.3*2.6*3.2*1.25,0)</f>
        <v>592876742640</v>
      </c>
      <c r="W84" s="5">
        <f t="shared" si="33"/>
        <v>137</v>
      </c>
      <c r="X84" s="9" t="n">
        <f>ROUND($J84*1.637*1.75*2.1*2.3*2.6*3.2*4.2*1.25,0)</f>
        <v>2490082319088</v>
      </c>
      <c r="Y84" s="3">
        <f t="shared" si="34"/>
        <v>139</v>
      </c>
      <c r="Z84" s="10" t="n">
        <f>ROUND($J84*1.637*1.75*2.1*2.3*2.6*3.2*4.2*2.4*1.25,0)</f>
        <v>5976197565811</v>
      </c>
      <c r="AA84" s="5">
        <f t="shared" si="35"/>
        <v>141</v>
      </c>
      <c r="AB84" s="9" t="n">
        <f>ROUND($J84*1.637*1.75*2.1*2.3*2.6*3.2*4.2*2.4*2.5*1.25,0)</f>
        <v>14940493914528</v>
      </c>
      <c r="AC84" s="3">
        <f t="shared" si="36"/>
        <v>143</v>
      </c>
      <c r="AD84" s="10" t="n">
        <f>ROUND($J84*1.637*1.75*2.1*2.3*2.6*3.2*4.2*2.4*2.5*2.8*1.25,0)</f>
        <v>41833382960678</v>
      </c>
      <c r="AE84" s="5">
        <f t="shared" si="37"/>
        <v>146</v>
      </c>
      <c r="AF84" s="9" t="n">
        <f>ROUND($J84*1.637*1.75*2.1*2.3*2.6*3.2*4.2*2.4*2.5*2.8*3.2*1.25,0)</f>
        <v>133866825474171</v>
      </c>
      <c r="AG84" s="3">
        <f t="shared" si="38"/>
        <v>149</v>
      </c>
      <c r="AH84" s="10" t="n">
        <f>ROUND($J84*1.637*1.75*2.1*2.3*2.6*3.2*4.2*2.4*2.5*2.8*3.2*3.8*1.25,0)</f>
        <v>508693936801849</v>
      </c>
    </row>
    <row r="85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 t="n">
        <f>ROUND($J85*1.637*1.75*2.1*2.3*1,0)</f>
        <v>9422821643</v>
      </c>
      <c r="S85" s="5">
        <f t="shared" si="31"/>
        <v>130</v>
      </c>
      <c r="T85" s="9" t="n">
        <f>ROUND($J85*1.637*1.75*2.1*2.3*2.6*1,0)</f>
        <v>24499336271</v>
      </c>
      <c r="U85" s="3">
        <f t="shared" si="32"/>
        <v>133</v>
      </c>
      <c r="V85" s="10" t="n">
        <f>ROUND($J85*1.637*1.75*2.1*2.3*2.6*3.2*1,0)</f>
        <v>78397876066</v>
      </c>
      <c r="W85" s="5">
        <f t="shared" si="33"/>
        <v>137</v>
      </c>
      <c r="X85" s="9" t="n">
        <f>ROUND($J85*1.637*1.75*2.1*2.3*2.6*3.2*4.2*1,0)</f>
        <v>329271079476</v>
      </c>
      <c r="Y85" s="3">
        <f t="shared" si="34"/>
        <v>139</v>
      </c>
      <c r="Z85" s="10" t="n">
        <f>ROUND($J85*1.637*1.75*2.1*2.3*2.6*3.2*4.2*2.4*1,0)</f>
        <v>790250590741</v>
      </c>
      <c r="AA85" s="5">
        <f t="shared" si="35"/>
        <v>141</v>
      </c>
      <c r="AB85" s="9" t="n">
        <f>ROUND($J85*1.637*1.75*2.1*2.3*2.6*3.2*4.2*2.4*2.5*1,0)</f>
        <v>1975626476853</v>
      </c>
      <c r="AC85" s="3">
        <f t="shared" si="36"/>
        <v>143</v>
      </c>
      <c r="AD85" s="10" t="n">
        <f>ROUND($J85*1.637*1.75*2.1*2.3*2.6*3.2*4.2*2.4*2.5*2.8*1,0)</f>
        <v>5531754135189</v>
      </c>
      <c r="AE85" s="5">
        <f t="shared" si="37"/>
        <v>146</v>
      </c>
      <c r="AF85" s="9" t="n">
        <f>ROUND($J85*1.637*1.75*2.1*2.3*2.6*3.2*4.2*2.4*2.5*2.8*3.2*1,0)</f>
        <v>17701613232604</v>
      </c>
      <c r="AG85" s="3">
        <f t="shared" si="38"/>
        <v>149</v>
      </c>
      <c r="AH85" s="10" t="n">
        <f>ROUND($J85*1.637*1.75*2.1*2.3*2.6*3.2*4.2*2.4*2.5*2.8*3.2*3.8*1,0)</f>
        <v>67266130283895</v>
      </c>
    </row>
    <row r="86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 t="n">
        <f>ROUND($J86*1.637*1.75*2.1*2.3*1,0)</f>
        <v>3984981840</v>
      </c>
      <c r="S86" s="5">
        <f t="shared" si="31"/>
        <v>130</v>
      </c>
      <c r="T86" s="9" t="n">
        <f>ROUND($J86*1.637*1.75*2.1*2.3*2.6*1,0)</f>
        <v>10360952784</v>
      </c>
      <c r="U86" s="3">
        <f t="shared" si="32"/>
        <v>133</v>
      </c>
      <c r="V86" s="10" t="n">
        <f>ROUND($J86*1.637*1.75*2.1*2.3*2.6*3.2*1,0)</f>
        <v>33155048909</v>
      </c>
      <c r="W86" s="5">
        <f t="shared" si="33"/>
        <v>137</v>
      </c>
      <c r="X86" s="9" t="n">
        <f>ROUND($J86*1.637*1.75*2.1*2.3*2.6*3.2*4.2*1,0)</f>
        <v>139251205417</v>
      </c>
      <c r="Y86" s="3">
        <f t="shared" si="34"/>
        <v>139</v>
      </c>
      <c r="Z86" s="10" t="n">
        <f>ROUND($J86*1.637*1.75*2.1*2.3*2.6*3.2*4.2*2.4*1,0)</f>
        <v>334202893001</v>
      </c>
      <c r="AA86" s="5">
        <f t="shared" si="35"/>
        <v>141</v>
      </c>
      <c r="AB86" s="9" t="n">
        <f>ROUND($J86*1.637*1.75*2.1*2.3*2.6*3.2*4.2*2.4*2.5*1,0)</f>
        <v>835507232502</v>
      </c>
      <c r="AC86" s="3">
        <f t="shared" si="36"/>
        <v>143</v>
      </c>
      <c r="AD86" s="10" t="n">
        <f>ROUND($J86*1.637*1.75*2.1*2.3*2.6*3.2*4.2*2.4*2.5*2.8*1,0)</f>
        <v>2339420251005</v>
      </c>
      <c r="AE86" s="5">
        <f t="shared" si="37"/>
        <v>146</v>
      </c>
      <c r="AF86" s="9" t="n">
        <f>ROUND($J86*1.637*1.75*2.1*2.3*2.6*3.2*4.2*2.4*2.5*2.8*3.2*1,0)</f>
        <v>7486144803216</v>
      </c>
      <c r="AG86" s="3">
        <f t="shared" si="38"/>
        <v>149</v>
      </c>
      <c r="AH86" s="10" t="n">
        <f>ROUND($J86*1.637*1.75*2.1*2.3*2.6*3.2*4.2*2.4*2.5*2.8*3.2*3.8*1,0)</f>
        <v>28447350252220</v>
      </c>
    </row>
    <row r="87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 t="n">
        <f>ROUND($J87*1.637*1.75*2.1*2.3*1.25,0)</f>
        <v>38051041875</v>
      </c>
      <c r="S87" s="5">
        <f t="shared" si="31"/>
        <v>130</v>
      </c>
      <c r="T87" s="9" t="n">
        <f>ROUND($J87*1.637*1.75*2.1*2.3*2.6*1.25,0)</f>
        <v>98932708875</v>
      </c>
      <c r="U87" s="3">
        <f t="shared" si="32"/>
        <v>133</v>
      </c>
      <c r="V87" s="10" t="n">
        <f>ROUND($J87*1.637*1.75*2.1*2.3*2.6*3.2*1.25,0)</f>
        <v>316584668400</v>
      </c>
      <c r="W87" s="5">
        <f t="shared" si="33"/>
        <v>137</v>
      </c>
      <c r="X87" s="9" t="n">
        <f>ROUND($J87*1.637*1.75*2.1*2.3*2.6*3.2*4.2*1.25,0)</f>
        <v>1329655607280</v>
      </c>
      <c r="Y87" s="3">
        <f t="shared" si="34"/>
        <v>139</v>
      </c>
      <c r="Z87" s="10" t="n">
        <f>ROUND($J87*1.637*1.75*2.1*2.3*2.6*3.2*4.2*2.4*1.25,0)</f>
        <v>3191173457472</v>
      </c>
      <c r="AA87" s="5">
        <f t="shared" si="35"/>
        <v>141</v>
      </c>
      <c r="AB87" s="9" t="n">
        <f>ROUND($J87*1.637*1.75*2.1*2.3*2.6*3.2*4.2*2.4*2.5*1.25,0)</f>
        <v>7977933643680</v>
      </c>
      <c r="AC87" s="3">
        <f t="shared" si="36"/>
        <v>143</v>
      </c>
      <c r="AD87" s="10" t="n">
        <f>ROUND($J87*1.637*1.75*2.1*2.3*2.6*3.2*4.2*2.4*2.5*2.8*1.25,0)</f>
        <v>22338214202304</v>
      </c>
      <c r="AE87" s="5">
        <f t="shared" si="37"/>
        <v>146</v>
      </c>
      <c r="AF87" s="9" t="n">
        <f>ROUND($J87*1.637*1.75*2.1*2.3*2.6*3.2*4.2*2.4*2.5*2.8*3.2*1.25,0)</f>
        <v>71482285447373</v>
      </c>
      <c r="AG87" s="3">
        <f t="shared" si="38"/>
        <v>149</v>
      </c>
      <c r="AH87" s="10" t="n">
        <f>ROUND($J87*1.637*1.75*2.1*2.3*2.6*3.2*4.2*2.4*2.5*2.8*3.2*3.8*1.25,0)</f>
        <v>271632684700017</v>
      </c>
    </row>
    <row r="88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 t="n">
        <f>ROUND($J88*1.637*1.75*2.1*2.3*1.25,0)</f>
        <v>38742879000</v>
      </c>
      <c r="S88" s="5">
        <f t="shared" si="31"/>
        <v>130</v>
      </c>
      <c r="T88" s="9" t="n">
        <f>ROUND($J88*1.637*1.75*2.1*2.3*2.6*1.25,0)</f>
        <v>100731485400</v>
      </c>
      <c r="U88" s="3">
        <f t="shared" si="32"/>
        <v>133</v>
      </c>
      <c r="V88" s="10" t="n">
        <f>ROUND($J88*1.637*1.75*2.1*2.3*2.6*3.2*1.25,0)</f>
        <v>322340753280</v>
      </c>
      <c r="W88" s="5">
        <f t="shared" si="33"/>
        <v>137</v>
      </c>
      <c r="X88" s="9" t="n">
        <f>ROUND($J88*1.637*1.75*2.1*2.3*2.6*3.2*4.2*1.25,0)</f>
        <v>1353831163776</v>
      </c>
      <c r="Y88" s="3">
        <f t="shared" si="34"/>
        <v>139</v>
      </c>
      <c r="Z88" s="10" t="n">
        <f>ROUND($J88*1.637*1.75*2.1*2.3*2.6*3.2*4.2*2.4*1.25,0)</f>
        <v>3249194793062</v>
      </c>
      <c r="AA88" s="5">
        <f t="shared" si="35"/>
        <v>141</v>
      </c>
      <c r="AB88" s="9" t="n">
        <f>ROUND($J88*1.637*1.75*2.1*2.3*2.6*3.2*4.2*2.4*2.5*1.25,0)</f>
        <v>8122986982656</v>
      </c>
      <c r="AC88" s="3">
        <f t="shared" si="36"/>
        <v>143</v>
      </c>
      <c r="AD88" s="10" t="n">
        <f>ROUND($J88*1.637*1.75*2.1*2.3*2.6*3.2*4.2*2.4*2.5*2.8*1.25,0)</f>
        <v>22744363551437</v>
      </c>
      <c r="AE88" s="5">
        <f t="shared" si="37"/>
        <v>146</v>
      </c>
      <c r="AF88" s="9" t="n">
        <f>ROUND($J88*1.637*1.75*2.1*2.3*2.6*3.2*4.2*2.4*2.5*2.8*3.2*1.25,0)</f>
        <v>72781963364598</v>
      </c>
      <c r="AG88" s="3">
        <f t="shared" si="38"/>
        <v>149</v>
      </c>
      <c r="AH88" s="10" t="n">
        <f>ROUND($J88*1.637*1.75*2.1*2.3*2.6*3.2*4.2*2.4*2.5*2.8*3.2*3.8*1.25,0)</f>
        <v>276571460785471</v>
      </c>
    </row>
    <row r="89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 t="n">
        <f>ROUND($J89*1.637*1.75*2.1*2.3*1,0)</f>
        <v>7073342766</v>
      </c>
      <c r="S89" s="5">
        <f t="shared" si="31"/>
        <v>130</v>
      </c>
      <c r="T89" s="9" t="n">
        <f>ROUND($J89*1.637*1.75*2.1*2.3*2.6*1,0)</f>
        <v>18390691192</v>
      </c>
      <c r="U89" s="3">
        <f t="shared" si="32"/>
        <v>133</v>
      </c>
      <c r="V89" s="10" t="n">
        <f>ROUND($J89*1.637*1.75*2.1*2.3*2.6*3.2*1,0)</f>
        <v>58850211813</v>
      </c>
      <c r="W89" s="5">
        <f t="shared" si="33"/>
        <v>137</v>
      </c>
      <c r="X89" s="9" t="n">
        <f>ROUND($J89*1.637*1.75*2.1*2.3*2.6*3.2*4.2*1,0)</f>
        <v>247170889615</v>
      </c>
      <c r="Y89" s="3">
        <f t="shared" si="34"/>
        <v>139</v>
      </c>
      <c r="Z89" s="10" t="n">
        <f>ROUND($J89*1.637*1.75*2.1*2.3*2.6*3.2*4.2*2.4*1,0)</f>
        <v>593210135076</v>
      </c>
      <c r="AA89" s="5">
        <f t="shared" si="35"/>
        <v>141</v>
      </c>
      <c r="AB89" s="9" t="n">
        <f>ROUND($J89*1.637*1.75*2.1*2.3*2.6*3.2*4.2*2.4*2.5*1,0)</f>
        <v>1483025337691</v>
      </c>
      <c r="AC89" s="3">
        <f t="shared" si="36"/>
        <v>143</v>
      </c>
      <c r="AD89" s="10" t="n">
        <f>ROUND($J89*1.637*1.75*2.1*2.3*2.6*3.2*4.2*2.4*2.5*2.8*1,0)</f>
        <v>4152470945534</v>
      </c>
      <c r="AE89" s="5">
        <f t="shared" si="37"/>
        <v>146</v>
      </c>
      <c r="AF89" s="9" t="n">
        <f>ROUND($J89*1.637*1.75*2.1*2.3*2.6*3.2*4.2*2.4*2.5*2.8*3.2*1,0)</f>
        <v>13287907025708</v>
      </c>
      <c r="AG89" s="3">
        <f t="shared" si="38"/>
        <v>149</v>
      </c>
      <c r="AH89" s="10" t="n">
        <f>ROUND($J89*1.637*1.75*2.1*2.3*2.6*3.2*4.2*2.4*2.5*2.8*3.2*3.8*1,0)</f>
        <v>50494046697690</v>
      </c>
    </row>
    <row r="90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 t="n">
        <f>ROUND($J90*1.637*1.75*2.1*2.3*1,0)</f>
        <v>7942290195</v>
      </c>
      <c r="S90" s="5">
        <f t="shared" si="31"/>
        <v>130</v>
      </c>
      <c r="T90" s="9" t="n">
        <f>ROUND($J90*1.637*1.75*2.1*2.3*2.6*1,0)</f>
        <v>20649954507</v>
      </c>
      <c r="U90" s="3">
        <f t="shared" si="32"/>
        <v>133</v>
      </c>
      <c r="V90" s="10" t="n">
        <f>ROUND($J90*1.637*1.75*2.1*2.3*2.6*3.2*1,0)</f>
        <v>66079854422</v>
      </c>
      <c r="W90" s="5">
        <f t="shared" si="33"/>
        <v>137</v>
      </c>
      <c r="X90" s="9" t="n">
        <f>ROUND($J90*1.637*1.75*2.1*2.3*2.6*3.2*4.2*1,0)</f>
        <v>277535388574</v>
      </c>
      <c r="Y90" s="3">
        <f t="shared" si="34"/>
        <v>139</v>
      </c>
      <c r="Z90" s="10" t="n">
        <f>ROUND($J90*1.637*1.75*2.1*2.3*2.6*3.2*4.2*2.4*1,0)</f>
        <v>666084932578</v>
      </c>
      <c r="AA90" s="5">
        <f t="shared" si="35"/>
        <v>141</v>
      </c>
      <c r="AB90" s="9" t="n">
        <f>ROUND($J90*1.637*1.75*2.1*2.3*2.6*3.2*4.2*2.4*2.5*1,0)</f>
        <v>1665212331444</v>
      </c>
      <c r="AC90" s="3">
        <f t="shared" si="36"/>
        <v>143</v>
      </c>
      <c r="AD90" s="10" t="n">
        <f>ROUND($J90*1.637*1.75*2.1*2.3*2.6*3.2*4.2*2.4*2.5*2.8*1,0)</f>
        <v>4662594528045</v>
      </c>
      <c r="AE90" s="5">
        <f t="shared" si="37"/>
        <v>146</v>
      </c>
      <c r="AF90" s="9" t="n">
        <f>ROUND($J90*1.637*1.75*2.1*2.3*2.6*3.2*4.2*2.4*2.5*2.8*3.2*1,0)</f>
        <v>14920302489743</v>
      </c>
      <c r="AG90" s="3">
        <f t="shared" si="38"/>
        <v>149</v>
      </c>
      <c r="AH90" s="10" t="n">
        <f>ROUND($J90*1.637*1.75*2.1*2.3*2.6*3.2*4.2*2.4*2.5*2.8*3.2*3.8*1,0)</f>
        <v>56697149461022</v>
      </c>
    </row>
    <row r="9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 t="n">
        <f>ROUND($J91*1.637*0.8,0)</f>
        <v>239656800</v>
      </c>
      <c r="M91" s="3">
        <f t="shared" si="28"/>
        <v>124</v>
      </c>
      <c r="N91" s="10" t="n">
        <f>ROUND($J91*1.637*1.75*0.8,0)</f>
        <v>419399400</v>
      </c>
      <c r="O91" s="5">
        <f t="shared" si="29"/>
        <v>126</v>
      </c>
      <c r="P91" s="9" t="n">
        <f>ROUND($J91*1.637*1.75*2.1*0.8,0)</f>
        <v>880738740</v>
      </c>
      <c r="Q91" s="3">
        <f t="shared" si="30"/>
        <v>128</v>
      </c>
      <c r="R91" s="10" t="n">
        <f>ROUND($J91*1.637*1.75*2.1*2.3*0.542035092435954,0)</f>
        <v>1372500000</v>
      </c>
      <c r="S91" s="5">
        <f t="shared" si="31"/>
        <v>130</v>
      </c>
      <c r="T91" s="9" t="n">
        <f>ROUND($J91*1.637*1.75*2.1*2.3*2.6*0.544690061623969,0)</f>
        <v>3585979048</v>
      </c>
      <c r="U91" s="3">
        <f t="shared" si="32"/>
        <v>133</v>
      </c>
      <c r="V91" s="10" t="n">
        <f>ROUND($J91*1.637*1.75*2.1*2.3*2.6*3.2*0.547345030811984,0)</f>
        <v>11531065909</v>
      </c>
      <c r="W91" s="5">
        <f t="shared" si="33"/>
        <v>137</v>
      </c>
      <c r="X91" s="9" t="n">
        <f>ROUND($J91*1.637*1.75*2.1*2.3*2.6*3.2*4.2*0.55,0)</f>
        <v>48665395226</v>
      </c>
      <c r="Y91" s="3">
        <f t="shared" si="34"/>
        <v>139</v>
      </c>
      <c r="Z91" s="10" t="n">
        <f>ROUND($J91*1.637*1.75*2.1*2.3*2.6*3.2*4.2*2.4*0.55,0)</f>
        <v>116796948543</v>
      </c>
      <c r="AA91" s="5">
        <f t="shared" si="35"/>
        <v>141</v>
      </c>
      <c r="AB91" s="9" t="n">
        <f>ROUND($J91*1.637*1.75*2.1*2.3*2.6*3.2*4.2*2.4*2.5*0.55,0)</f>
        <v>291992371359</v>
      </c>
      <c r="AC91" s="3">
        <f t="shared" si="36"/>
        <v>143</v>
      </c>
      <c r="AD91" s="10" t="n">
        <f>ROUND($J91*1.637*1.75*2.1*2.3*2.6*3.2*4.2*2.4*2.5*2.8*0.55,0)</f>
        <v>817578639804</v>
      </c>
      <c r="AE91" s="5">
        <f t="shared" si="37"/>
        <v>146</v>
      </c>
      <c r="AF91" s="9" t="n">
        <f>ROUND($J91*1.637*1.75*2.1*2.3*2.6*3.2*4.2*2.4*2.5*2.8*3.2*0.55,0)</f>
        <v>2616251647374</v>
      </c>
      <c r="AG91" s="3">
        <f t="shared" si="38"/>
        <v>149</v>
      </c>
      <c r="AH91" s="10" t="n">
        <f>ROUND($J91*1.637*1.75*2.1*2.3*2.6*3.2*4.2*2.4*2.5*2.8*3.2*3.8*0.55,0)</f>
        <v>9941756260021</v>
      </c>
    </row>
    <row r="92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 t="n">
        <f>ROUND($J92*1.637*1,0)</f>
        <v>1031310000</v>
      </c>
      <c r="M92" s="3">
        <f t="shared" si="28"/>
        <v>124</v>
      </c>
      <c r="N92" s="10" t="n">
        <f>ROUND($J92*1.637*1.75*1,0)</f>
        <v>1804792500</v>
      </c>
      <c r="O92" s="5">
        <f t="shared" si="29"/>
        <v>126</v>
      </c>
      <c r="P92" s="9" t="n">
        <f>ROUND($J92*1.637*1.75*2.1*1,0)</f>
        <v>3790064250</v>
      </c>
      <c r="Q92" s="3">
        <f t="shared" si="30"/>
        <v>128</v>
      </c>
      <c r="R92" s="10" t="n">
        <f>ROUND($J92*1.637*1.75*2.1*2.3*1,0)</f>
        <v>8717147775</v>
      </c>
      <c r="S92" s="5">
        <f t="shared" si="31"/>
        <v>130</v>
      </c>
      <c r="T92" s="9" t="n">
        <f>ROUND($J92*1.637*1.75*2.1*2.3*2.6*1,0)</f>
        <v>22664584215</v>
      </c>
      <c r="U92" s="3">
        <f t="shared" si="32"/>
        <v>133</v>
      </c>
      <c r="V92" s="10" t="n">
        <f>ROUND($J92*1.637*1.75*2.1*2.3*2.6*3.2*1,0)</f>
        <v>72526669488</v>
      </c>
      <c r="W92" s="5">
        <f t="shared" si="33"/>
        <v>137</v>
      </c>
      <c r="X92" s="9" t="n">
        <f>ROUND($J92*1.637*1.75*2.1*2.3*2.6*3.2*4.2*1,0)</f>
        <v>304612011850</v>
      </c>
      <c r="Y92" s="3">
        <f t="shared" si="34"/>
        <v>139</v>
      </c>
      <c r="Z92" s="10" t="n">
        <f>ROUND($J92*1.637*1.75*2.1*2.3*2.6*3.2*4.2*2.4*1,0)</f>
        <v>731068828439</v>
      </c>
      <c r="AA92" s="5">
        <f t="shared" si="35"/>
        <v>141</v>
      </c>
      <c r="AB92" s="9" t="n">
        <f>ROUND($J92*1.637*1.75*2.1*2.3*2.6*3.2*4.2*2.4*2.5*1,0)</f>
        <v>1827672071098</v>
      </c>
      <c r="AC92" s="3">
        <f t="shared" si="36"/>
        <v>143</v>
      </c>
      <c r="AD92" s="10" t="n">
        <f>ROUND($J92*1.637*1.75*2.1*2.3*2.6*3.2*4.2*2.4*2.5*2.8*1,0)</f>
        <v>5117481799073</v>
      </c>
      <c r="AE92" s="5">
        <f t="shared" si="37"/>
        <v>146</v>
      </c>
      <c r="AF92" s="9" t="n">
        <f>ROUND($J92*1.637*1.75*2.1*2.3*2.6*3.2*4.2*2.4*2.5*2.8*3.2*1,0)</f>
        <v>16375941757035</v>
      </c>
      <c r="AG92" s="3">
        <f t="shared" si="38"/>
        <v>149</v>
      </c>
      <c r="AH92" s="10" t="n">
        <f>ROUND($J92*1.637*1.75*2.1*2.3*2.6*3.2*4.2*2.4*2.5*2.8*3.2*3.8*1,0)</f>
        <v>62228578676731</v>
      </c>
    </row>
    <row r="93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 t="n">
        <f>ROUND($J93*1.637*0.8,0)</f>
        <v>332638400</v>
      </c>
      <c r="M93" s="3">
        <f t="shared" si="28"/>
        <v>124</v>
      </c>
      <c r="N93" s="10" t="n">
        <f>ROUND($J93*1.637*1.75*0.8,0)</f>
        <v>582117200</v>
      </c>
      <c r="O93" s="5">
        <f t="shared" si="29"/>
        <v>126</v>
      </c>
      <c r="P93" s="9" t="n">
        <f>ROUND($J93*1.637*1.75*2.1*0.8,0)</f>
        <v>1222446120</v>
      </c>
      <c r="Q93" s="3">
        <f t="shared" si="30"/>
        <v>128</v>
      </c>
      <c r="R93" s="10" t="n">
        <f>ROUND($J93*1.637*1.75*2.1*2.3*0.542035092435954,0)</f>
        <v>1905000000</v>
      </c>
      <c r="S93" s="5">
        <f t="shared" si="31"/>
        <v>130</v>
      </c>
      <c r="T93" s="9" t="n">
        <f>ROUND($J93*1.637*1.75*2.1*2.3*2.6*0.544690061623969,0)</f>
        <v>4977260537</v>
      </c>
      <c r="U93" s="3">
        <f t="shared" si="32"/>
        <v>133</v>
      </c>
      <c r="V93" s="10" t="n">
        <f>ROUND($J93*1.637*1.75*2.1*2.3*2.6*3.2*0.547345030811984,0)</f>
        <v>16004867436</v>
      </c>
      <c r="W93" s="5">
        <f t="shared" si="33"/>
        <v>137</v>
      </c>
      <c r="X93" s="9" t="n">
        <f>ROUND($J93*1.637*1.75*2.1*2.3*2.6*3.2*4.2*0.55,0)</f>
        <v>67546504850</v>
      </c>
      <c r="Y93" s="3">
        <f t="shared" si="34"/>
        <v>139</v>
      </c>
      <c r="Z93" s="10" t="n">
        <f>ROUND($J93*1.637*1.75*2.1*2.3*2.6*3.2*4.2*2.4*0.55,0)</f>
        <v>162111611640</v>
      </c>
      <c r="AA93" s="5">
        <f t="shared" si="35"/>
        <v>141</v>
      </c>
      <c r="AB93" s="9" t="n">
        <f>ROUND($J93*1.637*1.75*2.1*2.3*2.6*3.2*4.2*2.4*2.5*0.55,0)</f>
        <v>405279029099</v>
      </c>
      <c r="AC93" s="3">
        <f t="shared" si="36"/>
        <v>143</v>
      </c>
      <c r="AD93" s="10" t="n">
        <f>ROUND($J93*1.637*1.75*2.1*2.3*2.6*3.2*4.2*2.4*2.5*2.8*0.55,0)</f>
        <v>1134781281477</v>
      </c>
      <c r="AE93" s="5">
        <f t="shared" si="37"/>
        <v>146</v>
      </c>
      <c r="AF93" s="9" t="n">
        <f>ROUND($J93*1.637*1.75*2.1*2.3*2.6*3.2*4.2*2.4*2.5*2.8*3.2*0.55,0)</f>
        <v>3631300100727</v>
      </c>
      <c r="AG93" s="3">
        <f t="shared" si="38"/>
        <v>149</v>
      </c>
      <c r="AH93" s="10" t="n">
        <f>ROUND($J93*1.637*1.75*2.1*2.3*2.6*3.2*4.2*2.4*2.5*2.8*3.2*3.8*0.55,0)</f>
        <v>13798940382761</v>
      </c>
    </row>
    <row r="94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 t="n">
        <f>ROUND($J94*1.637*1,0)</f>
        <v>304482000</v>
      </c>
      <c r="M94" s="3">
        <f t="shared" si="28"/>
        <v>124</v>
      </c>
      <c r="N94" s="10" t="n">
        <f>ROUND($J94*1.637*1.75*1,0)</f>
        <v>532843500</v>
      </c>
      <c r="O94" s="5">
        <f t="shared" si="29"/>
        <v>126</v>
      </c>
      <c r="P94" s="9" t="n">
        <f>ROUND($J94*1.637*1.75*2.1*1,0)</f>
        <v>1118971350</v>
      </c>
      <c r="Q94" s="3">
        <f t="shared" si="30"/>
        <v>128</v>
      </c>
      <c r="R94" s="10" t="n">
        <f>ROUND($J94*1.637*1.75*2.1*2.3*1,0)</f>
        <v>2573634105</v>
      </c>
      <c r="S94" s="5">
        <f t="shared" si="31"/>
        <v>130</v>
      </c>
      <c r="T94" s="9" t="n">
        <f>ROUND($J94*1.637*1.75*2.1*2.3*2.6*1,0)</f>
        <v>6691448673</v>
      </c>
      <c r="U94" s="3">
        <f t="shared" si="32"/>
        <v>133</v>
      </c>
      <c r="V94" s="10" t="n">
        <f>ROUND($J94*1.637*1.75*2.1*2.3*2.6*3.2*1,0)</f>
        <v>21412635754</v>
      </c>
      <c r="W94" s="5">
        <f t="shared" si="33"/>
        <v>137</v>
      </c>
      <c r="X94" s="9" t="n">
        <f>ROUND($J94*1.637*1.75*2.1*2.3*2.6*3.2*4.2*1,0)</f>
        <v>89933070165</v>
      </c>
      <c r="Y94" s="3">
        <f t="shared" si="34"/>
        <v>139</v>
      </c>
      <c r="Z94" s="10" t="n">
        <f>ROUND($J94*1.637*1.75*2.1*2.3*2.6*3.2*4.2*2.4*1,0)</f>
        <v>215839368396</v>
      </c>
      <c r="AA94" s="5">
        <f t="shared" si="35"/>
        <v>141</v>
      </c>
      <c r="AB94" s="9" t="n">
        <f>ROUND($J94*1.637*1.75*2.1*2.3*2.6*3.2*4.2*2.4*2.5*1,0)</f>
        <v>539598420991</v>
      </c>
      <c r="AC94" s="3">
        <f t="shared" si="36"/>
        <v>143</v>
      </c>
      <c r="AD94" s="10" t="n">
        <f>ROUND($J94*1.637*1.75*2.1*2.3*2.6*3.2*4.2*2.4*2.5*2.8*1,0)</f>
        <v>1510875578774</v>
      </c>
      <c r="AE94" s="5">
        <f t="shared" si="37"/>
        <v>146</v>
      </c>
      <c r="AF94" s="9" t="n">
        <f>ROUND($J94*1.637*1.75*2.1*2.3*2.6*3.2*4.2*2.4*2.5*2.8*3.2*1,0)</f>
        <v>4834801852077</v>
      </c>
      <c r="AG94" s="3">
        <f t="shared" si="38"/>
        <v>149</v>
      </c>
      <c r="AH94" s="10" t="n">
        <f>ROUND($J94*1.637*1.75*2.1*2.3*2.6*3.2*4.2*2.4*2.5*2.8*3.2*3.8*1,0)</f>
        <v>18372247037892</v>
      </c>
    </row>
    <row r="95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 t="n">
        <f>ROUND($J95*1.637*1,0)</f>
        <v>865973000</v>
      </c>
      <c r="M95" s="3">
        <f t="shared" si="28"/>
        <v>124</v>
      </c>
      <c r="N95" s="10" t="n">
        <f>ROUND($J95*1.637*1.75*1,0)</f>
        <v>1515452750</v>
      </c>
      <c r="O95" s="5">
        <f t="shared" si="29"/>
        <v>126</v>
      </c>
      <c r="P95" s="9" t="n">
        <f>ROUND($J95*1.637*1.75*2.1*1,0)</f>
        <v>3182450775</v>
      </c>
      <c r="Q95" s="3">
        <f t="shared" si="30"/>
        <v>128</v>
      </c>
      <c r="R95" s="10" t="n">
        <f>ROUND($J95*1.637*1.75*2.1*2.3*1,0)</f>
        <v>7319636783</v>
      </c>
      <c r="S95" s="5">
        <f t="shared" si="31"/>
        <v>130</v>
      </c>
      <c r="T95" s="9" t="n">
        <f>ROUND($J95*1.637*1.75*2.1*2.3*2.6*1,0)</f>
        <v>19031055635</v>
      </c>
      <c r="U95" s="3">
        <f t="shared" si="32"/>
        <v>133</v>
      </c>
      <c r="V95" s="10" t="n">
        <f>ROUND($J95*1.637*1.75*2.1*2.3*2.6*3.2*1,0)</f>
        <v>60899378030</v>
      </c>
      <c r="W95" s="5">
        <f t="shared" si="33"/>
        <v>137</v>
      </c>
      <c r="X95" s="9" t="n">
        <f>ROUND($J95*1.637*1.75*2.1*2.3*2.6*3.2*4.2*1,0)</f>
        <v>255777387728</v>
      </c>
      <c r="Y95" s="3">
        <f t="shared" si="34"/>
        <v>139</v>
      </c>
      <c r="Z95" s="10" t="n">
        <f>ROUND($J95*1.637*1.75*2.1*2.3*2.6*3.2*4.2*2.4*1,0)</f>
        <v>613865730546</v>
      </c>
      <c r="AA95" s="5">
        <f t="shared" si="35"/>
        <v>141</v>
      </c>
      <c r="AB95" s="9" t="n">
        <f>ROUND($J95*1.637*1.75*2.1*2.3*2.6*3.2*4.2*2.4*2.5*1,0)</f>
        <v>1534664326366</v>
      </c>
      <c r="AC95" s="3">
        <f t="shared" si="36"/>
        <v>143</v>
      </c>
      <c r="AD95" s="10" t="n">
        <f>ROUND($J95*1.637*1.75*2.1*2.3*2.6*3.2*4.2*2.4*2.5*2.8*1,0)</f>
        <v>4297060113825</v>
      </c>
      <c r="AE95" s="5">
        <f t="shared" si="37"/>
        <v>146</v>
      </c>
      <c r="AF95" s="9" t="n">
        <f>ROUND($J95*1.637*1.75*2.1*2.3*2.6*3.2*4.2*2.4*2.5*2.8*3.2*1,0)</f>
        <v>13750592364240</v>
      </c>
      <c r="AG95" s="3">
        <f t="shared" si="38"/>
        <v>149</v>
      </c>
      <c r="AH95" s="10" t="n">
        <f>ROUND($J95*1.637*1.75*2.1*2.3*2.6*3.2*4.2*2.4*2.5*2.8*3.2*3.8*1,0)</f>
        <v>52252250984112</v>
      </c>
    </row>
    <row r="96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 t="n">
        <f>ROUND($J96*1.637*0.8,0)</f>
        <v>645632800</v>
      </c>
      <c r="M96" s="3">
        <f t="shared" si="28"/>
        <v>124</v>
      </c>
      <c r="N96" s="10" t="n">
        <f>ROUND($J96*1.637*1.75*0.8,0)</f>
        <v>1129857400</v>
      </c>
      <c r="O96" s="5">
        <f t="shared" si="29"/>
        <v>126</v>
      </c>
      <c r="P96" s="9" t="n">
        <f>ROUND($J96*1.637*1.75*2.1*0.8,0)</f>
        <v>2372700540</v>
      </c>
      <c r="Q96" s="3">
        <f t="shared" si="30"/>
        <v>128</v>
      </c>
      <c r="R96" s="10" t="n">
        <f>ROUND($J96*1.637*1.75*2.1*2.3*0.542035092435954,0)</f>
        <v>3697500000</v>
      </c>
      <c r="S96" s="5">
        <f t="shared" si="31"/>
        <v>130</v>
      </c>
      <c r="T96" s="9" t="n">
        <f>ROUND($J96*1.637*1.75*2.1*2.3*2.6*0.544690061623969,0)</f>
        <v>9660588365</v>
      </c>
      <c r="U96" s="3">
        <f t="shared" si="32"/>
        <v>133</v>
      </c>
      <c r="V96" s="10" t="n">
        <f>ROUND($J96*1.637*1.75*2.1*2.3*2.6*3.2*0.547345030811984,0)</f>
        <v>31064565536</v>
      </c>
      <c r="W96" s="5">
        <f t="shared" si="33"/>
        <v>137</v>
      </c>
      <c r="X96" s="9" t="n">
        <f>ROUND($J96*1.637*1.75*2.1*2.3*2.6*3.2*4.2*0.55,0)</f>
        <v>131104042878</v>
      </c>
      <c r="Y96" s="3">
        <f t="shared" si="34"/>
        <v>139</v>
      </c>
      <c r="Z96" s="10" t="n">
        <f>ROUND($J96*1.637*1.75*2.1*2.3*2.6*3.2*4.2*2.4*0.55,0)</f>
        <v>314649702907</v>
      </c>
      <c r="AA96" s="5">
        <f t="shared" si="35"/>
        <v>141</v>
      </c>
      <c r="AB96" s="9" t="n">
        <f>ROUND($J96*1.637*1.75*2.1*2.3*2.6*3.2*4.2*2.4*2.5*0.55,0)</f>
        <v>786624257267</v>
      </c>
      <c r="AC96" s="3">
        <f t="shared" si="36"/>
        <v>143</v>
      </c>
      <c r="AD96" s="10" t="n">
        <f>ROUND($J96*1.637*1.75*2.1*2.3*2.6*3.2*4.2*2.4*2.5*2.8*0.55,0)</f>
        <v>2202547920347</v>
      </c>
      <c r="AE96" s="5">
        <f t="shared" si="37"/>
        <v>146</v>
      </c>
      <c r="AF96" s="9" t="n">
        <f>ROUND($J96*1.637*1.75*2.1*2.3*2.6*3.2*4.2*2.4*2.5*2.8*3.2*0.55,0)</f>
        <v>7048153345111</v>
      </c>
      <c r="AG96" s="3">
        <f t="shared" si="38"/>
        <v>149</v>
      </c>
      <c r="AH96" s="10" t="n">
        <f>ROUND($J96*1.637*1.75*2.1*2.3*2.6*3.2*4.2*2.4*2.5*2.8*3.2*3.8*0.55,0)</f>
        <v>26782982711422</v>
      </c>
    </row>
    <row r="97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 t="n">
        <f>ROUND($J97*1.637*1,0)</f>
        <v>1113160000</v>
      </c>
      <c r="M97" s="3">
        <f t="shared" si="28"/>
        <v>124</v>
      </c>
      <c r="N97" s="10" t="n">
        <f>ROUND($J97*1.637*1.75*1,0)</f>
        <v>1948030000</v>
      </c>
      <c r="O97" s="5">
        <f t="shared" si="29"/>
        <v>126</v>
      </c>
      <c r="P97" s="9" t="n">
        <f>ROUND($J97*1.637*1.75*2.1*1,0)</f>
        <v>4090863000</v>
      </c>
      <c r="Q97" s="3">
        <f t="shared" si="30"/>
        <v>128</v>
      </c>
      <c r="R97" s="10" t="n">
        <f>ROUND($J97*1.637*1.75*2.1*2.3*1,0)</f>
        <v>9408984900</v>
      </c>
      <c r="S97" s="5">
        <f t="shared" si="31"/>
        <v>130</v>
      </c>
      <c r="T97" s="9" t="n">
        <f>ROUND($J97*1.637*1.75*2.1*2.3*2.6*1,0)</f>
        <v>24463360740</v>
      </c>
      <c r="U97" s="3">
        <f t="shared" si="32"/>
        <v>133</v>
      </c>
      <c r="V97" s="10" t="n">
        <f>ROUND($J97*1.637*1.75*2.1*2.3*2.6*3.2*1,0)</f>
        <v>78282754368</v>
      </c>
      <c r="W97" s="5">
        <f t="shared" si="33"/>
        <v>137</v>
      </c>
      <c r="X97" s="9" t="n">
        <f>ROUND($J97*1.637*1.75*2.1*2.3*2.6*3.2*4.2*1,0)</f>
        <v>328787568346</v>
      </c>
      <c r="Y97" s="3">
        <f t="shared" si="34"/>
        <v>139</v>
      </c>
      <c r="Z97" s="10" t="n">
        <f>ROUND($J97*1.637*1.75*2.1*2.3*2.6*3.2*4.2*2.4*1,0)</f>
        <v>789090164029</v>
      </c>
      <c r="AA97" s="5">
        <f t="shared" si="35"/>
        <v>141</v>
      </c>
      <c r="AB97" s="9" t="n">
        <f>ROUND($J97*1.637*1.75*2.1*2.3*2.6*3.2*4.2*2.4*2.5*1,0)</f>
        <v>1972725410074</v>
      </c>
      <c r="AC97" s="3">
        <f t="shared" si="36"/>
        <v>143</v>
      </c>
      <c r="AD97" s="10" t="n">
        <f>ROUND($J97*1.637*1.75*2.1*2.3*2.6*3.2*4.2*2.4*2.5*2.8*1,0)</f>
        <v>5523631148206</v>
      </c>
      <c r="AE97" s="5">
        <f t="shared" si="37"/>
        <v>146</v>
      </c>
      <c r="AF97" s="9" t="n">
        <f>ROUND($J97*1.637*1.75*2.1*2.3*2.6*3.2*4.2*2.4*2.5*2.8*3.2*1,0)</f>
        <v>17675619674260</v>
      </c>
      <c r="AG97" s="3">
        <f t="shared" si="38"/>
        <v>149</v>
      </c>
      <c r="AH97" s="10" t="n">
        <f>ROUND($J97*1.637*1.75*2.1*2.3*2.6*3.2*4.2*2.4*2.5*2.8*3.2*3.8*1,0)</f>
        <v>67167354762186</v>
      </c>
    </row>
    <row r="98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 t="n">
        <f>ROUND($J98*1.637*0.8,0)</f>
        <v>191201600</v>
      </c>
      <c r="M98" s="3">
        <f t="shared" si="28"/>
        <v>124</v>
      </c>
      <c r="N98" s="10" t="n">
        <f>ROUND($J98*1.637*1.75*0.8,0)</f>
        <v>334602800</v>
      </c>
      <c r="O98" s="5">
        <f t="shared" si="29"/>
        <v>126</v>
      </c>
      <c r="P98" s="9" t="n">
        <f>ROUND($J98*1.637*1.75*2.1*0.8,0)</f>
        <v>702665880</v>
      </c>
      <c r="Q98" s="3">
        <f t="shared" si="30"/>
        <v>128</v>
      </c>
      <c r="R98" s="10" t="n">
        <f>ROUND($J98*1.637*1.75*2.1*2.3*0.542035092435954,0)</f>
        <v>1095000000</v>
      </c>
      <c r="S98" s="5">
        <f t="shared" si="31"/>
        <v>130</v>
      </c>
      <c r="T98" s="9" t="n">
        <f>ROUND($J98*1.637*1.75*2.1*2.3*2.6*0.544690061623969,0)</f>
        <v>2860945033</v>
      </c>
      <c r="U98" s="3">
        <f t="shared" si="32"/>
        <v>133</v>
      </c>
      <c r="V98" s="10" t="n">
        <f>ROUND($J98*1.637*1.75*2.1*2.3*2.6*3.2*0.547345030811984,0)</f>
        <v>9199648212</v>
      </c>
      <c r="W98" s="5">
        <f t="shared" si="33"/>
        <v>137</v>
      </c>
      <c r="X98" s="9" t="n">
        <f>ROUND($J98*1.637*1.75*2.1*2.3*2.6*3.2*4.2*0.55,0)</f>
        <v>38825943733</v>
      </c>
      <c r="Y98" s="3">
        <f t="shared" si="34"/>
        <v>139</v>
      </c>
      <c r="Z98" s="10" t="n">
        <f>ROUND($J98*1.637*1.75*2.1*2.3*2.6*3.2*4.2*2.4*0.55,0)</f>
        <v>93182264958</v>
      </c>
      <c r="AA98" s="5">
        <f t="shared" si="35"/>
        <v>141</v>
      </c>
      <c r="AB98" s="9" t="n">
        <f>ROUND($J98*1.637*1.75*2.1*2.3*2.6*3.2*4.2*2.4*2.5*0.55,0)</f>
        <v>232955662395</v>
      </c>
      <c r="AC98" s="3">
        <f t="shared" si="36"/>
        <v>143</v>
      </c>
      <c r="AD98" s="10" t="n">
        <f>ROUND($J98*1.637*1.75*2.1*2.3*2.6*3.2*4.2*2.4*2.5*2.8*0.55,0)</f>
        <v>652275854707</v>
      </c>
      <c r="AE98" s="5">
        <f t="shared" si="37"/>
        <v>146</v>
      </c>
      <c r="AF98" s="9" t="n">
        <f>ROUND($J98*1.637*1.75*2.1*2.3*2.6*3.2*4.2*2.4*2.5*2.8*3.2*0.55,0)</f>
        <v>2087282735063</v>
      </c>
      <c r="AG98" s="3">
        <f t="shared" si="38"/>
        <v>149</v>
      </c>
      <c r="AH98" s="10" t="n">
        <f>ROUND($J98*1.637*1.75*2.1*2.3*2.6*3.2*4.2*2.4*2.5*2.8*3.2*3.8*0.55,0)</f>
        <v>7931674393240</v>
      </c>
    </row>
    <row r="99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 t="n">
        <f t="shared" ref="L99:L104" si="42">ROUND($J99*1.637*1,0)</f>
        <v>592594000</v>
      </c>
      <c r="M99" s="3">
        <f t="shared" si="28"/>
        <v>124</v>
      </c>
      <c r="N99" s="10" t="n">
        <f t="shared" ref="N99:N104" si="43">ROUND($J99*1.637*1.75*1,0)</f>
        <v>1037039500</v>
      </c>
      <c r="O99" s="5">
        <f t="shared" si="29"/>
        <v>126</v>
      </c>
      <c r="P99" s="9" t="n">
        <f t="shared" ref="P99:P104" si="44">ROUND($J99*1.637*1.75*2.1*1,0)</f>
        <v>2177782950</v>
      </c>
      <c r="Q99" s="3">
        <f t="shared" si="30"/>
        <v>128</v>
      </c>
      <c r="R99" s="10" t="n">
        <f>ROUND($J99*1.637*1.75*2.1*2.3*1,0)</f>
        <v>5008900785</v>
      </c>
      <c r="S99" s="5">
        <f t="shared" si="31"/>
        <v>130</v>
      </c>
      <c r="T99" s="9" t="n">
        <f>ROUND($J99*1.637*1.75*2.1*2.3*2.6*1,0)</f>
        <v>13023142041</v>
      </c>
      <c r="U99" s="3">
        <f t="shared" si="32"/>
        <v>133</v>
      </c>
      <c r="V99" s="10" t="n">
        <f>ROUND($J99*1.637*1.75*2.1*2.3*2.6*3.2*1,0)</f>
        <v>41674054531</v>
      </c>
      <c r="W99" s="5">
        <f t="shared" si="33"/>
        <v>137</v>
      </c>
      <c r="X99" s="9" t="n">
        <f>ROUND($J99*1.637*1.75*2.1*2.3*2.6*3.2*4.2*1,0)</f>
        <v>175031029031</v>
      </c>
      <c r="Y99" s="3">
        <f t="shared" si="34"/>
        <v>139</v>
      </c>
      <c r="Z99" s="10" t="n">
        <f>ROUND($J99*1.637*1.75*2.1*2.3*2.6*3.2*4.2*2.4*1,0)</f>
        <v>420074469674</v>
      </c>
      <c r="AA99" s="5">
        <f t="shared" si="35"/>
        <v>141</v>
      </c>
      <c r="AB99" s="9" t="n">
        <f>ROUND($J99*1.637*1.75*2.1*2.3*2.6*3.2*4.2*2.4*2.5*1,0)</f>
        <v>1050186174186</v>
      </c>
      <c r="AC99" s="3">
        <f t="shared" si="36"/>
        <v>143</v>
      </c>
      <c r="AD99" s="10" t="n">
        <f>ROUND($J99*1.637*1.75*2.1*2.3*2.6*3.2*4.2*2.4*2.5*2.8*1,0)</f>
        <v>2940521287721</v>
      </c>
      <c r="AE99" s="5">
        <f t="shared" si="37"/>
        <v>146</v>
      </c>
      <c r="AF99" s="9" t="n">
        <f>ROUND($J99*1.637*1.75*2.1*2.3*2.6*3.2*4.2*2.4*2.5*2.8*3.2*1,0)</f>
        <v>9409668120709</v>
      </c>
      <c r="AG99" s="3">
        <f t="shared" si="38"/>
        <v>149</v>
      </c>
      <c r="AH99" s="10" t="n">
        <f>ROUND($J99*1.637*1.75*2.1*2.3*2.6*3.2*4.2*2.4*2.5*2.8*3.2*3.8*1,0)</f>
        <v>35756738858693</v>
      </c>
    </row>
    <row r="100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 t="n">
        <f>ROUND($J100*1.637*1.75*2.1*2.3*1,0)</f>
        <v>5785142039</v>
      </c>
      <c r="S100" s="5">
        <f t="shared" si="31"/>
        <v>130</v>
      </c>
      <c r="T100" s="9" t="n">
        <f>ROUND($J100*1.637*1.75*2.1*2.3*2.6*1,0)</f>
        <v>15041369302</v>
      </c>
      <c r="U100" s="3">
        <f t="shared" si="32"/>
        <v>133</v>
      </c>
      <c r="V100" s="10" t="n">
        <f>ROUND($J100*1.637*1.75*2.1*2.3*2.6*3.2*1,0)</f>
        <v>48132381767</v>
      </c>
      <c r="W100" s="5">
        <f t="shared" si="33"/>
        <v>137</v>
      </c>
      <c r="X100" s="9" t="n">
        <f>ROUND($J100*1.637*1.75*2.1*2.3*2.6*3.2*4.2*1,0)</f>
        <v>202156003420</v>
      </c>
      <c r="Y100" s="3">
        <f t="shared" si="34"/>
        <v>139</v>
      </c>
      <c r="Z100" s="10" t="n">
        <f>ROUND($J100*1.637*1.75*2.1*2.3*2.6*3.2*4.2*2.4*1,0)</f>
        <v>485174408207</v>
      </c>
      <c r="AA100" s="5">
        <f t="shared" si="35"/>
        <v>141</v>
      </c>
      <c r="AB100" s="9" t="n">
        <f>ROUND($J100*1.637*1.75*2.1*2.3*2.6*3.2*4.2*2.4*2.5*1,0)</f>
        <v>1212936020517</v>
      </c>
      <c r="AC100" s="3">
        <f t="shared" si="36"/>
        <v>143</v>
      </c>
      <c r="AD100" s="10" t="n">
        <f>ROUND($J100*1.637*1.75*2.1*2.3*2.6*3.2*4.2*2.4*2.5*2.8*1,0)</f>
        <v>3396220857448</v>
      </c>
      <c r="AE100" s="5">
        <f t="shared" si="37"/>
        <v>146</v>
      </c>
      <c r="AF100" s="9" t="n">
        <f>ROUND($J100*1.637*1.75*2.1*2.3*2.6*3.2*4.2*2.4*2.5*2.8*3.2*1,0)</f>
        <v>10867906743835</v>
      </c>
      <c r="AG100" s="3">
        <f t="shared" si="38"/>
        <v>149</v>
      </c>
      <c r="AH100" s="10" t="n">
        <f>ROUND($J100*1.637*1.75*2.1*2.3*2.6*3.2*4.2*2.4*2.5*2.8*3.2*3.8*1,0)</f>
        <v>41298045626573</v>
      </c>
    </row>
    <row r="10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 t="n">
        <f>ROUND($J101*1.637*1.75*2.1*2.3*1.25,0)</f>
        <v>9184137834</v>
      </c>
      <c r="S101" s="5">
        <f t="shared" si="31"/>
        <v>130</v>
      </c>
      <c r="T101" s="9" t="n">
        <f>ROUND($J101*1.637*1.75*2.1*2.3*2.6*1.25,0)</f>
        <v>23878758369</v>
      </c>
      <c r="U101" s="3">
        <f t="shared" si="32"/>
        <v>133</v>
      </c>
      <c r="V101" s="10" t="n">
        <f>ROUND($J101*1.637*1.75*2.1*2.3*2.6*3.2*1.25,0)</f>
        <v>76412026782</v>
      </c>
      <c r="W101" s="5">
        <f t="shared" si="33"/>
        <v>137</v>
      </c>
      <c r="X101" s="9" t="n">
        <f>ROUND($J101*1.637*1.75*2.1*2.3*2.6*3.2*4.2*1.25,0)</f>
        <v>320930512484</v>
      </c>
      <c r="Y101" s="3">
        <f t="shared" si="34"/>
        <v>139</v>
      </c>
      <c r="Z101" s="10" t="n">
        <f>ROUND($J101*1.637*1.75*2.1*2.3*2.6*3.2*4.2*2.4*1.25,0)</f>
        <v>770233229963</v>
      </c>
      <c r="AA101" s="5">
        <f t="shared" si="35"/>
        <v>141</v>
      </c>
      <c r="AB101" s="9" t="n">
        <f>ROUND($J101*1.637*1.75*2.1*2.3*2.6*3.2*4.2*2.4*2.5*1.25,0)</f>
        <v>1925583074906</v>
      </c>
      <c r="AC101" s="3">
        <f t="shared" si="36"/>
        <v>143</v>
      </c>
      <c r="AD101" s="10" t="n">
        <f>ROUND($J101*1.637*1.75*2.1*2.3*2.6*3.2*4.2*2.4*2.5*2.8*1.25,0)</f>
        <v>5391632609738</v>
      </c>
      <c r="AE101" s="5">
        <f t="shared" si="37"/>
        <v>146</v>
      </c>
      <c r="AF101" s="9" t="n">
        <f>ROUND($J101*1.637*1.75*2.1*2.3*2.6*3.2*4.2*2.4*2.5*2.8*3.2*1.25,0)</f>
        <v>17253224351161</v>
      </c>
      <c r="AG101" s="3">
        <f t="shared" si="38"/>
        <v>149</v>
      </c>
      <c r="AH101" s="10" t="n">
        <f>ROUND($J101*1.637*1.75*2.1*2.3*2.6*3.2*4.2*2.4*2.5*2.8*3.2*3.8*1.25,0)</f>
        <v>65562252534413</v>
      </c>
    </row>
    <row r="102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 t="n">
        <f>ROUND($J102*1.637*1.75*2.1*2.3*1,0)</f>
        <v>1632735615</v>
      </c>
      <c r="S102" s="5">
        <f t="shared" si="31"/>
        <v>129</v>
      </c>
      <c r="T102" s="9" t="n">
        <f>ROUND($J102*1.637*1.75*2.1*2.3*2.6*1,0)</f>
        <v>4245112599</v>
      </c>
      <c r="U102" s="3">
        <f t="shared" si="32"/>
        <v>132</v>
      </c>
      <c r="V102" s="10" t="n">
        <f>ROUND($J102*1.637*1.75*2.1*2.3*2.6*3.2*1,0)</f>
        <v>13584360317</v>
      </c>
      <c r="W102" s="5">
        <f t="shared" si="33"/>
        <v>136</v>
      </c>
      <c r="X102" s="9" t="n">
        <f>ROUND($J102*1.637*1.75*2.1*2.3*2.6*3.2*4.2*1,0)</f>
        <v>57054313331</v>
      </c>
      <c r="Y102" s="3">
        <f t="shared" si="34"/>
        <v>138</v>
      </c>
      <c r="Z102" s="10" t="n">
        <f>ROUND($J102*1.637*1.75*2.1*2.3*2.6*3.2*4.2*2.4*1,0)</f>
        <v>136930351993</v>
      </c>
      <c r="AA102" s="5">
        <f t="shared" si="35"/>
        <v>140</v>
      </c>
      <c r="AB102" s="9" t="n">
        <f>ROUND($J102*1.637*1.75*2.1*2.3*2.6*3.2*4.2*2.4*2.5*1,0)</f>
        <v>342325879983</v>
      </c>
      <c r="AC102" s="3">
        <f t="shared" si="36"/>
        <v>142</v>
      </c>
      <c r="AD102" s="10" t="n">
        <f>ROUND($J102*1.637*1.75*2.1*2.3*2.6*3.2*4.2*2.4*2.5*2.8*1,0)</f>
        <v>958512463953</v>
      </c>
      <c r="AE102" s="5">
        <f t="shared" si="37"/>
        <v>145</v>
      </c>
      <c r="AF102" s="9" t="n">
        <f>ROUND($J102*1.637*1.75*2.1*2.3*2.6*3.2*4.2*2.4*2.5*2.8*3.2*1,0)</f>
        <v>3067239884651</v>
      </c>
      <c r="AG102" s="3">
        <f t="shared" si="38"/>
        <v>148</v>
      </c>
      <c r="AH102" s="10" t="n">
        <f>ROUND($J102*1.637*1.75*2.1*2.3*2.6*3.2*4.2*2.4*2.5*2.8*3.2*3.8*1,0)</f>
        <v>11655511561673</v>
      </c>
    </row>
    <row r="103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 t="n">
        <f>ROUND($J103*1.637*1.75*2.1*2.3*1,0)</f>
        <v>2256772702</v>
      </c>
      <c r="S103" s="5">
        <f t="shared" si="31"/>
        <v>129</v>
      </c>
      <c r="T103" s="9" t="n">
        <f>ROUND($J103*1.637*1.75*2.1*2.3*2.6*1,0)</f>
        <v>5867609025</v>
      </c>
      <c r="U103" s="3">
        <f t="shared" si="32"/>
        <v>132</v>
      </c>
      <c r="V103" s="10" t="n">
        <f>ROUND($J103*1.637*1.75*2.1*2.3*2.6*3.2*1,0)</f>
        <v>18776348879</v>
      </c>
      <c r="W103" s="5">
        <f t="shared" si="33"/>
        <v>136</v>
      </c>
      <c r="X103" s="9" t="n">
        <f>ROUND($J103*1.637*1.75*2.1*2.3*2.6*3.2*4.2*1,0)</f>
        <v>78860665290</v>
      </c>
      <c r="Y103" s="3">
        <f t="shared" si="34"/>
        <v>138</v>
      </c>
      <c r="Z103" s="10" t="n">
        <f>ROUND($J103*1.637*1.75*2.1*2.3*2.6*3.2*4.2*2.4*1,0)</f>
        <v>189265596696</v>
      </c>
      <c r="AA103" s="5">
        <f t="shared" si="35"/>
        <v>140</v>
      </c>
      <c r="AB103" s="9" t="n">
        <f>ROUND($J103*1.637*1.75*2.1*2.3*2.6*3.2*4.2*2.4*2.5*1,0)</f>
        <v>473163991740</v>
      </c>
      <c r="AC103" s="3">
        <f t="shared" si="36"/>
        <v>142</v>
      </c>
      <c r="AD103" s="10" t="n">
        <f>ROUND($J103*1.637*1.75*2.1*2.3*2.6*3.2*4.2*2.4*2.5*2.8*1,0)</f>
        <v>1324859176871</v>
      </c>
      <c r="AE103" s="5">
        <f t="shared" si="37"/>
        <v>145</v>
      </c>
      <c r="AF103" s="9" t="n">
        <f>ROUND($J103*1.637*1.75*2.1*2.3*2.6*3.2*4.2*2.4*2.5*2.8*3.2*1,0)</f>
        <v>4239549365988</v>
      </c>
      <c r="AG103" s="3">
        <f t="shared" si="38"/>
        <v>148</v>
      </c>
      <c r="AH103" s="10" t="n">
        <f>ROUND($J103*1.637*1.75*2.1*2.3*2.6*3.2*4.2*2.4*2.5*2.8*3.2*3.8*1,0)</f>
        <v>16110287590754</v>
      </c>
    </row>
    <row r="104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 t="n">
        <f>ROUND($J104*1.637*1.75*2.1*2.3*1,0)</f>
        <v>2219413497</v>
      </c>
      <c r="S104" s="5">
        <f t="shared" si="31"/>
        <v>129</v>
      </c>
      <c r="T104" s="9" t="n">
        <f>ROUND($J104*1.637*1.75*2.1*2.3*2.6*1,0)</f>
        <v>5770475092</v>
      </c>
      <c r="U104" s="3">
        <f t="shared" si="32"/>
        <v>132</v>
      </c>
      <c r="V104" s="10" t="n">
        <f>ROUND($J104*1.637*1.75*2.1*2.3*2.6*3.2*1,0)</f>
        <v>18465520295</v>
      </c>
      <c r="W104" s="5">
        <f t="shared" si="33"/>
        <v>136</v>
      </c>
      <c r="X104" s="9" t="n">
        <f>ROUND($J104*1.637*1.75*2.1*2.3*2.6*3.2*4.2*1,0)</f>
        <v>77555185239</v>
      </c>
      <c r="Y104" s="3">
        <f t="shared" si="34"/>
        <v>138</v>
      </c>
      <c r="Z104" s="10" t="n">
        <f>ROUND($J104*1.637*1.75*2.1*2.3*2.6*3.2*4.2*2.4*1,0)</f>
        <v>186132444574</v>
      </c>
      <c r="AA104" s="5">
        <f t="shared" si="35"/>
        <v>140</v>
      </c>
      <c r="AB104" s="9" t="n">
        <f>ROUND($J104*1.637*1.75*2.1*2.3*2.6*3.2*4.2*2.4*2.5*1,0)</f>
        <v>465331111435</v>
      </c>
      <c r="AC104" s="3">
        <f t="shared" si="36"/>
        <v>142</v>
      </c>
      <c r="AD104" s="10" t="n">
        <f>ROUND($J104*1.637*1.75*2.1*2.3*2.6*3.2*4.2*2.4*2.5*2.8*1,0)</f>
        <v>1302927112018</v>
      </c>
      <c r="AE104" s="5">
        <f t="shared" si="37"/>
        <v>145</v>
      </c>
      <c r="AF104" s="9" t="n">
        <f>ROUND($J104*1.637*1.75*2.1*2.3*2.6*3.2*4.2*2.4*2.5*2.8*3.2*1,0)</f>
        <v>4169366758458</v>
      </c>
      <c r="AG104" s="3">
        <f t="shared" si="38"/>
        <v>148</v>
      </c>
      <c r="AH104" s="10" t="n">
        <f>ROUND($J104*1.637*1.75*2.1*2.3*2.6*3.2*4.2*2.4*2.5*2.8*3.2*3.8*1,0)</f>
        <v>15843593682139</v>
      </c>
    </row>
    <row r="105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 t="n">
        <f>ROUND($J105*1.637*0.8,0)</f>
        <v>225251200</v>
      </c>
      <c r="M105" s="3">
        <f t="shared" si="28"/>
        <v>123</v>
      </c>
      <c r="N105" s="10" t="n">
        <f>ROUND($J105*1.637*1.75*0.8,0)</f>
        <v>394189600</v>
      </c>
      <c r="O105" s="5">
        <f t="shared" si="29"/>
        <v>125</v>
      </c>
      <c r="P105" s="9" t="n">
        <f>ROUND($J105*1.637*1.75*2.1*0.8,0)</f>
        <v>827798160</v>
      </c>
      <c r="Q105" s="3">
        <f t="shared" si="30"/>
        <v>127</v>
      </c>
      <c r="R105" s="10" t="n">
        <f>ROUND($J105*1.637*1.75*2.1*2.3*0.542035092435954,0)</f>
        <v>1290000000</v>
      </c>
      <c r="S105" s="5">
        <f t="shared" si="31"/>
        <v>129</v>
      </c>
      <c r="T105" s="9" t="n">
        <f>ROUND($J105*1.637*1.75*2.1*2.3*2.6*0.544690061623969,0)</f>
        <v>3370428395</v>
      </c>
      <c r="U105" s="3">
        <f t="shared" si="32"/>
        <v>132</v>
      </c>
      <c r="V105" s="10" t="n">
        <f>ROUND($J105*1.637*1.75*2.1*2.3*2.6*3.2*0.547345030811984,0)</f>
        <v>10837941729</v>
      </c>
      <c r="W105" s="5">
        <f t="shared" si="33"/>
        <v>136</v>
      </c>
      <c r="X105" s="9" t="n">
        <f>ROUND($J105*1.637*1.75*2.1*2.3*2.6*3.2*4.2*0.55,0)</f>
        <v>45740152890</v>
      </c>
      <c r="Y105" s="3">
        <f t="shared" si="34"/>
        <v>138</v>
      </c>
      <c r="Z105" s="10" t="n">
        <f>ROUND($J105*1.637*1.75*2.1*2.3*2.6*3.2*4.2*2.4*0.55,0)</f>
        <v>109776366937</v>
      </c>
      <c r="AA105" s="5">
        <f t="shared" si="35"/>
        <v>140</v>
      </c>
      <c r="AB105" s="9" t="n">
        <f>ROUND($J105*1.637*1.75*2.1*2.3*2.6*3.2*4.2*2.4*2.5*0.55,0)</f>
        <v>274440917343</v>
      </c>
      <c r="AC105" s="3">
        <f t="shared" si="36"/>
        <v>142</v>
      </c>
      <c r="AD105" s="10" t="n">
        <f>ROUND($J105*1.637*1.75*2.1*2.3*2.6*3.2*4.2*2.4*2.5*2.8*0.55,0)</f>
        <v>768434568559</v>
      </c>
      <c r="AE105" s="5">
        <f t="shared" si="37"/>
        <v>145</v>
      </c>
      <c r="AF105" s="9" t="n">
        <f>ROUND($J105*1.637*1.75*2.1*2.3*2.6*3.2*4.2*2.4*2.5*2.8*3.2*0.55,0)</f>
        <v>2458990619390</v>
      </c>
      <c r="AG105" s="3">
        <f t="shared" si="38"/>
        <v>148</v>
      </c>
      <c r="AH105" s="10" t="n">
        <f>ROUND($J105*1.637*1.75*2.1*2.3*2.6*3.2*4.2*2.4*2.5*2.8*3.2*3.8*0.55,0)</f>
        <v>9344164353681</v>
      </c>
    </row>
    <row r="106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 t="n">
        <f>ROUND($J106*1.637*1,0)</f>
        <v>396154000</v>
      </c>
      <c r="M106" s="3">
        <f t="shared" si="28"/>
        <v>123</v>
      </c>
      <c r="N106" s="10" t="n">
        <f>ROUND($J106*1.637*1.75*1,0)</f>
        <v>693269500</v>
      </c>
      <c r="O106" s="5">
        <f t="shared" si="29"/>
        <v>125</v>
      </c>
      <c r="P106" s="9" t="n">
        <f>ROUND($J106*1.637*1.75*2.1*1,0)</f>
        <v>1455865950</v>
      </c>
      <c r="Q106" s="3">
        <f t="shared" si="30"/>
        <v>127</v>
      </c>
      <c r="R106" s="10" t="n">
        <f>ROUND($J106*1.637*1.75*2.1*2.3*1,0)</f>
        <v>3348491685</v>
      </c>
      <c r="S106" s="5">
        <f t="shared" si="31"/>
        <v>129</v>
      </c>
      <c r="T106" s="9" t="n">
        <f>ROUND($J106*1.637*1.75*2.1*2.3*2.6*1,0)</f>
        <v>8706078381</v>
      </c>
      <c r="U106" s="3">
        <f t="shared" si="32"/>
        <v>132</v>
      </c>
      <c r="V106" s="10" t="n">
        <f>ROUND($J106*1.637*1.75*2.1*2.3*2.6*3.2*1,0)</f>
        <v>27859450819</v>
      </c>
      <c r="W106" s="5">
        <f t="shared" si="33"/>
        <v>136</v>
      </c>
      <c r="X106" s="9" t="n">
        <f>ROUND($J106*1.637*1.75*2.1*2.3*2.6*3.2*4.2*1,0)</f>
        <v>117009693441</v>
      </c>
      <c r="Y106" s="3">
        <f t="shared" si="34"/>
        <v>138</v>
      </c>
      <c r="Z106" s="10" t="n">
        <f>ROUND($J106*1.637*1.75*2.1*2.3*2.6*3.2*4.2*2.4*1,0)</f>
        <v>280823264258</v>
      </c>
      <c r="AA106" s="5">
        <f t="shared" si="35"/>
        <v>140</v>
      </c>
      <c r="AB106" s="9" t="n">
        <f>ROUND($J106*1.637*1.75*2.1*2.3*2.6*3.2*4.2*2.4*2.5*1,0)</f>
        <v>702058160644</v>
      </c>
      <c r="AC106" s="3">
        <f t="shared" si="36"/>
        <v>142</v>
      </c>
      <c r="AD106" s="10" t="n">
        <f>ROUND($J106*1.637*1.75*2.1*2.3*2.6*3.2*4.2*2.4*2.5*2.8*1,0)</f>
        <v>1965762849803</v>
      </c>
      <c r="AE106" s="5">
        <f t="shared" si="37"/>
        <v>145</v>
      </c>
      <c r="AF106" s="9" t="n">
        <f>ROUND($J106*1.637*1.75*2.1*2.3*2.6*3.2*4.2*2.4*2.5*2.8*3.2*1,0)</f>
        <v>6290441119369</v>
      </c>
      <c r="AG106" s="3">
        <f t="shared" si="38"/>
        <v>148</v>
      </c>
      <c r="AH106" s="10" t="n">
        <f>ROUND($J106*1.637*1.75*2.1*2.3*2.6*3.2*4.2*2.4*2.5*2.8*3.2*3.8*1,0)</f>
        <v>23903676253602</v>
      </c>
    </row>
    <row r="107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 t="n">
        <f>ROUND($J107*1.637*0.8,0)</f>
        <v>199059200</v>
      </c>
      <c r="M107" s="3">
        <f t="shared" si="28"/>
        <v>123</v>
      </c>
      <c r="N107" s="10" t="n">
        <f>ROUND($J107*1.637*1.75*0.8,0)</f>
        <v>348353600</v>
      </c>
      <c r="O107" s="5">
        <f t="shared" si="29"/>
        <v>125</v>
      </c>
      <c r="P107" s="9" t="n">
        <f>ROUND($J107*1.637*1.75*2.1*0.8,0)</f>
        <v>731542560</v>
      </c>
      <c r="Q107" s="3">
        <f t="shared" si="30"/>
        <v>127</v>
      </c>
      <c r="R107" s="10" t="n">
        <f>ROUND($J107*1.637*1.75*2.1*2.3*0.542035092435954,0)</f>
        <v>1140000000</v>
      </c>
      <c r="S107" s="5">
        <f t="shared" si="31"/>
        <v>129</v>
      </c>
      <c r="T107" s="9" t="n">
        <f>ROUND($J107*1.637*1.75*2.1*2.3*2.6*0.544690061623969,0)</f>
        <v>2978518117</v>
      </c>
      <c r="U107" s="3">
        <f t="shared" si="32"/>
        <v>132</v>
      </c>
      <c r="V107" s="10" t="n">
        <f>ROUND($J107*1.637*1.75*2.1*2.3*2.6*3.2*0.547345030811984,0)</f>
        <v>9577715946</v>
      </c>
      <c r="W107" s="5">
        <f t="shared" si="33"/>
        <v>136</v>
      </c>
      <c r="X107" s="9" t="n">
        <f>ROUND($J107*1.637*1.75*2.1*2.3*2.6*3.2*4.2*0.55,0)</f>
        <v>40421530461</v>
      </c>
      <c r="Y107" s="3">
        <f t="shared" si="34"/>
        <v>138</v>
      </c>
      <c r="Z107" s="10" t="n">
        <f>ROUND($J107*1.637*1.75*2.1*2.3*2.6*3.2*4.2*2.4*0.55,0)</f>
        <v>97011673107</v>
      </c>
      <c r="AA107" s="5">
        <f t="shared" si="35"/>
        <v>140</v>
      </c>
      <c r="AB107" s="9" t="n">
        <f>ROUND($J107*1.637*1.75*2.1*2.3*2.6*3.2*4.2*2.4*2.5*0.55,0)</f>
        <v>242529182768</v>
      </c>
      <c r="AC107" s="3">
        <f t="shared" si="36"/>
        <v>142</v>
      </c>
      <c r="AD107" s="10" t="n">
        <f>ROUND($J107*1.637*1.75*2.1*2.3*2.6*3.2*4.2*2.4*2.5*2.8*0.55,0)</f>
        <v>679081711750</v>
      </c>
      <c r="AE107" s="5">
        <f t="shared" si="37"/>
        <v>145</v>
      </c>
      <c r="AF107" s="9" t="n">
        <f>ROUND($J107*1.637*1.75*2.1*2.3*2.6*3.2*4.2*2.4*2.5*2.8*3.2*0.55,0)</f>
        <v>2173061477600</v>
      </c>
      <c r="AG107" s="3">
        <f t="shared" si="38"/>
        <v>148</v>
      </c>
      <c r="AH107" s="10" t="n">
        <f>ROUND($J107*1.637*1.75*2.1*2.3*2.6*3.2*4.2*2.4*2.5*2.8*3.2*3.8*0.55,0)</f>
        <v>8257633614881</v>
      </c>
    </row>
    <row r="108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 t="n">
        <f>ROUND($J108*1.637*1,0)</f>
        <v>453449000</v>
      </c>
      <c r="M108" s="3">
        <f t="shared" si="28"/>
        <v>123</v>
      </c>
      <c r="N108" s="10" t="n">
        <f>ROUND($J108*1.637*1.75*1,0)</f>
        <v>793535750</v>
      </c>
      <c r="O108" s="5">
        <f t="shared" si="29"/>
        <v>125</v>
      </c>
      <c r="P108" s="9" t="n">
        <f>ROUND($J108*1.637*1.75*2.1*1,0)</f>
        <v>1666425075</v>
      </c>
      <c r="Q108" s="3">
        <f t="shared" si="30"/>
        <v>127</v>
      </c>
      <c r="R108" s="10" t="n">
        <f>ROUND($J108*1.637*1.75*2.1*2.3*1,0)</f>
        <v>3832777673</v>
      </c>
      <c r="S108" s="5">
        <f t="shared" si="31"/>
        <v>129</v>
      </c>
      <c r="T108" s="9" t="n">
        <f>ROUND($J108*1.637*1.75*2.1*2.3*2.6*1,0)</f>
        <v>9965221949</v>
      </c>
      <c r="U108" s="3">
        <f t="shared" si="32"/>
        <v>132</v>
      </c>
      <c r="V108" s="10" t="n">
        <f>ROUND($J108*1.637*1.75*2.1*2.3*2.6*3.2*1,0)</f>
        <v>31888710235</v>
      </c>
      <c r="W108" s="5">
        <f t="shared" si="33"/>
        <v>136</v>
      </c>
      <c r="X108" s="9" t="n">
        <f>ROUND($J108*1.637*1.75*2.1*2.3*2.6*3.2*4.2*1,0)</f>
        <v>133932582988</v>
      </c>
      <c r="Y108" s="3">
        <f t="shared" si="34"/>
        <v>138</v>
      </c>
      <c r="Z108" s="10" t="n">
        <f>ROUND($J108*1.637*1.75*2.1*2.3*2.6*3.2*4.2*2.4*1,0)</f>
        <v>321438199171</v>
      </c>
      <c r="AA108" s="5">
        <f t="shared" si="35"/>
        <v>140</v>
      </c>
      <c r="AB108" s="9" t="n">
        <f>ROUND($J108*1.637*1.75*2.1*2.3*2.6*3.2*4.2*2.4*2.5*1,0)</f>
        <v>803595497927</v>
      </c>
      <c r="AC108" s="3">
        <f t="shared" si="36"/>
        <v>142</v>
      </c>
      <c r="AD108" s="10" t="n">
        <f>ROUND($J108*1.637*1.75*2.1*2.3*2.6*3.2*4.2*2.4*2.5*2.8*1,0)</f>
        <v>2250067394196</v>
      </c>
      <c r="AE108" s="5">
        <f t="shared" si="37"/>
        <v>145</v>
      </c>
      <c r="AF108" s="9" t="n">
        <f>ROUND($J108*1.637*1.75*2.1*2.3*2.6*3.2*4.2*2.4*2.5*2.8*3.2*1,0)</f>
        <v>7200215661426</v>
      </c>
      <c r="AG108" s="3">
        <f t="shared" si="38"/>
        <v>148</v>
      </c>
      <c r="AH108" s="10" t="n">
        <f>ROUND($J108*1.637*1.75*2.1*2.3*2.6*3.2*4.2*2.4*2.5*2.8*3.2*3.8*1,0)</f>
        <v>27360819513420</v>
      </c>
    </row>
    <row r="109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 t="n">
        <f>ROUND($J109*1.637*1,0)</f>
        <v>235728000</v>
      </c>
      <c r="M109" s="3">
        <f t="shared" si="28"/>
        <v>123</v>
      </c>
      <c r="N109" s="10" t="n">
        <f>ROUND($J109*1.637*1.75*1,0)</f>
        <v>412524000</v>
      </c>
      <c r="O109" s="5">
        <f t="shared" si="29"/>
        <v>125</v>
      </c>
      <c r="P109" s="9" t="n">
        <f>ROUND($J109*1.637*1.75*2.1*1,0)</f>
        <v>866300400</v>
      </c>
      <c r="Q109" s="3">
        <f t="shared" si="30"/>
        <v>127</v>
      </c>
      <c r="R109" s="10" t="n">
        <f>ROUND($J109*1.637*1.75*2.1*2.3*1,0)</f>
        <v>1992490920</v>
      </c>
      <c r="S109" s="5">
        <f t="shared" si="31"/>
        <v>129</v>
      </c>
      <c r="T109" s="9" t="n">
        <f>ROUND($J109*1.637*1.75*2.1*2.3*2.6*1,0)</f>
        <v>5180476392</v>
      </c>
      <c r="U109" s="3">
        <f t="shared" si="32"/>
        <v>132</v>
      </c>
      <c r="V109" s="10" t="n">
        <f>ROUND($J109*1.637*1.75*2.1*2.3*2.6*3.2*1,0)</f>
        <v>16577524454</v>
      </c>
      <c r="W109" s="5">
        <f t="shared" si="33"/>
        <v>136</v>
      </c>
      <c r="X109" s="9" t="n">
        <f>ROUND($J109*1.637*1.75*2.1*2.3*2.6*3.2*4.2*1,0)</f>
        <v>69625602708</v>
      </c>
      <c r="Y109" s="3">
        <f t="shared" si="34"/>
        <v>138</v>
      </c>
      <c r="Z109" s="10" t="n">
        <f>ROUND($J109*1.637*1.75*2.1*2.3*2.6*3.2*4.2*2.4*1,0)</f>
        <v>167101446500</v>
      </c>
      <c r="AA109" s="5">
        <f t="shared" si="35"/>
        <v>140</v>
      </c>
      <c r="AB109" s="9" t="n">
        <f>ROUND($J109*1.637*1.75*2.1*2.3*2.6*3.2*4.2*2.4*2.5*1,0)</f>
        <v>417753616251</v>
      </c>
      <c r="AC109" s="3">
        <f t="shared" si="36"/>
        <v>142</v>
      </c>
      <c r="AD109" s="10" t="n">
        <f>ROUND($J109*1.637*1.75*2.1*2.3*2.6*3.2*4.2*2.4*2.5*2.8*1,0)</f>
        <v>1169710125502</v>
      </c>
      <c r="AE109" s="5">
        <f t="shared" si="37"/>
        <v>145</v>
      </c>
      <c r="AF109" s="9" t="n">
        <f>ROUND($J109*1.637*1.75*2.1*2.3*2.6*3.2*4.2*2.4*2.5*2.8*3.2*1,0)</f>
        <v>3743072401608</v>
      </c>
      <c r="AG109" s="3">
        <f t="shared" si="38"/>
        <v>148</v>
      </c>
      <c r="AH109" s="10" t="n">
        <f>ROUND($J109*1.637*1.75*2.1*2.3*2.6*3.2*4.2*2.4*2.5*2.8*3.2*3.8*1,0)</f>
        <v>14223675126110</v>
      </c>
    </row>
    <row r="110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 t="n">
        <f>ROUND($J110*1.637*0.8,0)</f>
        <v>337745840</v>
      </c>
      <c r="M110" s="3">
        <f t="shared" si="28"/>
        <v>123</v>
      </c>
      <c r="N110" s="10" t="n">
        <f>ROUND($J110*1.637*1.75*0.8,0)</f>
        <v>591055220</v>
      </c>
      <c r="O110" s="5">
        <f t="shared" si="29"/>
        <v>125</v>
      </c>
      <c r="P110" s="9" t="n">
        <f>ROUND($J110*1.637*1.75*2.1*0.8,0)</f>
        <v>1241215962</v>
      </c>
      <c r="Q110" s="3">
        <f t="shared" si="30"/>
        <v>127</v>
      </c>
      <c r="R110" s="10" t="n">
        <f>ROUND($J110*1.637*1.75*2.1*2.3*0.542035092435954,0)</f>
        <v>1934250000</v>
      </c>
      <c r="S110" s="5">
        <f t="shared" si="31"/>
        <v>129</v>
      </c>
      <c r="T110" s="9" t="n">
        <f>ROUND($J110*1.637*1.75*2.1*2.3*2.6*0.544690061623969,0)</f>
        <v>5053683041</v>
      </c>
      <c r="U110" s="3">
        <f t="shared" si="32"/>
        <v>132</v>
      </c>
      <c r="V110" s="10" t="n">
        <f>ROUND($J110*1.637*1.75*2.1*2.3*2.6*3.2*0.547345030811984,0)</f>
        <v>16250611464</v>
      </c>
      <c r="W110" s="5">
        <f t="shared" si="33"/>
        <v>136</v>
      </c>
      <c r="X110" s="9" t="n">
        <f>ROUND($J110*1.637*1.75*2.1*2.3*2.6*3.2*4.2*0.55,0)</f>
        <v>68583636224</v>
      </c>
      <c r="Y110" s="3">
        <f t="shared" si="34"/>
        <v>138</v>
      </c>
      <c r="Z110" s="10" t="n">
        <f>ROUND($J110*1.637*1.75*2.1*2.3*2.6*3.2*4.2*2.4*0.55,0)</f>
        <v>164600726936</v>
      </c>
      <c r="AA110" s="5">
        <f t="shared" si="35"/>
        <v>140</v>
      </c>
      <c r="AB110" s="9" t="n">
        <f>ROUND($J110*1.637*1.75*2.1*2.3*2.6*3.2*4.2*2.4*2.5*0.55,0)</f>
        <v>411501817341</v>
      </c>
      <c r="AC110" s="3">
        <f t="shared" si="36"/>
        <v>142</v>
      </c>
      <c r="AD110" s="10" t="n">
        <f>ROUND($J110*1.637*1.75*2.1*2.3*2.6*3.2*4.2*2.4*2.5*2.8*0.55,0)</f>
        <v>1152205088555</v>
      </c>
      <c r="AE110" s="5">
        <f t="shared" si="37"/>
        <v>145</v>
      </c>
      <c r="AF110" s="9" t="n">
        <f>ROUND($J110*1.637*1.75*2.1*2.3*2.6*3.2*4.2*2.4*2.5*2.8*3.2*0.55,0)</f>
        <v>3687056283375</v>
      </c>
      <c r="AG110" s="3">
        <f t="shared" si="38"/>
        <v>148</v>
      </c>
      <c r="AH110" s="10" t="n">
        <f>ROUND($J110*1.637*1.75*2.1*2.3*2.6*3.2*4.2*2.4*2.5*2.8*3.2*3.8*0.55,0)</f>
        <v>14010813876827</v>
      </c>
    </row>
    <row r="11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 t="n">
        <f>ROUND($J111*1.637*0.8,0)</f>
        <v>154532800</v>
      </c>
      <c r="M111" s="3">
        <f t="shared" si="28"/>
        <v>123</v>
      </c>
      <c r="N111" s="10" t="n">
        <f>ROUND($J111*1.637*1.75*0.8,0)</f>
        <v>270432400</v>
      </c>
      <c r="O111" s="5">
        <f t="shared" si="29"/>
        <v>125</v>
      </c>
      <c r="P111" s="9" t="n">
        <f>ROUND($J111*1.637*1.75*2.1*0.8,0)</f>
        <v>567908040</v>
      </c>
      <c r="Q111" s="3">
        <f t="shared" si="30"/>
        <v>127</v>
      </c>
      <c r="R111" s="10" t="n">
        <f>ROUND($J111*1.637*1.75*2.1*2.3*0.542035092435954,0)</f>
        <v>885000000</v>
      </c>
      <c r="S111" s="5">
        <f t="shared" si="31"/>
        <v>129</v>
      </c>
      <c r="T111" s="9" t="n">
        <f>ROUND($J111*1.637*1.75*2.1*2.3*2.6*0.544690061623969,0)</f>
        <v>2312270643</v>
      </c>
      <c r="U111" s="3">
        <f t="shared" si="32"/>
        <v>132</v>
      </c>
      <c r="V111" s="10" t="n">
        <f>ROUND($J111*1.637*1.75*2.1*2.3*2.6*3.2*0.547345030811984,0)</f>
        <v>7435332116</v>
      </c>
      <c r="W111" s="5">
        <f t="shared" si="33"/>
        <v>136</v>
      </c>
      <c r="X111" s="9" t="n">
        <f>ROUND($J111*1.637*1.75*2.1*2.3*2.6*3.2*4.2*0.55,0)</f>
        <v>31379872332</v>
      </c>
      <c r="Y111" s="3">
        <f t="shared" si="34"/>
        <v>138</v>
      </c>
      <c r="Z111" s="10" t="n">
        <f>ROUND($J111*1.637*1.75*2.1*2.3*2.6*3.2*4.2*2.4*0.55,0)</f>
        <v>75311693596</v>
      </c>
      <c r="AA111" s="5">
        <f t="shared" si="35"/>
        <v>140</v>
      </c>
      <c r="AB111" s="9" t="n">
        <f>ROUND($J111*1.637*1.75*2.1*2.3*2.6*3.2*4.2*2.4*2.5*0.55,0)</f>
        <v>188279233991</v>
      </c>
      <c r="AC111" s="3">
        <f t="shared" si="36"/>
        <v>142</v>
      </c>
      <c r="AD111" s="10" t="n">
        <f>ROUND($J111*1.637*1.75*2.1*2.3*2.6*3.2*4.2*2.4*2.5*2.8*0.55,0)</f>
        <v>527181855174</v>
      </c>
      <c r="AE111" s="5">
        <f t="shared" si="37"/>
        <v>145</v>
      </c>
      <c r="AF111" s="9" t="n">
        <f>ROUND($J111*1.637*1.75*2.1*2.3*2.6*3.2*4.2*2.4*2.5*2.8*3.2*0.55,0)</f>
        <v>1686981936558</v>
      </c>
      <c r="AG111" s="3">
        <f t="shared" si="38"/>
        <v>148</v>
      </c>
      <c r="AH111" s="10" t="n">
        <f>ROUND($J111*1.637*1.75*2.1*2.3*2.6*3.2*4.2*2.4*2.5*2.8*3.2*3.8*0.55,0)</f>
        <v>6410531358920</v>
      </c>
    </row>
    <row r="112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 t="n">
        <f>ROUND($J112*1.637*1,0)</f>
        <v>240639000</v>
      </c>
      <c r="M112" s="3">
        <f t="shared" si="28"/>
        <v>123</v>
      </c>
      <c r="N112" s="10" t="n">
        <f>ROUND($J112*1.637*1.75*1,0)</f>
        <v>421118250</v>
      </c>
      <c r="O112" s="5">
        <f t="shared" si="29"/>
        <v>125</v>
      </c>
      <c r="P112" s="9" t="n">
        <f>ROUND($J112*1.637*1.75*2.1*1,0)</f>
        <v>884348325</v>
      </c>
      <c r="Q112" s="3">
        <f t="shared" si="30"/>
        <v>127</v>
      </c>
      <c r="R112" s="10" t="n">
        <f>ROUND($J112*1.637*1.75*2.1*2.3*1,0)</f>
        <v>2034001148</v>
      </c>
      <c r="S112" s="5">
        <f t="shared" si="31"/>
        <v>129</v>
      </c>
      <c r="T112" s="9" t="n">
        <f>ROUND($J112*1.637*1.75*2.1*2.3*2.6*1,0)</f>
        <v>5288402984</v>
      </c>
      <c r="U112" s="3">
        <f t="shared" si="32"/>
        <v>132</v>
      </c>
      <c r="V112" s="10" t="n">
        <f>ROUND($J112*1.637*1.75*2.1*2.3*2.6*3.2*1,0)</f>
        <v>16922889547</v>
      </c>
      <c r="W112" s="5">
        <f t="shared" si="33"/>
        <v>136</v>
      </c>
      <c r="X112" s="9" t="n">
        <f>ROUND($J112*1.637*1.75*2.1*2.3*2.6*3.2*4.2*1,0)</f>
        <v>71076136098</v>
      </c>
      <c r="Y112" s="3">
        <f t="shared" si="34"/>
        <v>138</v>
      </c>
      <c r="Z112" s="10" t="n">
        <f>ROUND($J112*1.637*1.75*2.1*2.3*2.6*3.2*4.2*2.4*1,0)</f>
        <v>170582726636</v>
      </c>
      <c r="AA112" s="5">
        <f t="shared" si="35"/>
        <v>140</v>
      </c>
      <c r="AB112" s="9" t="n">
        <f>ROUND($J112*1.637*1.75*2.1*2.3*2.6*3.2*4.2*2.4*2.5*1,0)</f>
        <v>426456816589</v>
      </c>
      <c r="AC112" s="3">
        <f t="shared" si="36"/>
        <v>142</v>
      </c>
      <c r="AD112" s="10" t="n">
        <f>ROUND($J112*1.637*1.75*2.1*2.3*2.6*3.2*4.2*2.4*2.5*2.8*1,0)</f>
        <v>1194079086450</v>
      </c>
      <c r="AE112" s="5">
        <f t="shared" si="37"/>
        <v>145</v>
      </c>
      <c r="AF112" s="9" t="n">
        <f>ROUND($J112*1.637*1.75*2.1*2.3*2.6*3.2*4.2*2.4*2.5*2.8*3.2*1,0)</f>
        <v>3821053076641</v>
      </c>
      <c r="AG112" s="3">
        <f t="shared" si="38"/>
        <v>148</v>
      </c>
      <c r="AH112" s="10" t="n">
        <f>ROUND($J112*1.637*1.75*2.1*2.3*2.6*3.2*4.2*2.4*2.5*2.8*3.2*3.8*1,0)</f>
        <v>14520001691237</v>
      </c>
    </row>
    <row r="113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 t="n">
        <f>ROUND($J113*1.637*1,0)</f>
        <v>373399700</v>
      </c>
      <c r="M113" s="3">
        <f t="shared" si="28"/>
        <v>123</v>
      </c>
      <c r="N113" s="10" t="n">
        <f>ROUND($J113*1.637*1.75*1,0)</f>
        <v>653449475</v>
      </c>
      <c r="O113" s="5">
        <f t="shared" si="29"/>
        <v>125</v>
      </c>
      <c r="P113" s="9" t="n">
        <f>ROUND($J113*1.637*1.75*2.1*1,0)</f>
        <v>1372243898</v>
      </c>
      <c r="Q113" s="3">
        <f t="shared" si="30"/>
        <v>127</v>
      </c>
      <c r="R113" s="10" t="n">
        <f>ROUND($J113*1.637*1.75*2.1*2.3*1,0)</f>
        <v>3156160964</v>
      </c>
      <c r="S113" s="5">
        <f t="shared" si="31"/>
        <v>129</v>
      </c>
      <c r="T113" s="9" t="n">
        <f>ROUND($J113*1.637*1.75*2.1*2.3*2.6*1,0)</f>
        <v>8206018507</v>
      </c>
      <c r="U113" s="3">
        <f t="shared" si="32"/>
        <v>132</v>
      </c>
      <c r="V113" s="10" t="n">
        <f>ROUND($J113*1.637*1.75*2.1*2.3*2.6*3.2*1,0)</f>
        <v>26259259223</v>
      </c>
      <c r="W113" s="5">
        <f t="shared" si="33"/>
        <v>136</v>
      </c>
      <c r="X113" s="9" t="n">
        <f>ROUND($J113*1.637*1.75*2.1*2.3*2.6*3.2*4.2*1,0)</f>
        <v>110288888735</v>
      </c>
      <c r="Y113" s="3">
        <f t="shared" si="34"/>
        <v>138</v>
      </c>
      <c r="Z113" s="10" t="n">
        <f>ROUND($J113*1.637*1.75*2.1*2.3*2.6*3.2*4.2*2.4*1,0)</f>
        <v>264693332963</v>
      </c>
      <c r="AA113" s="5">
        <f t="shared" si="35"/>
        <v>140</v>
      </c>
      <c r="AB113" s="9" t="n">
        <f>ROUND($J113*1.637*1.75*2.1*2.3*2.6*3.2*4.2*2.4*2.5*1,0)</f>
        <v>661733332409</v>
      </c>
      <c r="AC113" s="3">
        <f t="shared" si="36"/>
        <v>142</v>
      </c>
      <c r="AD113" s="10" t="n">
        <f>ROUND($J113*1.637*1.75*2.1*2.3*2.6*3.2*4.2*2.4*2.5*2.8*1,0)</f>
        <v>1852853330744</v>
      </c>
      <c r="AE113" s="5">
        <f t="shared" si="37"/>
        <v>145</v>
      </c>
      <c r="AF113" s="9" t="n">
        <f>ROUND($J113*1.637*1.75*2.1*2.3*2.6*3.2*4.2*2.4*2.5*2.8*3.2*1,0)</f>
        <v>5929130658380</v>
      </c>
      <c r="AG113" s="3">
        <f t="shared" si="38"/>
        <v>148</v>
      </c>
      <c r="AH113" s="10" t="n">
        <f>ROUND($J113*1.637*1.75*2.1*2.3*2.6*3.2*4.2*2.4*2.5*2.8*3.2*3.8*1,0)</f>
        <v>22530696501845</v>
      </c>
    </row>
    <row r="114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 t="n">
        <f t="shared" ref="L114:L128" si="45">ROUND($J114*1.637*0.8,0)</f>
        <v>289421600</v>
      </c>
      <c r="M114" s="3">
        <f t="shared" si="28"/>
        <v>122</v>
      </c>
      <c r="N114" s="10" t="n">
        <f t="shared" ref="N114:N128" si="46">ROUND($J114*1.637*1.75*0.8,0)</f>
        <v>506487800</v>
      </c>
      <c r="O114" s="5">
        <f t="shared" si="29"/>
        <v>124</v>
      </c>
      <c r="P114" s="9" t="n">
        <f t="shared" ref="P114:P128" si="47">ROUND($J114*1.637*1.75*2.1*0.8,0)</f>
        <v>1063624380</v>
      </c>
      <c r="Q114" s="3">
        <f t="shared" si="30"/>
        <v>126</v>
      </c>
      <c r="R114" s="10" t="n">
        <f t="shared" ref="R114:R128" si="48">ROUND($J114*1.637*1.75*2.1*2.3*0.542035092435954,0)</f>
        <v>1657500000</v>
      </c>
      <c r="S114" s="5">
        <f t="shared" si="31"/>
        <v>128</v>
      </c>
      <c r="T114" s="9" t="n">
        <f t="shared" ref="T114:T128" si="49">ROUND($J114*1.637*1.75*2.1*2.3*2.6*0.544690061623969,0)</f>
        <v>4330608577</v>
      </c>
      <c r="U114" s="3">
        <f t="shared" si="32"/>
        <v>131</v>
      </c>
      <c r="V114" s="10" t="n">
        <f t="shared" ref="V114:V128" si="50">ROUND($J114*1.637*1.75*2.1*2.3*2.6*3.2*0.547345030811984,0)</f>
        <v>13925494896</v>
      </c>
      <c r="W114" s="5">
        <f t="shared" si="33"/>
        <v>135</v>
      </c>
      <c r="X114" s="9" t="n">
        <f t="shared" ref="X114:X128" si="51">ROUND($J114*1.637*1.75*2.1*2.3*2.6*3.2*4.2*0.55,0)</f>
        <v>58770777842</v>
      </c>
      <c r="Y114" s="3">
        <f t="shared" si="34"/>
        <v>137</v>
      </c>
      <c r="Z114" s="10" t="n">
        <f t="shared" ref="Z114:Z128" si="52">ROUND($J114*1.637*1.75*2.1*2.3*2.6*3.2*4.2*2.4*0.55,0)</f>
        <v>141049866820</v>
      </c>
      <c r="AA114" s="5">
        <f t="shared" si="35"/>
        <v>139</v>
      </c>
      <c r="AB114" s="9" t="n">
        <f t="shared" ref="AB114:AB128" si="53">ROUND($J114*1.637*1.75*2.1*2.3*2.6*3.2*4.2*2.4*2.5*0.55,0)</f>
        <v>352624667051</v>
      </c>
      <c r="AC114" s="3">
        <f t="shared" si="36"/>
        <v>141</v>
      </c>
      <c r="AD114" s="10" t="n">
        <f t="shared" ref="AD114:AD128" si="54">ROUND($J114*1.637*1.75*2.1*2.3*2.6*3.2*4.2*2.4*2.5*2.8*0.55,0)</f>
        <v>987349067742</v>
      </c>
      <c r="AE114" s="5">
        <f t="shared" si="37"/>
        <v>144</v>
      </c>
      <c r="AF114" s="9" t="n">
        <f t="shared" ref="AF114:AF128" si="55">ROUND($J114*1.637*1.75*2.1*2.3*2.6*3.2*4.2*2.4*2.5*2.8*3.2*0.55,0)</f>
        <v>3159517016774</v>
      </c>
      <c r="AG114" s="3">
        <f t="shared" si="38"/>
        <v>147</v>
      </c>
      <c r="AH114" s="10" t="n">
        <f t="shared" ref="AH114:AH128" si="56">ROUND($J114*1.637*1.75*2.1*2.3*2.6*3.2*4.2*2.4*2.5*2.8*3.2*3.8*0.55,0)</f>
        <v>12006164663741</v>
      </c>
    </row>
    <row r="115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 t="n">
        <f t="shared" ref="L129:L147" si="57">ROUND($J129*1.637*1,0)</f>
        <v>4097411000</v>
      </c>
      <c r="M129" s="3">
        <f t="shared" si="28"/>
        <v>128</v>
      </c>
      <c r="N129" s="10" t="n">
        <f t="shared" ref="N129:N147" si="58">ROUND($J129*1.637*1.75*1,0)</f>
        <v>7170469250</v>
      </c>
      <c r="O129" s="5">
        <f t="shared" si="29"/>
        <v>130</v>
      </c>
      <c r="P129" s="9" t="n">
        <f t="shared" ref="P129:P147" si="59">ROUND($J129*1.637*1.75*2.1*1,0)</f>
        <v>15057985425</v>
      </c>
      <c r="Q129" s="3">
        <f t="shared" si="30"/>
        <v>132</v>
      </c>
      <c r="R129" s="10" t="n">
        <f t="shared" ref="R129:R135" si="60">ROUND($J129*1.637*1.75*2.1*2.3*1.25,0)</f>
        <v>43291708097</v>
      </c>
      <c r="S129" s="5">
        <f t="shared" si="31"/>
        <v>134</v>
      </c>
      <c r="T129" s="9" t="n">
        <f t="shared" ref="T129:T135" si="61">ROUND($J129*1.637*1.75*2.1*2.3*2.6*1.25,0)</f>
        <v>112558441052</v>
      </c>
      <c r="U129" s="3">
        <f t="shared" si="32"/>
        <v>137</v>
      </c>
      <c r="V129" s="10" t="n">
        <f t="shared" ref="V129:V135" si="62">ROUND($J129*1.637*1.75*2.1*2.3*2.6*3.2*1.25,0)</f>
        <v>360187011366</v>
      </c>
      <c r="W129" s="5">
        <f t="shared" si="33"/>
        <v>141</v>
      </c>
      <c r="X129" s="9" t="n">
        <f t="shared" ref="X129:X135" si="63">ROUND($J129*1.637*1.75*2.1*2.3*2.6*3.2*4.2*1.25,0)</f>
        <v>1512785447737</v>
      </c>
      <c r="Y129" s="3">
        <f t="shared" si="34"/>
        <v>143</v>
      </c>
      <c r="Z129" s="10" t="n">
        <f t="shared" ref="Z129:Z135" si="64">ROUND($J129*1.637*1.75*2.1*2.3*2.6*3.2*4.2*2.4*1.25,0)</f>
        <v>3630685074569</v>
      </c>
      <c r="AA129" s="5">
        <f t="shared" si="35"/>
        <v>145</v>
      </c>
      <c r="AB129" s="9" t="n">
        <f t="shared" ref="AB129:AB135" si="65">ROUND($J129*1.637*1.75*2.1*2.3*2.6*3.2*4.2*2.4*2.5*1.25,0)</f>
        <v>9076712686423</v>
      </c>
      <c r="AC129" s="3">
        <f t="shared" si="36"/>
        <v>147</v>
      </c>
      <c r="AD129" s="10" t="n">
        <f t="shared" ref="AD129:AD135" si="66">ROUND($J129*1.637*1.75*2.1*2.3*2.6*3.2*4.2*2.4*2.5*2.8*1.25,0)</f>
        <v>25414795521985</v>
      </c>
      <c r="AE129" s="5">
        <f t="shared" si="37"/>
        <v>150</v>
      </c>
      <c r="AF129" s="9" t="n">
        <f t="shared" ref="AF129:AF135" si="67">ROUND($J129*1.637*1.75*2.1*2.3*2.6*3.2*4.2*2.4*2.5*2.8*3.2*1.25,0)</f>
        <v>81327345670352</v>
      </c>
      <c r="AG129" s="3">
        <f t="shared" si="38"/>
        <v>153</v>
      </c>
      <c r="AH129" s="10" t="n">
        <f t="shared" ref="AH129:AH135" si="68">ROUND($J129*1.637*1.75*2.1*2.3*2.6*3.2*4.2*2.4*2.5*2.8*3.2*3.8*1.25,0)</f>
        <v>309043913547337</v>
      </c>
    </row>
    <row r="130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 t="shared" ref="K131:K194" si="69">$E131+1</f>
        <v>127</v>
      </c>
      <c r="L131" s="9">
        <f t="shared" si="57"/>
        <v>2023332000</v>
      </c>
      <c r="M131" s="3" t="n">
        <f t="shared" ref="M131:M194" si="70">$E131+2</f>
        <v>128</v>
      </c>
      <c r="N131" s="10">
        <f t="shared" si="58"/>
        <v>3540831000</v>
      </c>
      <c r="O131" s="5" t="n">
        <f t="shared" ref="O131:O194" si="71">$E131+4</f>
        <v>130</v>
      </c>
      <c r="P131" s="9">
        <f t="shared" si="59"/>
        <v>7435745100</v>
      </c>
      <c r="Q131" s="3" t="n">
        <f t="shared" ref="Q131:Q194" si="72">$E131+6</f>
        <v>132</v>
      </c>
      <c r="R131" s="10">
        <f t="shared" si="60"/>
        <v>21377767163</v>
      </c>
      <c r="S131" s="5" t="n">
        <f t="shared" ref="S131:S194" si="73">$E131+8</f>
        <v>134</v>
      </c>
      <c r="T131" s="9">
        <f t="shared" si="61"/>
        <v>55582194623</v>
      </c>
      <c r="U131" s="3" t="n">
        <f t="shared" ref="U131:U194" si="74">$E131+11</f>
        <v>137</v>
      </c>
      <c r="V131" s="10">
        <f t="shared" si="62"/>
        <v>177863022792</v>
      </c>
      <c r="W131" s="5" t="n">
        <f t="shared" ref="W131:W194" si="75">$E131+15</f>
        <v>141</v>
      </c>
      <c r="X131" s="9">
        <f t="shared" si="63"/>
        <v>747024695726</v>
      </c>
      <c r="Y131" s="3" t="n">
        <f t="shared" ref="Y131:Y194" si="76">$E131+17</f>
        <v>143</v>
      </c>
      <c r="Z131" s="10">
        <f t="shared" si="64"/>
        <v>1792859269743</v>
      </c>
      <c r="AA131" s="5" t="n">
        <f t="shared" ref="AA131:AA194" si="77">$E131+19</f>
        <v>145</v>
      </c>
      <c r="AB131" s="9">
        <f t="shared" si="65"/>
        <v>4482148174358</v>
      </c>
      <c r="AC131" s="3" t="n">
        <f t="shared" ref="AC131:AC194" si="78">$E131+21</f>
        <v>147</v>
      </c>
      <c r="AD131" s="10">
        <f t="shared" si="66"/>
        <v>12550014888204</v>
      </c>
      <c r="AE131" s="5" t="n">
        <f t="shared" ref="AE131:AE194" si="79">$E131+24</f>
        <v>150</v>
      </c>
      <c r="AF131" s="9">
        <f t="shared" si="67"/>
        <v>40160047642251</v>
      </c>
      <c r="AG131" s="3" t="n">
        <f t="shared" ref="AG131:AG194" si="80">$E131+27</f>
        <v>153</v>
      </c>
      <c r="AH131" s="10">
        <f t="shared" si="68"/>
        <v>152608181040555</v>
      </c>
    </row>
    <row r="132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 t="n">
        <f>ROUND($J136*1.637*1.75*2.1*2.3*1,0)</f>
        <v>671082011</v>
      </c>
      <c r="S136" s="5">
        <f t="shared" si="73"/>
        <v>133</v>
      </c>
      <c r="T136" s="9" t="n">
        <f>ROUND($J136*1.637*1.75*2.1*2.3*2.6*1,0)</f>
        <v>1744813229</v>
      </c>
      <c r="U136" s="3">
        <f t="shared" si="74"/>
        <v>136</v>
      </c>
      <c r="V136" s="10" t="n">
        <f>ROUND($J136*1.637*1.75*2.1*2.3*2.6*3.2*1,0)</f>
        <v>5583402334</v>
      </c>
      <c r="W136" s="5">
        <f t="shared" si="75"/>
        <v>140</v>
      </c>
      <c r="X136" s="9" t="n">
        <f>ROUND($J136*1.637*1.75*2.1*2.3*2.6*3.2*4.2*1,0)</f>
        <v>23450289801</v>
      </c>
      <c r="Y136" s="3">
        <f t="shared" si="76"/>
        <v>142</v>
      </c>
      <c r="Z136" s="10" t="n">
        <f>ROUND($J136*1.637*1.75*2.1*2.3*2.6*3.2*4.2*2.4*1,0)</f>
        <v>56280695523</v>
      </c>
      <c r="AA136" s="5">
        <f t="shared" si="77"/>
        <v>144</v>
      </c>
      <c r="AB136" s="9" t="n">
        <f>ROUND($J136*1.637*1.75*2.1*2.3*2.6*3.2*4.2*2.4*2.5*1,0)</f>
        <v>140701738807</v>
      </c>
      <c r="AC136" s="3">
        <f t="shared" si="78"/>
        <v>146</v>
      </c>
      <c r="AD136" s="10" t="n">
        <f>ROUND($J136*1.637*1.75*2.1*2.3*2.6*3.2*4.2*2.4*2.5*2.8*1,0)</f>
        <v>393964868659</v>
      </c>
      <c r="AE136" s="5">
        <f t="shared" si="79"/>
        <v>149</v>
      </c>
      <c r="AF136" s="9" t="n">
        <f>ROUND($J136*1.637*1.75*2.1*2.3*2.6*3.2*4.2*2.4*2.5*2.8*3.2*1,0)</f>
        <v>1260687579708</v>
      </c>
      <c r="AG136" s="3">
        <f t="shared" si="80"/>
        <v>152</v>
      </c>
      <c r="AH136" s="10" t="n">
        <f>ROUND($J136*1.637*1.75*2.1*2.3*2.6*3.2*4.2*2.4*2.5*2.8*3.2*3.8*1,0)</f>
        <v>4790612802891</v>
      </c>
    </row>
    <row r="137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 t="n">
        <f>ROUND($J137*1.637*1.75*2.1*2.3*1.25,0)</f>
        <v>5724952209</v>
      </c>
      <c r="S137" s="5">
        <f t="shared" si="73"/>
        <v>133</v>
      </c>
      <c r="T137" s="9" t="n">
        <f>ROUND($J137*1.637*1.75*2.1*2.3*2.6*1.25,0)</f>
        <v>14884875744</v>
      </c>
      <c r="U137" s="3">
        <f t="shared" si="74"/>
        <v>136</v>
      </c>
      <c r="V137" s="10" t="n">
        <f>ROUND($J137*1.637*1.75*2.1*2.3*2.6*3.2*1.25,0)</f>
        <v>47631602382</v>
      </c>
      <c r="W137" s="5">
        <f t="shared" si="75"/>
        <v>140</v>
      </c>
      <c r="X137" s="9" t="n">
        <f>ROUND($J137*1.637*1.75*2.1*2.3*2.6*3.2*4.2*1.25,0)</f>
        <v>200052730004</v>
      </c>
      <c r="Y137" s="3">
        <f t="shared" si="76"/>
        <v>142</v>
      </c>
      <c r="Z137" s="10" t="n">
        <f>ROUND($J137*1.637*1.75*2.1*2.3*2.6*3.2*4.2*2.4*1.25,0)</f>
        <v>480126552011</v>
      </c>
      <c r="AA137" s="5">
        <f t="shared" si="77"/>
        <v>144</v>
      </c>
      <c r="AB137" s="9" t="n">
        <f>ROUND($J137*1.637*1.75*2.1*2.3*2.6*3.2*4.2*2.4*2.5*1.25,0)</f>
        <v>1200316380026</v>
      </c>
      <c r="AC137" s="3">
        <f t="shared" si="78"/>
        <v>146</v>
      </c>
      <c r="AD137" s="10" t="n">
        <f>ROUND($J137*1.637*1.75*2.1*2.3*2.6*3.2*4.2*2.4*2.5*2.8*1.25,0)</f>
        <v>3360885864074</v>
      </c>
      <c r="AE137" s="5">
        <f t="shared" si="79"/>
        <v>149</v>
      </c>
      <c r="AF137" s="9" t="n">
        <f>ROUND($J137*1.637*1.75*2.1*2.3*2.6*3.2*4.2*2.4*2.5*2.8*3.2*1.25,0)</f>
        <v>10754834765037</v>
      </c>
      <c r="AG137" s="3">
        <f t="shared" si="80"/>
        <v>152</v>
      </c>
      <c r="AH137" s="10" t="n">
        <f>ROUND($J137*1.637*1.75*2.1*2.3*2.6*3.2*4.2*2.4*2.5*2.8*3.2*3.8*1.25,0)</f>
        <v>40868372107139</v>
      </c>
    </row>
    <row r="138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 t="n">
        <f>ROUND($J138*1.637*1.75*2.1*2.3*1.25,0)</f>
        <v>3407297841</v>
      </c>
      <c r="S138" s="5">
        <f t="shared" si="73"/>
        <v>133</v>
      </c>
      <c r="T138" s="9" t="n">
        <f>ROUND($J138*1.637*1.75*2.1*2.3*2.6*1.25,0)</f>
        <v>8858974386</v>
      </c>
      <c r="U138" s="3">
        <f t="shared" si="74"/>
        <v>136</v>
      </c>
      <c r="V138" s="10" t="n">
        <f>ROUND($J138*1.637*1.75*2.1*2.3*2.6*3.2*1.25,0)</f>
        <v>28348718034</v>
      </c>
      <c r="W138" s="5">
        <f t="shared" si="75"/>
        <v>140</v>
      </c>
      <c r="X138" s="9" t="n">
        <f>ROUND($J138*1.637*1.75*2.1*2.3*2.6*3.2*4.2*1.25,0)</f>
        <v>119064615743</v>
      </c>
      <c r="Y138" s="3">
        <f t="shared" si="76"/>
        <v>142</v>
      </c>
      <c r="Z138" s="10" t="n">
        <f>ROUND($J138*1.637*1.75*2.1*2.3*2.6*3.2*4.2*2.4*1.25,0)</f>
        <v>285755077783</v>
      </c>
      <c r="AA138" s="5">
        <f t="shared" si="77"/>
        <v>144</v>
      </c>
      <c r="AB138" s="9" t="n">
        <f>ROUND($J138*1.637*1.75*2.1*2.3*2.6*3.2*4.2*2.4*2.5*1.25,0)</f>
        <v>714387694457</v>
      </c>
      <c r="AC138" s="3">
        <f t="shared" si="78"/>
        <v>146</v>
      </c>
      <c r="AD138" s="10" t="n">
        <f>ROUND($J138*1.637*1.75*2.1*2.3*2.6*3.2*4.2*2.4*2.5*2.8*1.25,0)</f>
        <v>2000285544479</v>
      </c>
      <c r="AE138" s="5">
        <f t="shared" si="79"/>
        <v>149</v>
      </c>
      <c r="AF138" s="9" t="n">
        <f>ROUND($J138*1.637*1.75*2.1*2.3*2.6*3.2*4.2*2.4*2.5*2.8*3.2*1.25,0)</f>
        <v>6400913742333</v>
      </c>
      <c r="AG138" s="3">
        <f t="shared" si="80"/>
        <v>152</v>
      </c>
      <c r="AH138" s="10" t="n">
        <f>ROUND($J138*1.637*1.75*2.1*2.3*2.6*3.2*4.2*2.4*2.5*2.8*3.2*3.8*1.25,0)</f>
        <v>24323472220865</v>
      </c>
    </row>
    <row r="139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 t="n">
        <f>ROUND($J139*1.637*1.75*2.1*2.3*1,0)</f>
        <v>795612694</v>
      </c>
      <c r="S139" s="5">
        <f t="shared" si="73"/>
        <v>133</v>
      </c>
      <c r="T139" s="9" t="n">
        <f>ROUND($J139*1.637*1.75*2.1*2.3*2.6*1,0)</f>
        <v>2068593004</v>
      </c>
      <c r="U139" s="3">
        <f t="shared" si="74"/>
        <v>136</v>
      </c>
      <c r="V139" s="10" t="n">
        <f>ROUND($J139*1.637*1.75*2.1*2.3*2.6*3.2*1,0)</f>
        <v>6619497612</v>
      </c>
      <c r="W139" s="5">
        <f t="shared" si="75"/>
        <v>140</v>
      </c>
      <c r="X139" s="9" t="n">
        <f>ROUND($J139*1.637*1.75*2.1*2.3*2.6*3.2*4.2*1,0)</f>
        <v>27801889970</v>
      </c>
      <c r="Y139" s="3">
        <f t="shared" si="76"/>
        <v>142</v>
      </c>
      <c r="Z139" s="10" t="n">
        <f>ROUND($J139*1.637*1.75*2.1*2.3*2.6*3.2*4.2*2.4*1,0)</f>
        <v>66724535929</v>
      </c>
      <c r="AA139" s="5">
        <f t="shared" si="77"/>
        <v>144</v>
      </c>
      <c r="AB139" s="9" t="n">
        <f>ROUND($J139*1.637*1.75*2.1*2.3*2.6*3.2*4.2*2.4*2.5*1,0)</f>
        <v>166811339822</v>
      </c>
      <c r="AC139" s="3">
        <f t="shared" si="78"/>
        <v>146</v>
      </c>
      <c r="AD139" s="10" t="n">
        <f>ROUND($J139*1.637*1.75*2.1*2.3*2.6*3.2*4.2*2.4*2.5*2.8*1,0)</f>
        <v>467071751503</v>
      </c>
      <c r="AE139" s="5">
        <f t="shared" si="79"/>
        <v>149</v>
      </c>
      <c r="AF139" s="9" t="n">
        <f>ROUND($J139*1.637*1.75*2.1*2.3*2.6*3.2*4.2*2.4*2.5*2.8*3.2*1,0)</f>
        <v>1494629604809</v>
      </c>
      <c r="AG139" s="3">
        <f t="shared" si="80"/>
        <v>152</v>
      </c>
      <c r="AH139" s="10" t="n">
        <f>ROUND($J139*1.637*1.75*2.1*2.3*2.6*3.2*4.2*2.4*2.5*2.8*3.2*3.8*1,0)</f>
        <v>5679592498273</v>
      </c>
    </row>
    <row r="140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 t="n">
        <f>ROUND($J140*1.637*1.75*2.1*2.3*1,0)</f>
        <v>300257312</v>
      </c>
      <c r="S140" s="5">
        <f t="shared" si="73"/>
        <v>132</v>
      </c>
      <c r="T140" s="9" t="n">
        <f>ROUND($J140*1.637*1.75*2.1*2.3*2.6*1,0)</f>
        <v>780669012</v>
      </c>
      <c r="U140" s="3">
        <f t="shared" si="74"/>
        <v>135</v>
      </c>
      <c r="V140" s="10" t="n">
        <f>ROUND($J140*1.637*1.75*2.1*2.3*2.6*3.2*1,0)</f>
        <v>2498140838</v>
      </c>
      <c r="W140" s="5">
        <f t="shared" si="75"/>
        <v>139</v>
      </c>
      <c r="X140" s="9" t="n">
        <f>ROUND($J140*1.637*1.75*2.1*2.3*2.6*3.2*4.2*1,0)</f>
        <v>10492191519</v>
      </c>
      <c r="Y140" s="3">
        <f t="shared" si="76"/>
        <v>141</v>
      </c>
      <c r="Z140" s="10" t="n">
        <f>ROUND($J140*1.637*1.75*2.1*2.3*2.6*3.2*4.2*2.4*1,0)</f>
        <v>25181259646</v>
      </c>
      <c r="AA140" s="5">
        <f t="shared" si="77"/>
        <v>143</v>
      </c>
      <c r="AB140" s="9" t="n">
        <f>ROUND($J140*1.637*1.75*2.1*2.3*2.6*3.2*4.2*2.4*2.5*1,0)</f>
        <v>62953149116</v>
      </c>
      <c r="AC140" s="3">
        <f t="shared" si="78"/>
        <v>145</v>
      </c>
      <c r="AD140" s="10" t="n">
        <f>ROUND($J140*1.637*1.75*2.1*2.3*2.6*3.2*4.2*2.4*2.5*2.8*1,0)</f>
        <v>176268817524</v>
      </c>
      <c r="AE140" s="5">
        <f t="shared" si="79"/>
        <v>148</v>
      </c>
      <c r="AF140" s="9" t="n">
        <f>ROUND($J140*1.637*1.75*2.1*2.3*2.6*3.2*4.2*2.4*2.5*2.8*3.2*1,0)</f>
        <v>564060216076</v>
      </c>
      <c r="AG140" s="3">
        <f t="shared" si="80"/>
        <v>151</v>
      </c>
      <c r="AH140" s="10" t="n">
        <f>ROUND($J140*1.637*1.75*2.1*2.3*2.6*3.2*4.2*2.4*2.5*2.8*3.2*3.8*1,0)</f>
        <v>2143428821087</v>
      </c>
    </row>
    <row r="14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 t="n">
        <f>ROUND($J141*1.637*1.75*2.1*2.3*1,0)</f>
        <v>268432805</v>
      </c>
      <c r="S141" s="5">
        <f t="shared" si="73"/>
        <v>132</v>
      </c>
      <c r="T141" s="9" t="n">
        <f>ROUND($J141*1.637*1.75*2.1*2.3*2.6*1,0)</f>
        <v>697925292</v>
      </c>
      <c r="U141" s="3">
        <f t="shared" si="74"/>
        <v>135</v>
      </c>
      <c r="V141" s="10" t="n">
        <f>ROUND($J141*1.637*1.75*2.1*2.3*2.6*3.2*1,0)</f>
        <v>2233360933</v>
      </c>
      <c r="W141" s="5">
        <f t="shared" si="75"/>
        <v>139</v>
      </c>
      <c r="X141" s="9" t="n">
        <f>ROUND($J141*1.637*1.75*2.1*2.3*2.6*3.2*4.2*1,0)</f>
        <v>9380115920</v>
      </c>
      <c r="Y141" s="3">
        <f t="shared" si="76"/>
        <v>141</v>
      </c>
      <c r="Z141" s="10" t="n">
        <f>ROUND($J141*1.637*1.75*2.1*2.3*2.6*3.2*4.2*2.4*1,0)</f>
        <v>22512278209</v>
      </c>
      <c r="AA141" s="5">
        <f t="shared" si="77"/>
        <v>143</v>
      </c>
      <c r="AB141" s="9" t="n">
        <f>ROUND($J141*1.637*1.75*2.1*2.3*2.6*3.2*4.2*2.4*2.5*1,0)</f>
        <v>56280695523</v>
      </c>
      <c r="AC141" s="3">
        <f t="shared" si="78"/>
        <v>145</v>
      </c>
      <c r="AD141" s="10" t="n">
        <f>ROUND($J141*1.637*1.75*2.1*2.3*2.6*3.2*4.2*2.4*2.5*2.8*1,0)</f>
        <v>157585947464</v>
      </c>
      <c r="AE141" s="5">
        <f t="shared" si="79"/>
        <v>148</v>
      </c>
      <c r="AF141" s="9" t="n">
        <f>ROUND($J141*1.637*1.75*2.1*2.3*2.6*3.2*4.2*2.4*2.5*2.8*3.2*1,0)</f>
        <v>504275031883</v>
      </c>
      <c r="AG141" s="3">
        <f t="shared" si="80"/>
        <v>151</v>
      </c>
      <c r="AH141" s="10" t="n">
        <f>ROUND($J141*1.637*1.75*2.1*2.3*2.6*3.2*4.2*2.4*2.5*2.8*3.2*3.8*1,0)</f>
        <v>1916245121156</v>
      </c>
    </row>
    <row r="142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 t="n">
        <f>ROUND($J142*1.637*1.75*2.1*2.3*1.25,0)</f>
        <v>323433856</v>
      </c>
      <c r="S142" s="5">
        <f t="shared" si="73"/>
        <v>132</v>
      </c>
      <c r="T142" s="9" t="n">
        <f>ROUND($J142*1.637*1.75*2.1*2.3*2.6*1.25,0)</f>
        <v>840928025</v>
      </c>
      <c r="U142" s="3">
        <f t="shared" si="74"/>
        <v>135</v>
      </c>
      <c r="V142" s="10" t="n">
        <f>ROUND($J142*1.637*1.75*2.1*2.3*2.6*3.2*1.25,0)</f>
        <v>2690969681</v>
      </c>
      <c r="W142" s="5">
        <f t="shared" si="75"/>
        <v>139</v>
      </c>
      <c r="X142" s="9" t="n">
        <f>ROUND($J142*1.637*1.75*2.1*2.3*2.6*3.2*4.2*1.25,0)</f>
        <v>11302072662</v>
      </c>
      <c r="Y142" s="3">
        <f t="shared" si="76"/>
        <v>141</v>
      </c>
      <c r="Z142" s="10" t="n">
        <f>ROUND($J142*1.637*1.75*2.1*2.3*2.6*3.2*4.2*2.4*1.25,0)</f>
        <v>27124974389</v>
      </c>
      <c r="AA142" s="5">
        <f t="shared" si="77"/>
        <v>143</v>
      </c>
      <c r="AB142" s="9" t="n">
        <f>ROUND($J142*1.637*1.75*2.1*2.3*2.6*3.2*4.2*2.4*2.5*1.25,0)</f>
        <v>67812435971</v>
      </c>
      <c r="AC142" s="3">
        <f t="shared" si="78"/>
        <v>145</v>
      </c>
      <c r="AD142" s="10" t="n">
        <f>ROUND($J142*1.637*1.75*2.1*2.3*2.6*3.2*4.2*2.4*2.5*2.8*1.25,0)</f>
        <v>189874820720</v>
      </c>
      <c r="AE142" s="5">
        <f t="shared" si="79"/>
        <v>148</v>
      </c>
      <c r="AF142" s="9" t="n">
        <f>ROUND($J142*1.637*1.75*2.1*2.3*2.6*3.2*4.2*2.4*2.5*2.8*3.2*1.25,0)</f>
        <v>607599426303</v>
      </c>
      <c r="AG142" s="3">
        <f t="shared" si="80"/>
        <v>151</v>
      </c>
      <c r="AH142" s="10" t="n">
        <f>ROUND($J142*1.637*1.75*2.1*2.3*2.6*3.2*4.2*2.4*2.5*2.8*3.2*3.8*1.25,0)</f>
        <v>2308877819950</v>
      </c>
    </row>
    <row r="143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 t="n">
        <f>ROUND($J143*1.637*1.75*2.1*2.3*1,0)</f>
        <v>272583827</v>
      </c>
      <c r="S143" s="5">
        <f t="shared" si="73"/>
        <v>132</v>
      </c>
      <c r="T143" s="9" t="n">
        <f>ROUND($J143*1.637*1.75*2.1*2.3*2.6*1,0)</f>
        <v>708717951</v>
      </c>
      <c r="U143" s="3">
        <f t="shared" si="74"/>
        <v>135</v>
      </c>
      <c r="V143" s="10" t="n">
        <f>ROUND($J143*1.637*1.75*2.1*2.3*2.6*3.2*1,0)</f>
        <v>2267897443</v>
      </c>
      <c r="W143" s="5">
        <f t="shared" si="75"/>
        <v>139</v>
      </c>
      <c r="X143" s="9" t="n">
        <f>ROUND($J143*1.637*1.75*2.1*2.3*2.6*3.2*4.2*1,0)</f>
        <v>9525169259</v>
      </c>
      <c r="Y143" s="3">
        <f t="shared" si="76"/>
        <v>141</v>
      </c>
      <c r="Z143" s="10" t="n">
        <f>ROUND($J143*1.637*1.75*2.1*2.3*2.6*3.2*4.2*2.4*1,0)</f>
        <v>22860406223</v>
      </c>
      <c r="AA143" s="5">
        <f t="shared" si="77"/>
        <v>143</v>
      </c>
      <c r="AB143" s="9" t="n">
        <f>ROUND($J143*1.637*1.75*2.1*2.3*2.6*3.2*4.2*2.4*2.5*1,0)</f>
        <v>57151015557</v>
      </c>
      <c r="AC143" s="3">
        <f t="shared" si="78"/>
        <v>145</v>
      </c>
      <c r="AD143" s="10" t="n">
        <f>ROUND($J143*1.637*1.75*2.1*2.3*2.6*3.2*4.2*2.4*2.5*2.8*1,0)</f>
        <v>160022843558</v>
      </c>
      <c r="AE143" s="5">
        <f t="shared" si="79"/>
        <v>148</v>
      </c>
      <c r="AF143" s="9" t="n">
        <f>ROUND($J143*1.637*1.75*2.1*2.3*2.6*3.2*4.2*2.4*2.5*2.8*3.2*1,0)</f>
        <v>512073099387</v>
      </c>
      <c r="AG143" s="3">
        <f t="shared" si="80"/>
        <v>151</v>
      </c>
      <c r="AH143" s="10" t="n">
        <f>ROUND($J143*1.637*1.75*2.1*2.3*2.6*3.2*4.2*2.4*2.5*2.8*3.2*3.8*1,0)</f>
        <v>1945877777669</v>
      </c>
    </row>
    <row r="144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 t="n">
        <f>ROUND($J144*1.637*1.75*2.1*2.3*1.25,0)</f>
        <v>385699197</v>
      </c>
      <c r="S144" s="5">
        <f t="shared" si="73"/>
        <v>132</v>
      </c>
      <c r="T144" s="9" t="n">
        <f>ROUND($J144*1.637*1.75*2.1*2.3*2.6*1.25,0)</f>
        <v>1002817913</v>
      </c>
      <c r="U144" s="3">
        <f t="shared" si="74"/>
        <v>135</v>
      </c>
      <c r="V144" s="10" t="n">
        <f>ROUND($J144*1.637*1.75*2.1*2.3*2.6*3.2*1.25,0)</f>
        <v>3209017321</v>
      </c>
      <c r="W144" s="5">
        <f t="shared" si="75"/>
        <v>139</v>
      </c>
      <c r="X144" s="9" t="n">
        <f>ROUND($J144*1.637*1.75*2.1*2.3*2.6*3.2*4.2*1.25,0)</f>
        <v>13477872747</v>
      </c>
      <c r="Y144" s="3">
        <f t="shared" si="76"/>
        <v>141</v>
      </c>
      <c r="Z144" s="10" t="n">
        <f>ROUND($J144*1.637*1.75*2.1*2.3*2.6*3.2*4.2*2.4*1.25,0)</f>
        <v>32346894592</v>
      </c>
      <c r="AA144" s="5">
        <f t="shared" si="77"/>
        <v>143</v>
      </c>
      <c r="AB144" s="9" t="n">
        <f>ROUND($J144*1.637*1.75*2.1*2.3*2.6*3.2*4.2*2.4*2.5*1.25,0)</f>
        <v>80867236479</v>
      </c>
      <c r="AC144" s="3">
        <f t="shared" si="78"/>
        <v>145</v>
      </c>
      <c r="AD144" s="10" t="n">
        <f>ROUND($J144*1.637*1.75*2.1*2.3*2.6*3.2*4.2*2.4*2.5*2.8*1.25,0)</f>
        <v>226428262142</v>
      </c>
      <c r="AE144" s="5">
        <f t="shared" si="79"/>
        <v>148</v>
      </c>
      <c r="AF144" s="9" t="n">
        <f>ROUND($J144*1.637*1.75*2.1*2.3*2.6*3.2*4.2*2.4*2.5*2.8*3.2*1.25,0)</f>
        <v>724570438853</v>
      </c>
      <c r="AG144" s="3">
        <f t="shared" si="80"/>
        <v>151</v>
      </c>
      <c r="AH144" s="10" t="n">
        <f>ROUND($J144*1.637*1.75*2.1*2.3*2.6*3.2*4.2*2.4*2.5*2.8*3.2*3.8*1.25,0)</f>
        <v>2753367667641</v>
      </c>
    </row>
    <row r="145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 t="n">
        <f>ROUND($J145*1.637*1.75*2.1*2.3*1,0)</f>
        <v>172959281</v>
      </c>
      <c r="S145" s="5">
        <f t="shared" si="73"/>
        <v>131</v>
      </c>
      <c r="T145" s="9" t="n">
        <f>ROUND($J145*1.637*1.75*2.1*2.3*2.6*1,0)</f>
        <v>449694131</v>
      </c>
      <c r="U145" s="3">
        <f t="shared" si="74"/>
        <v>134</v>
      </c>
      <c r="V145" s="10" t="n">
        <f>ROUND($J145*1.637*1.75*2.1*2.3*2.6*3.2*1,0)</f>
        <v>1439021220</v>
      </c>
      <c r="W145" s="5">
        <f t="shared" si="75"/>
        <v>138</v>
      </c>
      <c r="X145" s="9" t="n">
        <f>ROUND($J145*1.637*1.75*2.1*2.3*2.6*3.2*4.2*1,0)</f>
        <v>6043889124</v>
      </c>
      <c r="Y145" s="3">
        <f t="shared" si="76"/>
        <v>140</v>
      </c>
      <c r="Z145" s="10" t="n">
        <f>ROUND($J145*1.637*1.75*2.1*2.3*2.6*3.2*4.2*2.4*1,0)</f>
        <v>14505333898</v>
      </c>
      <c r="AA145" s="5">
        <f t="shared" si="77"/>
        <v>142</v>
      </c>
      <c r="AB145" s="9" t="n">
        <f>ROUND($J145*1.637*1.75*2.1*2.3*2.6*3.2*4.2*2.4*2.5*1,0)</f>
        <v>36263334744</v>
      </c>
      <c r="AC145" s="3">
        <f t="shared" si="78"/>
        <v>144</v>
      </c>
      <c r="AD145" s="10" t="n">
        <f>ROUND($J145*1.637*1.75*2.1*2.3*2.6*3.2*4.2*2.4*2.5*2.8*1,0)</f>
        <v>101537337283</v>
      </c>
      <c r="AE145" s="5">
        <f t="shared" si="79"/>
        <v>147</v>
      </c>
      <c r="AF145" s="9" t="n">
        <f>ROUND($J145*1.637*1.75*2.1*2.3*2.6*3.2*4.2*2.4*2.5*2.8*3.2*1,0)</f>
        <v>324919479306</v>
      </c>
      <c r="AG145" s="3">
        <f t="shared" si="80"/>
        <v>150</v>
      </c>
      <c r="AH145" s="10" t="n">
        <f>ROUND($J145*1.637*1.75*2.1*2.3*2.6*3.2*4.2*2.4*2.5*2.8*3.2*3.8*1,0)</f>
        <v>1234694021364</v>
      </c>
    </row>
    <row r="146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 t="n">
        <f>ROUND($J146*1.637*1.75*2.1*2.3*1,0)</f>
        <v>142518448</v>
      </c>
      <c r="S146" s="5">
        <f t="shared" si="73"/>
        <v>131</v>
      </c>
      <c r="T146" s="9" t="n">
        <f>ROUND($J146*1.637*1.75*2.1*2.3*2.6*1,0)</f>
        <v>370547964</v>
      </c>
      <c r="U146" s="3">
        <f t="shared" si="74"/>
        <v>134</v>
      </c>
      <c r="V146" s="10" t="n">
        <f>ROUND($J146*1.637*1.75*2.1*2.3*2.6*3.2*1,0)</f>
        <v>1185753485</v>
      </c>
      <c r="W146" s="5">
        <f t="shared" si="75"/>
        <v>138</v>
      </c>
      <c r="X146" s="9" t="n">
        <f>ROUND($J146*1.637*1.75*2.1*2.3*2.6*3.2*4.2*1,0)</f>
        <v>4980164638</v>
      </c>
      <c r="Y146" s="3">
        <f t="shared" si="76"/>
        <v>140</v>
      </c>
      <c r="Z146" s="10" t="n">
        <f>ROUND($J146*1.637*1.75*2.1*2.3*2.6*3.2*4.2*2.4*1,0)</f>
        <v>11952395132</v>
      </c>
      <c r="AA146" s="5">
        <f t="shared" si="77"/>
        <v>142</v>
      </c>
      <c r="AB146" s="9" t="n">
        <f>ROUND($J146*1.637*1.75*2.1*2.3*2.6*3.2*4.2*2.4*2.5*1,0)</f>
        <v>29880987829</v>
      </c>
      <c r="AC146" s="3">
        <f t="shared" si="78"/>
        <v>144</v>
      </c>
      <c r="AD146" s="10" t="n">
        <f>ROUND($J146*1.637*1.75*2.1*2.3*2.6*3.2*4.2*2.4*2.5*2.8*1,0)</f>
        <v>83666765921</v>
      </c>
      <c r="AE146" s="5">
        <f t="shared" si="79"/>
        <v>147</v>
      </c>
      <c r="AF146" s="9" t="n">
        <f>ROUND($J146*1.637*1.75*2.1*2.3*2.6*3.2*4.2*2.4*2.5*2.8*3.2*1,0)</f>
        <v>267733650948</v>
      </c>
      <c r="AG146" s="3">
        <f t="shared" si="80"/>
        <v>150</v>
      </c>
      <c r="AH146" s="10" t="n">
        <f>ROUND($J146*1.637*1.75*2.1*2.3*2.6*3.2*4.2*2.4*2.5*2.8*3.2*3.8*1,0)</f>
        <v>1017387873604</v>
      </c>
    </row>
    <row r="147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 t="n">
        <f>ROUND($J147*1.637*1.75*2.1*2.3*1.25,0)</f>
        <v>588061556</v>
      </c>
      <c r="S147" s="5">
        <f t="shared" si="73"/>
        <v>131</v>
      </c>
      <c r="T147" s="9" t="n">
        <f>ROUND($J147*1.637*1.75*2.1*2.3*2.6*1.25,0)</f>
        <v>1528960046</v>
      </c>
      <c r="U147" s="3">
        <f t="shared" si="74"/>
        <v>134</v>
      </c>
      <c r="V147" s="10" t="n">
        <f>ROUND($J147*1.637*1.75*2.1*2.3*2.6*3.2*1.25,0)</f>
        <v>4892672148</v>
      </c>
      <c r="W147" s="5">
        <f t="shared" si="75"/>
        <v>138</v>
      </c>
      <c r="X147" s="9" t="n">
        <f>ROUND($J147*1.637*1.75*2.1*2.3*2.6*3.2*4.2*1.25,0)</f>
        <v>20549223022</v>
      </c>
      <c r="Y147" s="3">
        <f t="shared" si="76"/>
        <v>140</v>
      </c>
      <c r="Z147" s="10" t="n">
        <f>ROUND($J147*1.637*1.75*2.1*2.3*2.6*3.2*4.2*2.4*1.25,0)</f>
        <v>49318135252</v>
      </c>
      <c r="AA147" s="5">
        <f t="shared" si="77"/>
        <v>142</v>
      </c>
      <c r="AB147" s="9" t="n">
        <f>ROUND($J147*1.637*1.75*2.1*2.3*2.6*3.2*4.2*2.4*2.5*1.25,0)</f>
        <v>123295338130</v>
      </c>
      <c r="AC147" s="3">
        <f t="shared" si="78"/>
        <v>144</v>
      </c>
      <c r="AD147" s="10" t="n">
        <f>ROUND($J147*1.637*1.75*2.1*2.3*2.6*3.2*4.2*2.4*2.5*2.8*1.25,0)</f>
        <v>345226946763</v>
      </c>
      <c r="AE147" s="5">
        <f t="shared" si="79"/>
        <v>147</v>
      </c>
      <c r="AF147" s="9" t="n">
        <f>ROUND($J147*1.637*1.75*2.1*2.3*2.6*3.2*4.2*2.4*2.5*2.8*3.2*1.25,0)</f>
        <v>1104726229641</v>
      </c>
      <c r="AG147" s="3">
        <f t="shared" si="80"/>
        <v>150</v>
      </c>
      <c r="AH147" s="10" t="n">
        <f>ROUND($J147*1.637*1.75*2.1*2.3*2.6*3.2*4.2*2.4*2.5*2.8*3.2*3.8*1.25,0)</f>
        <v>4197959672637</v>
      </c>
    </row>
    <row r="148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 t="n">
        <f>ROUND($J148*1.637*0.8,0)</f>
        <v>14929440</v>
      </c>
      <c r="M148" s="3">
        <f t="shared" si="70"/>
        <v>125</v>
      </c>
      <c r="N148" s="10" t="n">
        <f>ROUND($J148*1.637*1.75*0.8,0)</f>
        <v>26126520</v>
      </c>
      <c r="O148" s="5">
        <f t="shared" si="71"/>
        <v>127</v>
      </c>
      <c r="P148" s="9" t="n">
        <f>ROUND($J148*1.637*1.75*2.1*0.8,0)</f>
        <v>54865692</v>
      </c>
      <c r="Q148" s="3">
        <f t="shared" si="72"/>
        <v>129</v>
      </c>
      <c r="R148" s="10" t="n">
        <f>ROUND($J148*1.637*1.75*2.1*2.3*0.542035092435954,0)</f>
        <v>85500000</v>
      </c>
      <c r="S148" s="5">
        <f t="shared" si="73"/>
        <v>131</v>
      </c>
      <c r="T148" s="9" t="n">
        <f>ROUND($J148*1.637*1.75*2.1*2.3*2.6*0.544690061623969,0)</f>
        <v>223388859</v>
      </c>
      <c r="U148" s="3">
        <f t="shared" si="74"/>
        <v>134</v>
      </c>
      <c r="V148" s="10" t="n">
        <f>ROUND($J148*1.637*1.75*2.1*2.3*2.6*3.2*0.547345030811984,0)</f>
        <v>718328696</v>
      </c>
      <c r="W148" s="5">
        <f t="shared" si="75"/>
        <v>138</v>
      </c>
      <c r="X148" s="9" t="n">
        <f>ROUND($J148*1.637*1.75*2.1*2.3*2.6*3.2*4.2*0.55,0)</f>
        <v>3031614785</v>
      </c>
      <c r="Y148" s="3">
        <f t="shared" si="76"/>
        <v>140</v>
      </c>
      <c r="Z148" s="10" t="n">
        <f>ROUND($J148*1.637*1.75*2.1*2.3*2.6*3.2*4.2*2.4*0.55,0)</f>
        <v>7275875483</v>
      </c>
      <c r="AA148" s="5">
        <f t="shared" si="77"/>
        <v>142</v>
      </c>
      <c r="AB148" s="9" t="n">
        <f>ROUND($J148*1.637*1.75*2.1*2.3*2.6*3.2*4.2*2.4*2.5*0.55,0)</f>
        <v>18189688708</v>
      </c>
      <c r="AC148" s="3">
        <f t="shared" si="78"/>
        <v>144</v>
      </c>
      <c r="AD148" s="10" t="n">
        <f>ROUND($J148*1.637*1.75*2.1*2.3*2.6*3.2*4.2*2.4*2.5*2.8*0.55,0)</f>
        <v>50931128381</v>
      </c>
      <c r="AE148" s="5">
        <f t="shared" si="79"/>
        <v>147</v>
      </c>
      <c r="AF148" s="9" t="n">
        <f>ROUND($J148*1.637*1.75*2.1*2.3*2.6*3.2*4.2*2.4*2.5*2.8*3.2*0.55,0)</f>
        <v>162979610820</v>
      </c>
      <c r="AG148" s="3">
        <f t="shared" si="80"/>
        <v>150</v>
      </c>
      <c r="AH148" s="10" t="n">
        <f>ROUND($J148*1.637*1.75*2.1*2.3*2.6*3.2*4.2*2.4*2.5*2.8*3.2*3.8*0.55,0)</f>
        <v>619322521116</v>
      </c>
    </row>
    <row r="149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 t="n">
        <f>ROUND($J149*1.637*1,0)</f>
        <v>18498100</v>
      </c>
      <c r="M149" s="3">
        <f t="shared" si="70"/>
        <v>125</v>
      </c>
      <c r="N149" s="10" t="n">
        <f>ROUND($J149*1.637*1.75*1,0)</f>
        <v>32371675</v>
      </c>
      <c r="O149" s="5">
        <f t="shared" si="71"/>
        <v>127</v>
      </c>
      <c r="P149" s="9" t="n">
        <f>ROUND($J149*1.637*1.75*2.1*1,0)</f>
        <v>67980518</v>
      </c>
      <c r="Q149" s="3">
        <f t="shared" si="72"/>
        <v>129</v>
      </c>
      <c r="R149" s="10" t="n">
        <f>ROUND($J149*1.637*1.75*2.1*2.3*1.25,0)</f>
        <v>195443988</v>
      </c>
      <c r="S149" s="5">
        <f t="shared" si="73"/>
        <v>131</v>
      </c>
      <c r="T149" s="9" t="n">
        <f>ROUND($J149*1.637*1.75*2.1*2.3*2.6*1.25,0)</f>
        <v>508154368</v>
      </c>
      <c r="U149" s="3">
        <f t="shared" si="74"/>
        <v>134</v>
      </c>
      <c r="V149" s="10" t="n">
        <f>ROUND($J149*1.637*1.75*2.1*2.3*2.6*3.2*1.25,0)</f>
        <v>1626093979</v>
      </c>
      <c r="W149" s="5">
        <f t="shared" si="75"/>
        <v>138</v>
      </c>
      <c r="X149" s="9" t="n">
        <f>ROUND($J149*1.637*1.75*2.1*2.3*2.6*3.2*4.2*1.25,0)</f>
        <v>6829594710</v>
      </c>
      <c r="Y149" s="3">
        <f t="shared" si="76"/>
        <v>140</v>
      </c>
      <c r="Z149" s="10" t="n">
        <f>ROUND($J149*1.637*1.75*2.1*2.3*2.6*3.2*4.2*2.4*1.25,0)</f>
        <v>16391027304</v>
      </c>
      <c r="AA149" s="5">
        <f t="shared" si="77"/>
        <v>142</v>
      </c>
      <c r="AB149" s="9" t="n">
        <f>ROUND($J149*1.637*1.75*2.1*2.3*2.6*3.2*4.2*2.4*2.5*1.25,0)</f>
        <v>40977568261</v>
      </c>
      <c r="AC149" s="3">
        <f t="shared" si="78"/>
        <v>144</v>
      </c>
      <c r="AD149" s="10" t="n">
        <f>ROUND($J149*1.637*1.75*2.1*2.3*2.6*3.2*4.2*2.4*2.5*2.8*1.25,0)</f>
        <v>114737191130</v>
      </c>
      <c r="AE149" s="5">
        <f t="shared" si="79"/>
        <v>147</v>
      </c>
      <c r="AF149" s="9" t="n">
        <f>ROUND($J149*1.637*1.75*2.1*2.3*2.6*3.2*4.2*2.4*2.5*2.8*3.2*1.25,0)</f>
        <v>367159011616</v>
      </c>
      <c r="AG149" s="3">
        <f t="shared" si="80"/>
        <v>150</v>
      </c>
      <c r="AH149" s="10" t="n">
        <f>ROUND($J149*1.637*1.75*2.1*2.3*2.6*3.2*4.2*2.4*2.5*2.8*3.2*3.8*1.25,0)</f>
        <v>1395204244141</v>
      </c>
    </row>
    <row r="150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 t="n">
        <f>ROUND($J150*1.637*0.8,0)</f>
        <v>18072480</v>
      </c>
      <c r="M150" s="3">
        <f t="shared" si="70"/>
        <v>125</v>
      </c>
      <c r="N150" s="10" t="n">
        <f>ROUND($J150*1.637*1.75*0.8,0)</f>
        <v>31626840</v>
      </c>
      <c r="O150" s="5">
        <f t="shared" si="71"/>
        <v>127</v>
      </c>
      <c r="P150" s="9" t="n">
        <f>ROUND($J150*1.637*1.75*2.1*0.8,0)</f>
        <v>66416364</v>
      </c>
      <c r="Q150" s="3">
        <f t="shared" si="72"/>
        <v>129</v>
      </c>
      <c r="R150" s="10" t="n">
        <f>ROUND($J150*1.637*1.75*2.1*2.3*0.542035092435954,0)</f>
        <v>103500000</v>
      </c>
      <c r="S150" s="5">
        <f t="shared" si="73"/>
        <v>131</v>
      </c>
      <c r="T150" s="9" t="n">
        <f>ROUND($J150*1.637*1.75*2.1*2.3*2.6*0.544690061623969,0)</f>
        <v>270418092</v>
      </c>
      <c r="U150" s="3">
        <f t="shared" si="74"/>
        <v>134</v>
      </c>
      <c r="V150" s="10" t="n">
        <f>ROUND($J150*1.637*1.75*2.1*2.3*2.6*3.2*0.547345030811984,0)</f>
        <v>869555790</v>
      </c>
      <c r="W150" s="5">
        <f t="shared" si="75"/>
        <v>138</v>
      </c>
      <c r="X150" s="9" t="n">
        <f>ROUND($J150*1.637*1.75*2.1*2.3*2.6*3.2*4.2*0.55,0)</f>
        <v>3669849476</v>
      </c>
      <c r="Y150" s="3">
        <f t="shared" si="76"/>
        <v>140</v>
      </c>
      <c r="Z150" s="10" t="n">
        <f>ROUND($J150*1.637*1.75*2.1*2.3*2.6*3.2*4.2*2.4*0.55,0)</f>
        <v>8807638743</v>
      </c>
      <c r="AA150" s="5">
        <f t="shared" si="77"/>
        <v>142</v>
      </c>
      <c r="AB150" s="9" t="n">
        <f>ROUND($J150*1.637*1.75*2.1*2.3*2.6*3.2*4.2*2.4*2.5*0.55,0)</f>
        <v>22019096857</v>
      </c>
      <c r="AC150" s="3">
        <f t="shared" si="78"/>
        <v>144</v>
      </c>
      <c r="AD150" s="10" t="n">
        <f>ROUND($J150*1.637*1.75*2.1*2.3*2.6*3.2*4.2*2.4*2.5*2.8*0.55,0)</f>
        <v>61653471198</v>
      </c>
      <c r="AE150" s="5">
        <f t="shared" si="79"/>
        <v>147</v>
      </c>
      <c r="AF150" s="9" t="n">
        <f>ROUND($J150*1.637*1.75*2.1*2.3*2.6*3.2*4.2*2.4*2.5*2.8*3.2*0.55,0)</f>
        <v>197291107835</v>
      </c>
      <c r="AG150" s="3">
        <f t="shared" si="80"/>
        <v>150</v>
      </c>
      <c r="AH150" s="10" t="n">
        <f>ROUND($J150*1.637*1.75*2.1*2.3*2.6*3.2*4.2*2.4*2.5*2.8*3.2*3.8*0.55,0)</f>
        <v>749706209772</v>
      </c>
    </row>
    <row r="15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 t="n">
        <f>ROUND($J151*1.637*1,0)</f>
        <v>391243000</v>
      </c>
      <c r="M151" s="3">
        <f t="shared" si="70"/>
        <v>125</v>
      </c>
      <c r="N151" s="10" t="n">
        <f>ROUND($J151*1.637*1.75*1,0)</f>
        <v>684675250</v>
      </c>
      <c r="O151" s="5">
        <f t="shared" si="71"/>
        <v>127</v>
      </c>
      <c r="P151" s="9" t="n">
        <f>ROUND($J151*1.637*1.75*2.1*1,0)</f>
        <v>1437818025</v>
      </c>
      <c r="Q151" s="3">
        <f t="shared" si="72"/>
        <v>129</v>
      </c>
      <c r="R151" s="10" t="n">
        <f>ROUND($J151*1.637*1.75*2.1*2.3*1.25,0)</f>
        <v>4133726822</v>
      </c>
      <c r="S151" s="5">
        <f t="shared" si="73"/>
        <v>131</v>
      </c>
      <c r="T151" s="9" t="n">
        <f>ROUND($J151*1.637*1.75*2.1*2.3*2.6*1.25,0)</f>
        <v>10747689737</v>
      </c>
      <c r="U151" s="3">
        <f t="shared" si="74"/>
        <v>134</v>
      </c>
      <c r="V151" s="10" t="n">
        <f>ROUND($J151*1.637*1.75*2.1*2.3*2.6*3.2*1.25,0)</f>
        <v>34392607158</v>
      </c>
      <c r="W151" s="5">
        <f t="shared" si="75"/>
        <v>138</v>
      </c>
      <c r="X151" s="9" t="n">
        <f>ROUND($J151*1.637*1.75*2.1*2.3*2.6*3.2*4.2*1.25,0)</f>
        <v>144448950064</v>
      </c>
      <c r="Y151" s="3">
        <f t="shared" si="76"/>
        <v>140</v>
      </c>
      <c r="Z151" s="10" t="n">
        <f>ROUND($J151*1.637*1.75*2.1*2.3*2.6*3.2*4.2*2.4*1.25,0)</f>
        <v>346677480153</v>
      </c>
      <c r="AA151" s="5">
        <f t="shared" si="77"/>
        <v>142</v>
      </c>
      <c r="AB151" s="9" t="n">
        <f>ROUND($J151*1.637*1.75*2.1*2.3*2.6*3.2*4.2*2.4*2.5*1.25,0)</f>
        <v>866693700382</v>
      </c>
      <c r="AC151" s="3">
        <f t="shared" si="78"/>
        <v>144</v>
      </c>
      <c r="AD151" s="10" t="n">
        <f>ROUND($J151*1.637*1.75*2.1*2.3*2.6*3.2*4.2*2.4*2.5*2.8*1.25,0)</f>
        <v>2426742361068</v>
      </c>
      <c r="AE151" s="5">
        <f t="shared" si="79"/>
        <v>147</v>
      </c>
      <c r="AF151" s="9" t="n">
        <f>ROUND($J151*1.637*1.75*2.1*2.3*2.6*3.2*4.2*2.4*2.5*2.8*3.2*1.25,0)</f>
        <v>7765575555419</v>
      </c>
      <c r="AG151" s="3">
        <f t="shared" si="80"/>
        <v>150</v>
      </c>
      <c r="AH151" s="10" t="n">
        <f>ROUND($J151*1.637*1.75*2.1*2.3*2.6*3.2*4.2*2.4*2.5*2.8*3.2*3.8*1.25,0)</f>
        <v>29509187110593</v>
      </c>
    </row>
    <row r="152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 t="n">
        <f>ROUND($J152*1.637*1,0)</f>
        <v>20789900</v>
      </c>
      <c r="M152" s="3">
        <f t="shared" si="70"/>
        <v>125</v>
      </c>
      <c r="N152" s="10" t="n">
        <f>ROUND($J152*1.637*1.75*1,0)</f>
        <v>36382325</v>
      </c>
      <c r="O152" s="5">
        <f t="shared" si="71"/>
        <v>127</v>
      </c>
      <c r="P152" s="9" t="n">
        <f>ROUND($J152*1.637*1.75*2.1*1,0)</f>
        <v>76402883</v>
      </c>
      <c r="Q152" s="3">
        <f t="shared" si="72"/>
        <v>129</v>
      </c>
      <c r="R152" s="10" t="n">
        <f>ROUND($J152*1.637*1.75*2.1*2.3*1.25,0)</f>
        <v>219658287</v>
      </c>
      <c r="S152" s="5">
        <f t="shared" si="73"/>
        <v>131</v>
      </c>
      <c r="T152" s="9" t="n">
        <f>ROUND($J152*1.637*1.75*2.1*2.3*2.6*1.25,0)</f>
        <v>571111547</v>
      </c>
      <c r="U152" s="3">
        <f t="shared" si="74"/>
        <v>134</v>
      </c>
      <c r="V152" s="10" t="n">
        <f>ROUND($J152*1.637*1.75*2.1*2.3*2.6*3.2*1.25,0)</f>
        <v>1827556949</v>
      </c>
      <c r="W152" s="5">
        <f t="shared" si="75"/>
        <v>138</v>
      </c>
      <c r="X152" s="9" t="n">
        <f>ROUND($J152*1.637*1.75*2.1*2.3*2.6*3.2*4.2*1.25,0)</f>
        <v>7675739187</v>
      </c>
      <c r="Y152" s="3">
        <f t="shared" si="76"/>
        <v>140</v>
      </c>
      <c r="Z152" s="10" t="n">
        <f>ROUND($J152*1.637*1.75*2.1*2.3*2.6*3.2*4.2*2.4*1.25,0)</f>
        <v>18421774050</v>
      </c>
      <c r="AA152" s="5">
        <f t="shared" si="77"/>
        <v>142</v>
      </c>
      <c r="AB152" s="9" t="n">
        <f>ROUND($J152*1.637*1.75*2.1*2.3*2.6*3.2*4.2*2.4*2.5*1.25,0)</f>
        <v>46054435125</v>
      </c>
      <c r="AC152" s="3">
        <f t="shared" si="78"/>
        <v>144</v>
      </c>
      <c r="AD152" s="10" t="n">
        <f>ROUND($J152*1.637*1.75*2.1*2.3*2.6*3.2*4.2*2.4*2.5*2.8*1.25,0)</f>
        <v>128952418350</v>
      </c>
      <c r="AE152" s="5">
        <f t="shared" si="79"/>
        <v>147</v>
      </c>
      <c r="AF152" s="9" t="n">
        <f>ROUND($J152*1.637*1.75*2.1*2.3*2.6*3.2*4.2*2.4*2.5*2.8*3.2*1.25,0)</f>
        <v>412647738719</v>
      </c>
      <c r="AG152" s="3">
        <f t="shared" si="80"/>
        <v>150</v>
      </c>
      <c r="AH152" s="10" t="n">
        <f>ROUND($J152*1.637*1.75*2.1*2.3*2.6*3.2*4.2*2.4*2.5*2.8*3.2*3.8*1.25,0)</f>
        <v>1568061407132</v>
      </c>
    </row>
    <row r="153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 t="n">
        <f>ROUND($J153*1.637*0.8,0)</f>
        <v>15322320</v>
      </c>
      <c r="M153" s="3">
        <f t="shared" si="70"/>
        <v>125</v>
      </c>
      <c r="N153" s="10" t="n">
        <f>ROUND($J153*1.637*1.75*0.8,0)</f>
        <v>26814060</v>
      </c>
      <c r="O153" s="5">
        <f t="shared" si="71"/>
        <v>127</v>
      </c>
      <c r="P153" s="9" t="n">
        <f>ROUND($J153*1.637*1.75*2.1*0.8,0)</f>
        <v>56309526</v>
      </c>
      <c r="Q153" s="3">
        <f t="shared" si="72"/>
        <v>129</v>
      </c>
      <c r="R153" s="10" t="n">
        <f>ROUND($J153*1.637*1.75*2.1*2.3*0.542035092435954,0)</f>
        <v>87750000</v>
      </c>
      <c r="S153" s="5">
        <f t="shared" si="73"/>
        <v>131</v>
      </c>
      <c r="T153" s="9" t="n">
        <f>ROUND($J153*1.637*1.75*2.1*2.3*2.6*0.544690061623969,0)</f>
        <v>229267513</v>
      </c>
      <c r="U153" s="3">
        <f t="shared" si="74"/>
        <v>134</v>
      </c>
      <c r="V153" s="10" t="n">
        <f>ROUND($J153*1.637*1.75*2.1*2.3*2.6*3.2*0.547345030811984,0)</f>
        <v>737232083</v>
      </c>
      <c r="W153" s="5">
        <f t="shared" si="75"/>
        <v>138</v>
      </c>
      <c r="X153" s="9" t="n">
        <f>ROUND($J153*1.637*1.75*2.1*2.3*2.6*3.2*4.2*0.55,0)</f>
        <v>3111394121</v>
      </c>
      <c r="Y153" s="3">
        <f t="shared" si="76"/>
        <v>140</v>
      </c>
      <c r="Z153" s="10" t="n">
        <f>ROUND($J153*1.637*1.75*2.1*2.3*2.6*3.2*4.2*2.4*0.55,0)</f>
        <v>7467345890</v>
      </c>
      <c r="AA153" s="5">
        <f t="shared" si="77"/>
        <v>142</v>
      </c>
      <c r="AB153" s="9" t="n">
        <f>ROUND($J153*1.637*1.75*2.1*2.3*2.6*3.2*4.2*2.4*2.5*0.55,0)</f>
        <v>18668364726</v>
      </c>
      <c r="AC153" s="3">
        <f t="shared" si="78"/>
        <v>144</v>
      </c>
      <c r="AD153" s="10" t="n">
        <f>ROUND($J153*1.637*1.75*2.1*2.3*2.6*3.2*4.2*2.4*2.5*2.8*0.55,0)</f>
        <v>52271421233</v>
      </c>
      <c r="AE153" s="5">
        <f t="shared" si="79"/>
        <v>147</v>
      </c>
      <c r="AF153" s="9" t="n">
        <f>ROUND($J153*1.637*1.75*2.1*2.3*2.6*3.2*4.2*2.4*2.5*2.8*3.2*0.55,0)</f>
        <v>167268547947</v>
      </c>
      <c r="AG153" s="3">
        <f t="shared" si="80"/>
        <v>150</v>
      </c>
      <c r="AH153" s="10" t="n">
        <f>ROUND($J153*1.637*1.75*2.1*2.3*2.6*3.2*4.2*2.4*2.5*2.8*3.2*3.8*0.55,0)</f>
        <v>635620482198</v>
      </c>
    </row>
    <row r="154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 t="n">
        <f>ROUND($J154*1.637*0.8,0)</f>
        <v>17286720</v>
      </c>
      <c r="M154" s="3">
        <f t="shared" si="70"/>
        <v>125</v>
      </c>
      <c r="N154" s="10" t="n">
        <f>ROUND($J154*1.637*1.75*0.8,0)</f>
        <v>30251760</v>
      </c>
      <c r="O154" s="5">
        <f t="shared" si="71"/>
        <v>127</v>
      </c>
      <c r="P154" s="9" t="n">
        <f>ROUND($J154*1.637*1.75*2.1*0.8,0)</f>
        <v>63528696</v>
      </c>
      <c r="Q154" s="3">
        <f t="shared" si="72"/>
        <v>129</v>
      </c>
      <c r="R154" s="10" t="n">
        <f>ROUND($J154*1.637*1.75*2.1*2.3*0.542035092435954,0)</f>
        <v>99000000</v>
      </c>
      <c r="S154" s="5">
        <f t="shared" si="73"/>
        <v>131</v>
      </c>
      <c r="T154" s="9" t="n">
        <f>ROUND($J154*1.637*1.75*2.1*2.3*2.6*0.544690061623969,0)</f>
        <v>258660784</v>
      </c>
      <c r="U154" s="3">
        <f t="shared" si="74"/>
        <v>134</v>
      </c>
      <c r="V154" s="10" t="n">
        <f>ROUND($J154*1.637*1.75*2.1*2.3*2.6*3.2*0.547345030811984,0)</f>
        <v>831749016</v>
      </c>
      <c r="W154" s="5">
        <f t="shared" si="75"/>
        <v>138</v>
      </c>
      <c r="X154" s="9" t="n">
        <f>ROUND($J154*1.637*1.75*2.1*2.3*2.6*3.2*4.2*0.55,0)</f>
        <v>3510290803</v>
      </c>
      <c r="Y154" s="3">
        <f t="shared" si="76"/>
        <v>140</v>
      </c>
      <c r="Z154" s="10" t="n">
        <f>ROUND($J154*1.637*1.75*2.1*2.3*2.6*3.2*4.2*2.4*0.55,0)</f>
        <v>8424697928</v>
      </c>
      <c r="AA154" s="5">
        <f t="shared" si="77"/>
        <v>142</v>
      </c>
      <c r="AB154" s="9" t="n">
        <f>ROUND($J154*1.637*1.75*2.1*2.3*2.6*3.2*4.2*2.4*2.5*0.55,0)</f>
        <v>21061744819</v>
      </c>
      <c r="AC154" s="3">
        <f t="shared" si="78"/>
        <v>144</v>
      </c>
      <c r="AD154" s="10" t="n">
        <f>ROUND($J154*1.637*1.75*2.1*2.3*2.6*3.2*4.2*2.4*2.5*2.8*0.55,0)</f>
        <v>58972885494</v>
      </c>
      <c r="AE154" s="5">
        <f t="shared" si="79"/>
        <v>147</v>
      </c>
      <c r="AF154" s="9" t="n">
        <f>ROUND($J154*1.637*1.75*2.1*2.3*2.6*3.2*4.2*2.4*2.5*2.8*3.2*0.55,0)</f>
        <v>188713233581</v>
      </c>
      <c r="AG154" s="3">
        <f t="shared" si="80"/>
        <v>150</v>
      </c>
      <c r="AH154" s="10" t="n">
        <f>ROUND($J154*1.637*1.75*2.1*2.3*2.6*3.2*4.2*2.4*2.5*2.8*3.2*3.8*0.55,0)</f>
        <v>717110287608</v>
      </c>
    </row>
    <row r="155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 t="n">
        <f t="shared" ref="L155:L160" si="81">ROUND($J155*1.637*1,0)</f>
        <v>20462500</v>
      </c>
      <c r="M155" s="3">
        <f t="shared" si="70"/>
        <v>125</v>
      </c>
      <c r="N155" s="10" t="n">
        <f t="shared" ref="N155:N160" si="82">ROUND($J155*1.637*1.75*1,0)</f>
        <v>35809375</v>
      </c>
      <c r="O155" s="5">
        <f t="shared" si="71"/>
        <v>127</v>
      </c>
      <c r="P155" s="9" t="n">
        <f t="shared" ref="P155:P160" si="83">ROUND($J155*1.637*1.75*2.1*1,0)</f>
        <v>75199688</v>
      </c>
      <c r="Q155" s="3">
        <f t="shared" si="72"/>
        <v>129</v>
      </c>
      <c r="R155" s="10" t="n">
        <f>ROUND($J155*1.637*1.75*2.1*2.3*1.25,0)</f>
        <v>216199102</v>
      </c>
      <c r="S155" s="5">
        <f t="shared" si="73"/>
        <v>131</v>
      </c>
      <c r="T155" s="9" t="n">
        <f>ROUND($J155*1.637*1.75*2.1*2.3*2.6*1.25,0)</f>
        <v>562117664</v>
      </c>
      <c r="U155" s="3">
        <f t="shared" si="74"/>
        <v>134</v>
      </c>
      <c r="V155" s="10" t="n">
        <f>ROUND($J155*1.637*1.75*2.1*2.3*2.6*3.2*1.25,0)</f>
        <v>1798776525</v>
      </c>
      <c r="W155" s="5">
        <f t="shared" si="75"/>
        <v>138</v>
      </c>
      <c r="X155" s="9" t="n">
        <f>ROUND($J155*1.637*1.75*2.1*2.3*2.6*3.2*4.2*1.25,0)</f>
        <v>7554861405</v>
      </c>
      <c r="Y155" s="3">
        <f t="shared" si="76"/>
        <v>140</v>
      </c>
      <c r="Z155" s="10" t="n">
        <f>ROUND($J155*1.637*1.75*2.1*2.3*2.6*3.2*4.2*2.4*1.25,0)</f>
        <v>18131667372</v>
      </c>
      <c r="AA155" s="5">
        <f t="shared" si="77"/>
        <v>142</v>
      </c>
      <c r="AB155" s="9" t="n">
        <f>ROUND($J155*1.637*1.75*2.1*2.3*2.6*3.2*4.2*2.4*2.5*1.25,0)</f>
        <v>45329168430</v>
      </c>
      <c r="AC155" s="3">
        <f t="shared" si="78"/>
        <v>144</v>
      </c>
      <c r="AD155" s="10" t="n">
        <f>ROUND($J155*1.637*1.75*2.1*2.3*2.6*3.2*4.2*2.4*2.5*2.8*1.25,0)</f>
        <v>126921671604</v>
      </c>
      <c r="AE155" s="5">
        <f t="shared" si="79"/>
        <v>147</v>
      </c>
      <c r="AF155" s="9" t="n">
        <f>ROUND($J155*1.637*1.75*2.1*2.3*2.6*3.2*4.2*2.4*2.5*2.8*3.2*1.25,0)</f>
        <v>406149349133</v>
      </c>
      <c r="AG155" s="3">
        <f t="shared" si="80"/>
        <v>150</v>
      </c>
      <c r="AH155" s="10" t="n">
        <f>ROUND($J155*1.637*1.75*2.1*2.3*2.6*3.2*4.2*2.4*2.5*2.8*3.2*3.8*1.25,0)</f>
        <v>1543367526705</v>
      </c>
    </row>
    <row r="156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 t="n">
        <f>ROUND($J156*1.637*1.75*2.1*2.3*1.25,0)</f>
        <v>335541006</v>
      </c>
      <c r="S156" s="5">
        <f t="shared" si="73"/>
        <v>131</v>
      </c>
      <c r="T156" s="9" t="n">
        <f>ROUND($J156*1.637*1.75*2.1*2.3*2.6*1.25,0)</f>
        <v>872406615</v>
      </c>
      <c r="U156" s="3">
        <f t="shared" si="74"/>
        <v>134</v>
      </c>
      <c r="V156" s="10" t="n">
        <f>ROUND($J156*1.637*1.75*2.1*2.3*2.6*3.2*1.25,0)</f>
        <v>2791701167</v>
      </c>
      <c r="W156" s="5">
        <f t="shared" si="75"/>
        <v>138</v>
      </c>
      <c r="X156" s="9" t="n">
        <f>ROUND($J156*1.637*1.75*2.1*2.3*2.6*3.2*4.2*1.25,0)</f>
        <v>11725144901</v>
      </c>
      <c r="Y156" s="3">
        <f t="shared" si="76"/>
        <v>140</v>
      </c>
      <c r="Z156" s="10" t="n">
        <f>ROUND($J156*1.637*1.75*2.1*2.3*2.6*3.2*4.2*2.4*1.25,0)</f>
        <v>28140347761</v>
      </c>
      <c r="AA156" s="5">
        <f t="shared" si="77"/>
        <v>142</v>
      </c>
      <c r="AB156" s="9" t="n">
        <f>ROUND($J156*1.637*1.75*2.1*2.3*2.6*3.2*4.2*2.4*2.5*1.25,0)</f>
        <v>70350869403</v>
      </c>
      <c r="AC156" s="3">
        <f t="shared" si="78"/>
        <v>144</v>
      </c>
      <c r="AD156" s="10" t="n">
        <f>ROUND($J156*1.637*1.75*2.1*2.3*2.6*3.2*4.2*2.4*2.5*2.8*1.25,0)</f>
        <v>196982434329</v>
      </c>
      <c r="AE156" s="5">
        <f t="shared" si="79"/>
        <v>147</v>
      </c>
      <c r="AF156" s="9" t="n">
        <f>ROUND($J156*1.637*1.75*2.1*2.3*2.6*3.2*4.2*2.4*2.5*2.8*3.2*1.25,0)</f>
        <v>630343789854</v>
      </c>
      <c r="AG156" s="3">
        <f t="shared" si="80"/>
        <v>150</v>
      </c>
      <c r="AH156" s="10" t="n">
        <f>ROUND($J156*1.637*1.75*2.1*2.3*2.6*3.2*4.2*2.4*2.5*2.8*3.2*3.8*1.25,0)</f>
        <v>2395306401446</v>
      </c>
    </row>
    <row r="157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 t="n">
        <f>ROUND($J157*1.637*1.75*2.1*2.3*1.25,0)</f>
        <v>678000383</v>
      </c>
      <c r="S157" s="5">
        <f t="shared" si="73"/>
        <v>131</v>
      </c>
      <c r="T157" s="9" t="n">
        <f>ROUND($J157*1.637*1.75*2.1*2.3*2.6*1.25,0)</f>
        <v>1762800995</v>
      </c>
      <c r="U157" s="3">
        <f t="shared" si="74"/>
        <v>134</v>
      </c>
      <c r="V157" s="10" t="n">
        <f>ROUND($J157*1.637*1.75*2.1*2.3*2.6*3.2*1.25,0)</f>
        <v>5640963182</v>
      </c>
      <c r="W157" s="5">
        <f t="shared" si="75"/>
        <v>138</v>
      </c>
      <c r="X157" s="9" t="n">
        <f>ROUND($J157*1.637*1.75*2.1*2.3*2.6*3.2*4.2*1.25,0)</f>
        <v>23692045366</v>
      </c>
      <c r="Y157" s="3">
        <f t="shared" si="76"/>
        <v>140</v>
      </c>
      <c r="Z157" s="10" t="n">
        <f>ROUND($J157*1.637*1.75*2.1*2.3*2.6*3.2*4.2*2.4*1.25,0)</f>
        <v>56860908879</v>
      </c>
      <c r="AA157" s="5">
        <f t="shared" si="77"/>
        <v>142</v>
      </c>
      <c r="AB157" s="9" t="n">
        <f>ROUND($J157*1.637*1.75*2.1*2.3*2.6*3.2*4.2*2.4*2.5*1.25,0)</f>
        <v>142152272196</v>
      </c>
      <c r="AC157" s="3">
        <f t="shared" si="78"/>
        <v>144</v>
      </c>
      <c r="AD157" s="10" t="n">
        <f>ROUND($J157*1.637*1.75*2.1*2.3*2.6*3.2*4.2*2.4*2.5*2.8*1.25,0)</f>
        <v>398026362150</v>
      </c>
      <c r="AE157" s="5">
        <f t="shared" si="79"/>
        <v>147</v>
      </c>
      <c r="AF157" s="9" t="n">
        <f>ROUND($J157*1.637*1.75*2.1*2.3*2.6*3.2*4.2*2.4*2.5*2.8*3.2*1.25,0)</f>
        <v>1273684358880</v>
      </c>
      <c r="AG157" s="3">
        <f t="shared" si="80"/>
        <v>150</v>
      </c>
      <c r="AH157" s="10" t="n">
        <f>ROUND($J157*1.637*1.75*2.1*2.3*2.6*3.2*4.2*2.4*2.5*2.8*3.2*3.8*1.25,0)</f>
        <v>4840000563746</v>
      </c>
    </row>
    <row r="158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 t="n">
        <f>ROUND($J158*1.637*1.75*2.1*2.3*1,0)</f>
        <v>131725789</v>
      </c>
      <c r="S158" s="5">
        <f t="shared" si="73"/>
        <v>131</v>
      </c>
      <c r="T158" s="9" t="n">
        <f>ROUND($J158*1.637*1.75*2.1*2.3*2.6*1,0)</f>
        <v>342487050</v>
      </c>
      <c r="U158" s="3">
        <f t="shared" si="74"/>
        <v>134</v>
      </c>
      <c r="V158" s="10" t="n">
        <f>ROUND($J158*1.637*1.75*2.1*2.3*2.6*3.2*1,0)</f>
        <v>1095958561</v>
      </c>
      <c r="W158" s="5">
        <f t="shared" si="75"/>
        <v>138</v>
      </c>
      <c r="X158" s="9" t="n">
        <f>ROUND($J158*1.637*1.75*2.1*2.3*2.6*3.2*4.2*1,0)</f>
        <v>4603025957</v>
      </c>
      <c r="Y158" s="3">
        <f t="shared" si="76"/>
        <v>140</v>
      </c>
      <c r="Z158" s="10" t="n">
        <f>ROUND($J158*1.637*1.75*2.1*2.3*2.6*3.2*4.2*2.4*1,0)</f>
        <v>11047262296</v>
      </c>
      <c r="AA158" s="5">
        <f t="shared" si="77"/>
        <v>142</v>
      </c>
      <c r="AB158" s="9" t="n">
        <f>ROUND($J158*1.637*1.75*2.1*2.3*2.6*3.2*4.2*2.4*2.5*1,0)</f>
        <v>27618155741</v>
      </c>
      <c r="AC158" s="3">
        <f t="shared" si="78"/>
        <v>144</v>
      </c>
      <c r="AD158" s="10" t="n">
        <f>ROUND($J158*1.637*1.75*2.1*2.3*2.6*3.2*4.2*2.4*2.5*2.8*1,0)</f>
        <v>77330836075</v>
      </c>
      <c r="AE158" s="5">
        <f t="shared" si="79"/>
        <v>147</v>
      </c>
      <c r="AF158" s="9" t="n">
        <f>ROUND($J158*1.637*1.75*2.1*2.3*2.6*3.2*4.2*2.4*2.5*2.8*3.2*1,0)</f>
        <v>247458675440</v>
      </c>
      <c r="AG158" s="3">
        <f t="shared" si="80"/>
        <v>150</v>
      </c>
      <c r="AH158" s="10" t="n">
        <f>ROUND($J158*1.637*1.75*2.1*2.3*2.6*3.2*4.2*2.4*2.5*2.8*3.2*3.8*1,0)</f>
        <v>940342966671</v>
      </c>
    </row>
    <row r="159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 t="n">
        <f>ROUND($J159*1.637*1.75*2.1*2.3*1.25,0)</f>
        <v>231765437</v>
      </c>
      <c r="S159" s="5">
        <f t="shared" si="73"/>
        <v>131</v>
      </c>
      <c r="T159" s="9" t="n">
        <f>ROUND($J159*1.637*1.75*2.1*2.3*2.6*1.25,0)</f>
        <v>602590136</v>
      </c>
      <c r="U159" s="3">
        <f t="shared" si="74"/>
        <v>134</v>
      </c>
      <c r="V159" s="10" t="n">
        <f>ROUND($J159*1.637*1.75*2.1*2.3*2.6*3.2*1.25,0)</f>
        <v>1928288435</v>
      </c>
      <c r="W159" s="5">
        <f t="shared" si="75"/>
        <v>138</v>
      </c>
      <c r="X159" s="9" t="n">
        <f>ROUND($J159*1.637*1.75*2.1*2.3*2.6*3.2*4.2*1.25,0)</f>
        <v>8098811426</v>
      </c>
      <c r="Y159" s="3">
        <f t="shared" si="76"/>
        <v>140</v>
      </c>
      <c r="Z159" s="10" t="n">
        <f>ROUND($J159*1.637*1.75*2.1*2.3*2.6*3.2*4.2*2.4*1.25,0)</f>
        <v>19437147423</v>
      </c>
      <c r="AA159" s="5">
        <f t="shared" si="77"/>
        <v>142</v>
      </c>
      <c r="AB159" s="9" t="n">
        <f>ROUND($J159*1.637*1.75*2.1*2.3*2.6*3.2*4.2*2.4*2.5*1.25,0)</f>
        <v>48592868557</v>
      </c>
      <c r="AC159" s="3">
        <f t="shared" si="78"/>
        <v>144</v>
      </c>
      <c r="AD159" s="10" t="n">
        <f>ROUND($J159*1.637*1.75*2.1*2.3*2.6*3.2*4.2*2.4*2.5*2.8*1.25,0)</f>
        <v>136060031959</v>
      </c>
      <c r="AE159" s="5">
        <f t="shared" si="79"/>
        <v>147</v>
      </c>
      <c r="AF159" s="9" t="n">
        <f>ROUND($J159*1.637*1.75*2.1*2.3*2.6*3.2*4.2*2.4*2.5*2.8*3.2*1.25,0)</f>
        <v>435392102270</v>
      </c>
      <c r="AG159" s="3">
        <f t="shared" si="80"/>
        <v>150</v>
      </c>
      <c r="AH159" s="10" t="n">
        <f>ROUND($J159*1.637*1.75*2.1*2.3*2.6*3.2*4.2*2.4*2.5*2.8*3.2*3.8*1.25,0)</f>
        <v>1654489988627</v>
      </c>
    </row>
    <row r="160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 t="n">
        <f>ROUND($J160*1.637*1.75*2.1*2.3*1,0)</f>
        <v>170191933</v>
      </c>
      <c r="S160" s="5">
        <f t="shared" si="73"/>
        <v>131</v>
      </c>
      <c r="T160" s="9" t="n">
        <f>ROUND($J160*1.637*1.75*2.1*2.3*2.6*1,0)</f>
        <v>442499025</v>
      </c>
      <c r="U160" s="3">
        <f t="shared" si="74"/>
        <v>134</v>
      </c>
      <c r="V160" s="10" t="n">
        <f>ROUND($J160*1.637*1.75*2.1*2.3*2.6*3.2*1,0)</f>
        <v>1415996880</v>
      </c>
      <c r="W160" s="5">
        <f t="shared" si="75"/>
        <v>138</v>
      </c>
      <c r="X160" s="9" t="n">
        <f>ROUND($J160*1.637*1.75*2.1*2.3*2.6*3.2*4.2*1,0)</f>
        <v>5947186898</v>
      </c>
      <c r="Y160" s="3">
        <f t="shared" si="76"/>
        <v>140</v>
      </c>
      <c r="Z160" s="10" t="n">
        <f>ROUND($J160*1.637*1.75*2.1*2.3*2.6*3.2*4.2*2.4*1,0)</f>
        <v>14273248555</v>
      </c>
      <c r="AA160" s="5">
        <f t="shared" si="77"/>
        <v>142</v>
      </c>
      <c r="AB160" s="9" t="n">
        <f>ROUND($J160*1.637*1.75*2.1*2.3*2.6*3.2*4.2*2.4*2.5*1,0)</f>
        <v>35683121388</v>
      </c>
      <c r="AC160" s="3">
        <f t="shared" si="78"/>
        <v>144</v>
      </c>
      <c r="AD160" s="10" t="n">
        <f>ROUND($J160*1.637*1.75*2.1*2.3*2.6*3.2*4.2*2.4*2.5*2.8*1,0)</f>
        <v>99912739887</v>
      </c>
      <c r="AE160" s="5">
        <f t="shared" si="79"/>
        <v>147</v>
      </c>
      <c r="AF160" s="9" t="n">
        <f>ROUND($J160*1.637*1.75*2.1*2.3*2.6*3.2*4.2*2.4*2.5*2.8*3.2*1,0)</f>
        <v>319720767637</v>
      </c>
      <c r="AG160" s="3">
        <f t="shared" si="80"/>
        <v>150</v>
      </c>
      <c r="AH160" s="10" t="n">
        <f>ROUND($J160*1.637*1.75*2.1*2.3*2.6*3.2*4.2*2.4*2.5*2.8*3.2*3.8*1,0)</f>
        <v>1214938917022</v>
      </c>
    </row>
    <row r="16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 t="n">
        <f>ROUND($J161*1.637*0.8,0)</f>
        <v>15977120</v>
      </c>
      <c r="M161" s="3">
        <f t="shared" si="70"/>
        <v>125</v>
      </c>
      <c r="N161" s="10" t="n">
        <f>ROUND($J161*1.637*1.75*0.8,0)</f>
        <v>27959960</v>
      </c>
      <c r="O161" s="5">
        <f t="shared" si="71"/>
        <v>127</v>
      </c>
      <c r="P161" s="9" t="n">
        <f>ROUND($J161*1.637*1.75*2.1*0.8,0)</f>
        <v>58715916</v>
      </c>
      <c r="Q161" s="3">
        <f t="shared" si="72"/>
        <v>129</v>
      </c>
      <c r="R161" s="10" t="n">
        <f>ROUND($J161*1.637*1.75*2.1*2.3*0.542035092435954,0)</f>
        <v>91500000</v>
      </c>
      <c r="S161" s="5">
        <f t="shared" si="73"/>
        <v>131</v>
      </c>
      <c r="T161" s="9" t="n">
        <f>ROUND($J161*1.637*1.75*2.1*2.3*2.6*0.544690061623969,0)</f>
        <v>239065270</v>
      </c>
      <c r="U161" s="3">
        <f t="shared" si="74"/>
        <v>134</v>
      </c>
      <c r="V161" s="10" t="n">
        <f>ROUND($J161*1.637*1.75*2.1*2.3*2.6*3.2*0.547345030811984,0)</f>
        <v>768737727</v>
      </c>
      <c r="W161" s="5">
        <f t="shared" si="75"/>
        <v>138</v>
      </c>
      <c r="X161" s="9" t="n">
        <f>ROUND($J161*1.637*1.75*2.1*2.3*2.6*3.2*4.2*0.55,0)</f>
        <v>3244359682</v>
      </c>
      <c r="Y161" s="3">
        <f t="shared" si="76"/>
        <v>140</v>
      </c>
      <c r="Z161" s="10" t="n">
        <f>ROUND($J161*1.637*1.75*2.1*2.3*2.6*3.2*4.2*2.4*0.55,0)</f>
        <v>7786463236</v>
      </c>
      <c r="AA161" s="5">
        <f t="shared" si="77"/>
        <v>142</v>
      </c>
      <c r="AB161" s="9" t="n">
        <f>ROUND($J161*1.637*1.75*2.1*2.3*2.6*3.2*4.2*2.4*2.5*0.55,0)</f>
        <v>19466158091</v>
      </c>
      <c r="AC161" s="3">
        <f t="shared" si="78"/>
        <v>144</v>
      </c>
      <c r="AD161" s="10" t="n">
        <f>ROUND($J161*1.637*1.75*2.1*2.3*2.6*3.2*4.2*2.4*2.5*2.8*0.55,0)</f>
        <v>54505242654</v>
      </c>
      <c r="AE161" s="5">
        <f t="shared" si="79"/>
        <v>147</v>
      </c>
      <c r="AF161" s="9" t="n">
        <f>ROUND($J161*1.637*1.75*2.1*2.3*2.6*3.2*4.2*2.4*2.5*2.8*3.2*0.55,0)</f>
        <v>174416776492</v>
      </c>
      <c r="AG161" s="3">
        <f t="shared" si="80"/>
        <v>150</v>
      </c>
      <c r="AH161" s="10" t="n">
        <f>ROUND($J161*1.637*1.75*2.1*2.3*2.6*3.2*4.2*2.4*2.5*2.8*3.2*3.8*0.55,0)</f>
        <v>662783750668</v>
      </c>
    </row>
    <row r="162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 t="n">
        <f>ROUND($J162*1.637*1,0)</f>
        <v>19971400</v>
      </c>
      <c r="M162" s="3">
        <f t="shared" si="70"/>
        <v>125</v>
      </c>
      <c r="N162" s="10" t="n">
        <f>ROUND($J162*1.637*1.75*1,0)</f>
        <v>34949950</v>
      </c>
      <c r="O162" s="5">
        <f t="shared" si="71"/>
        <v>127</v>
      </c>
      <c r="P162" s="9" t="n">
        <f>ROUND($J162*1.637*1.75*2.1*1,0)</f>
        <v>73394895</v>
      </c>
      <c r="Q162" s="3">
        <f t="shared" si="72"/>
        <v>129</v>
      </c>
      <c r="R162" s="10" t="n">
        <f>ROUND($J162*1.637*1.75*2.1*2.3*1,0)</f>
        <v>168808259</v>
      </c>
      <c r="S162" s="5">
        <f t="shared" si="73"/>
        <v>131</v>
      </c>
      <c r="T162" s="9" t="n">
        <f>ROUND($J162*1.637*1.75*2.1*2.3*2.6*1,0)</f>
        <v>438901472</v>
      </c>
      <c r="U162" s="3">
        <f t="shared" si="74"/>
        <v>134</v>
      </c>
      <c r="V162" s="10" t="n">
        <f>ROUND($J162*1.637*1.75*2.1*2.3*2.6*3.2*1,0)</f>
        <v>1404484711</v>
      </c>
      <c r="W162" s="5">
        <f t="shared" si="75"/>
        <v>138</v>
      </c>
      <c r="X162" s="9" t="n">
        <f>ROUND($J162*1.637*1.75*2.1*2.3*2.6*3.2*4.2*1,0)</f>
        <v>5898835785</v>
      </c>
      <c r="Y162" s="3">
        <f t="shared" si="76"/>
        <v>140</v>
      </c>
      <c r="Z162" s="10" t="n">
        <f>ROUND($J162*1.637*1.75*2.1*2.3*2.6*3.2*4.2*2.4*1,0)</f>
        <v>14157205884</v>
      </c>
      <c r="AA162" s="5">
        <f t="shared" si="77"/>
        <v>142</v>
      </c>
      <c r="AB162" s="9" t="n">
        <f>ROUND($J162*1.637*1.75*2.1*2.3*2.6*3.2*4.2*2.4*2.5*1,0)</f>
        <v>35393014710</v>
      </c>
      <c r="AC162" s="3">
        <f t="shared" si="78"/>
        <v>144</v>
      </c>
      <c r="AD162" s="10" t="n">
        <f>ROUND($J162*1.637*1.75*2.1*2.3*2.6*3.2*4.2*2.4*2.5*2.8*1,0)</f>
        <v>99100441188</v>
      </c>
      <c r="AE162" s="5">
        <f t="shared" si="79"/>
        <v>147</v>
      </c>
      <c r="AF162" s="9" t="n">
        <f>ROUND($J162*1.637*1.75*2.1*2.3*2.6*3.2*4.2*2.4*2.5*2.8*3.2*1,0)</f>
        <v>317121411803</v>
      </c>
      <c r="AG162" s="3">
        <f t="shared" si="80"/>
        <v>150</v>
      </c>
      <c r="AH162" s="10" t="n">
        <f>ROUND($J162*1.637*1.75*2.1*2.3*2.6*3.2*4.2*2.4*2.5*2.8*3.2*3.8*1,0)</f>
        <v>1205061364851</v>
      </c>
    </row>
    <row r="163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 t="n">
        <f>ROUND($J163*1.637*1,0)</f>
        <v>20953600</v>
      </c>
      <c r="M163" s="3">
        <f t="shared" si="70"/>
        <v>125</v>
      </c>
      <c r="N163" s="10" t="n">
        <f>ROUND($J163*1.637*1.75*1,0)</f>
        <v>36668800</v>
      </c>
      <c r="O163" s="5">
        <f t="shared" si="71"/>
        <v>127</v>
      </c>
      <c r="P163" s="9" t="n">
        <f>ROUND($J163*1.637*1.75*2.1*1,0)</f>
        <v>77004480</v>
      </c>
      <c r="Q163" s="3">
        <f t="shared" si="72"/>
        <v>129</v>
      </c>
      <c r="R163" s="10" t="n">
        <f>ROUND($J163*1.637*1.75*2.1*2.3*1,0)</f>
        <v>177110304</v>
      </c>
      <c r="S163" s="5">
        <f t="shared" si="73"/>
        <v>131</v>
      </c>
      <c r="T163" s="9" t="n">
        <f>ROUND($J163*1.637*1.75*2.1*2.3*2.6*1,0)</f>
        <v>460486790</v>
      </c>
      <c r="U163" s="3">
        <f t="shared" si="74"/>
        <v>134</v>
      </c>
      <c r="V163" s="10" t="n">
        <f>ROUND($J163*1.637*1.75*2.1*2.3*2.6*3.2*1,0)</f>
        <v>1473557729</v>
      </c>
      <c r="W163" s="5">
        <f t="shared" si="75"/>
        <v>138</v>
      </c>
      <c r="X163" s="9" t="n">
        <f>ROUND($J163*1.637*1.75*2.1*2.3*2.6*3.2*4.2*1,0)</f>
        <v>6188942463</v>
      </c>
      <c r="Y163" s="3">
        <f t="shared" si="76"/>
        <v>140</v>
      </c>
      <c r="Z163" s="10" t="n">
        <f>ROUND($J163*1.637*1.75*2.1*2.3*2.6*3.2*4.2*2.4*1,0)</f>
        <v>14853461911</v>
      </c>
      <c r="AA163" s="5">
        <f t="shared" si="77"/>
        <v>142</v>
      </c>
      <c r="AB163" s="9" t="n">
        <f>ROUND($J163*1.637*1.75*2.1*2.3*2.6*3.2*4.2*2.4*2.5*1,0)</f>
        <v>37133654778</v>
      </c>
      <c r="AC163" s="3">
        <f t="shared" si="78"/>
        <v>144</v>
      </c>
      <c r="AD163" s="10" t="n">
        <f>ROUND($J163*1.637*1.75*2.1*2.3*2.6*3.2*4.2*2.4*2.5*2.8*1,0)</f>
        <v>103974233378</v>
      </c>
      <c r="AE163" s="5">
        <f t="shared" si="79"/>
        <v>147</v>
      </c>
      <c r="AF163" s="9" t="n">
        <f>ROUND($J163*1.637*1.75*2.1*2.3*2.6*3.2*4.2*2.4*2.5*2.8*3.2*1,0)</f>
        <v>332717546810</v>
      </c>
      <c r="AG163" s="3">
        <f t="shared" si="80"/>
        <v>150</v>
      </c>
      <c r="AH163" s="10" t="n">
        <f>ROUND($J163*1.637*1.75*2.1*2.3*2.6*3.2*4.2*2.4*2.5*2.8*3.2*3.8*1,0)</f>
        <v>1264326677876</v>
      </c>
    </row>
    <row r="164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 t="n">
        <f>ROUND($J164*1.637*1,0)</f>
        <v>21608400</v>
      </c>
      <c r="M164" s="3">
        <f t="shared" si="70"/>
        <v>125</v>
      </c>
      <c r="N164" s="10" t="n">
        <f>ROUND($J164*1.637*1.75*1,0)</f>
        <v>37814700</v>
      </c>
      <c r="O164" s="5">
        <f t="shared" si="71"/>
        <v>127</v>
      </c>
      <c r="P164" s="9" t="n">
        <f>ROUND($J164*1.637*1.75*2.1*1,0)</f>
        <v>79410870</v>
      </c>
      <c r="Q164" s="3">
        <f t="shared" si="72"/>
        <v>129</v>
      </c>
      <c r="R164" s="10" t="n">
        <f>ROUND($J164*1.637*1.75*2.1*2.3*1,0)</f>
        <v>182645001</v>
      </c>
      <c r="S164" s="5">
        <f t="shared" si="73"/>
        <v>131</v>
      </c>
      <c r="T164" s="9" t="n">
        <f>ROUND($J164*1.637*1.75*2.1*2.3*2.6*1,0)</f>
        <v>474877003</v>
      </c>
      <c r="U164" s="3">
        <f t="shared" si="74"/>
        <v>134</v>
      </c>
      <c r="V164" s="10" t="n">
        <f>ROUND($J164*1.637*1.75*2.1*2.3*2.6*3.2*1,0)</f>
        <v>1519606408</v>
      </c>
      <c r="W164" s="5">
        <f t="shared" si="75"/>
        <v>138</v>
      </c>
      <c r="X164" s="9" t="n">
        <f>ROUND($J164*1.637*1.75*2.1*2.3*2.6*3.2*4.2*1,0)</f>
        <v>6382346915</v>
      </c>
      <c r="Y164" s="3">
        <f t="shared" si="76"/>
        <v>140</v>
      </c>
      <c r="Z164" s="10" t="n">
        <f>ROUND($J164*1.637*1.75*2.1*2.3*2.6*3.2*4.2*2.4*1,0)</f>
        <v>15317632596</v>
      </c>
      <c r="AA164" s="5">
        <f t="shared" si="77"/>
        <v>142</v>
      </c>
      <c r="AB164" s="9" t="n">
        <f>ROUND($J164*1.637*1.75*2.1*2.3*2.6*3.2*4.2*2.4*2.5*1,0)</f>
        <v>38294081490</v>
      </c>
      <c r="AC164" s="3">
        <f t="shared" si="78"/>
        <v>144</v>
      </c>
      <c r="AD164" s="10" t="n">
        <f>ROUND($J164*1.637*1.75*2.1*2.3*2.6*3.2*4.2*2.4*2.5*2.8*1,0)</f>
        <v>107223428171</v>
      </c>
      <c r="AE164" s="5">
        <f t="shared" si="79"/>
        <v>147</v>
      </c>
      <c r="AF164" s="9" t="n">
        <f>ROUND($J164*1.637*1.75*2.1*2.3*2.6*3.2*4.2*2.4*2.5*2.8*3.2*1,0)</f>
        <v>343114970147</v>
      </c>
      <c r="AG164" s="3">
        <f t="shared" si="80"/>
        <v>150</v>
      </c>
      <c r="AH164" s="10" t="n">
        <f>ROUND($J164*1.637*1.75*2.1*2.3*2.6*3.2*4.2*2.4*2.5*2.8*3.2*3.8*1,0)</f>
        <v>1303836886560</v>
      </c>
    </row>
    <row r="165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 t="n">
        <f>ROUND($J165*1.637*1,0)</f>
        <v>84960300</v>
      </c>
      <c r="M165" s="3">
        <f t="shared" si="70"/>
        <v>125</v>
      </c>
      <c r="N165" s="10" t="n">
        <f>ROUND($J165*1.637*1.75*1,0)</f>
        <v>148680525</v>
      </c>
      <c r="O165" s="5">
        <f t="shared" si="71"/>
        <v>127</v>
      </c>
      <c r="P165" s="9" t="n">
        <f>ROUND($J165*1.637*1.75*2.1*1,0)</f>
        <v>312229103</v>
      </c>
      <c r="Q165" s="3">
        <f t="shared" si="72"/>
        <v>129</v>
      </c>
      <c r="R165" s="10" t="n">
        <f>ROUND($J165*1.637*1.75*2.1*2.3*1.25,0)</f>
        <v>897658670</v>
      </c>
      <c r="S165" s="5">
        <f t="shared" si="73"/>
        <v>131</v>
      </c>
      <c r="T165" s="9" t="n">
        <f>ROUND($J165*1.637*1.75*2.1*2.3*2.6*1.25,0)</f>
        <v>2333912541</v>
      </c>
      <c r="U165" s="3">
        <f t="shared" si="74"/>
        <v>134</v>
      </c>
      <c r="V165" s="10" t="n">
        <f>ROUND($J165*1.637*1.75*2.1*2.3*2.6*3.2*1.25,0)</f>
        <v>7468520132</v>
      </c>
      <c r="W165" s="5">
        <f t="shared" si="75"/>
        <v>138</v>
      </c>
      <c r="X165" s="9" t="n">
        <f>ROUND($J165*1.637*1.75*2.1*2.3*2.6*3.2*4.2*1.25,0)</f>
        <v>31367784554</v>
      </c>
      <c r="Y165" s="3">
        <f t="shared" si="76"/>
        <v>140</v>
      </c>
      <c r="Z165" s="10" t="n">
        <f>ROUND($J165*1.637*1.75*2.1*2.3*2.6*3.2*4.2*2.4*1.25,0)</f>
        <v>75282682929</v>
      </c>
      <c r="AA165" s="5">
        <f t="shared" si="77"/>
        <v>142</v>
      </c>
      <c r="AB165" s="9" t="n">
        <f>ROUND($J165*1.637*1.75*2.1*2.3*2.6*3.2*4.2*2.4*2.5*1.25,0)</f>
        <v>188206707321</v>
      </c>
      <c r="AC165" s="3">
        <f t="shared" si="78"/>
        <v>144</v>
      </c>
      <c r="AD165" s="10" t="n">
        <f>ROUND($J165*1.637*1.75*2.1*2.3*2.6*3.2*4.2*2.4*2.5*2.8*1.25,0)</f>
        <v>526978780500</v>
      </c>
      <c r="AE165" s="5">
        <f t="shared" si="79"/>
        <v>147</v>
      </c>
      <c r="AF165" s="9" t="n">
        <f>ROUND($J165*1.637*1.75*2.1*2.3*2.6*3.2*4.2*2.4*2.5*2.8*3.2*1.25,0)</f>
        <v>1686332097599</v>
      </c>
      <c r="AG165" s="3">
        <f t="shared" si="80"/>
        <v>150</v>
      </c>
      <c r="AH165" s="10" t="n">
        <f>ROUND($J165*1.637*1.75*2.1*2.3*2.6*3.2*4.2*2.4*2.5*2.8*3.2*3.8*1.25,0)</f>
        <v>6408061970878</v>
      </c>
    </row>
    <row r="166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 t="n">
        <f>ROUND($J166*1.637*0.8,0)</f>
        <v>16108080</v>
      </c>
      <c r="M166" s="3">
        <f t="shared" si="70"/>
        <v>125</v>
      </c>
      <c r="N166" s="10" t="n">
        <f>ROUND($J166*1.637*1.75*0.8,0)</f>
        <v>28189140</v>
      </c>
      <c r="O166" s="5">
        <f t="shared" si="71"/>
        <v>127</v>
      </c>
      <c r="P166" s="9" t="n">
        <f>ROUND($J166*1.637*1.75*2.1*0.8,0)</f>
        <v>59197194</v>
      </c>
      <c r="Q166" s="3">
        <f t="shared" si="72"/>
        <v>129</v>
      </c>
      <c r="R166" s="10" t="n">
        <f>ROUND($J166*1.637*1.75*2.1*2.3*0.542035092435954,0)</f>
        <v>92250000</v>
      </c>
      <c r="S166" s="5">
        <f t="shared" si="73"/>
        <v>131</v>
      </c>
      <c r="T166" s="9" t="n">
        <f>ROUND($J166*1.637*1.75*2.1*2.3*2.6*0.544690061623969,0)</f>
        <v>241024821</v>
      </c>
      <c r="U166" s="3">
        <f t="shared" si="74"/>
        <v>134</v>
      </c>
      <c r="V166" s="10" t="n">
        <f>ROUND($J166*1.637*1.75*2.1*2.3*2.6*3.2*0.547345030811984,0)</f>
        <v>775038856</v>
      </c>
      <c r="W166" s="5">
        <f t="shared" si="75"/>
        <v>138</v>
      </c>
      <c r="X166" s="9" t="n">
        <f>ROUND($J166*1.637*1.75*2.1*2.3*2.6*3.2*4.2*0.55,0)</f>
        <v>3270952794</v>
      </c>
      <c r="Y166" s="3">
        <f t="shared" si="76"/>
        <v>140</v>
      </c>
      <c r="Z166" s="10" t="n">
        <f>ROUND($J166*1.637*1.75*2.1*2.3*2.6*3.2*4.2*2.4*0.55,0)</f>
        <v>7850286705</v>
      </c>
      <c r="AA166" s="5">
        <f t="shared" si="77"/>
        <v>142</v>
      </c>
      <c r="AB166" s="9" t="n">
        <f>ROUND($J166*1.637*1.75*2.1*2.3*2.6*3.2*4.2*2.4*2.5*0.55,0)</f>
        <v>19625716763</v>
      </c>
      <c r="AC166" s="3">
        <f t="shared" si="78"/>
        <v>144</v>
      </c>
      <c r="AD166" s="10" t="n">
        <f>ROUND($J166*1.637*1.75*2.1*2.3*2.6*3.2*4.2*2.4*2.5*2.8*0.55,0)</f>
        <v>54952006938</v>
      </c>
      <c r="AE166" s="5">
        <f t="shared" si="79"/>
        <v>147</v>
      </c>
      <c r="AF166" s="9" t="n">
        <f>ROUND($J166*1.637*1.75*2.1*2.3*2.6*3.2*4.2*2.4*2.5*2.8*3.2*0.55,0)</f>
        <v>175846422201</v>
      </c>
      <c r="AG166" s="3">
        <f t="shared" si="80"/>
        <v>150</v>
      </c>
      <c r="AH166" s="10" t="n">
        <f>ROUND($J166*1.637*1.75*2.1*2.3*2.6*3.2*4.2*2.4*2.5*2.8*3.2*3.8*0.55,0)</f>
        <v>668216404362</v>
      </c>
    </row>
    <row r="167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 t="n">
        <f>ROUND($J167*1.637*1,0)</f>
        <v>19316600</v>
      </c>
      <c r="M167" s="3">
        <f t="shared" si="70"/>
        <v>125</v>
      </c>
      <c r="N167" s="10" t="n">
        <f>ROUND($J167*1.637*1.75*1,0)</f>
        <v>33804050</v>
      </c>
      <c r="O167" s="5">
        <f t="shared" si="71"/>
        <v>127</v>
      </c>
      <c r="P167" s="9" t="n">
        <f>ROUND($J167*1.637*1.75*2.1*1,0)</f>
        <v>70988505</v>
      </c>
      <c r="Q167" s="3">
        <f t="shared" si="72"/>
        <v>129</v>
      </c>
      <c r="R167" s="10" t="n">
        <f>ROUND($J167*1.637*1.75*2.1*2.3*1.25,0)</f>
        <v>204091952</v>
      </c>
      <c r="S167" s="5">
        <f t="shared" si="73"/>
        <v>131</v>
      </c>
      <c r="T167" s="9" t="n">
        <f>ROUND($J167*1.637*1.75*2.1*2.3*2.6*1.25,0)</f>
        <v>530639075</v>
      </c>
      <c r="U167" s="3">
        <f t="shared" si="74"/>
        <v>134</v>
      </c>
      <c r="V167" s="10" t="n">
        <f>ROUND($J167*1.637*1.75*2.1*2.3*2.6*3.2*1.25,0)</f>
        <v>1698045040</v>
      </c>
      <c r="W167" s="5">
        <f t="shared" si="75"/>
        <v>138</v>
      </c>
      <c r="X167" s="9" t="n">
        <f>ROUND($J167*1.637*1.75*2.1*2.3*2.6*3.2*4.2*1.25,0)</f>
        <v>7131789166</v>
      </c>
      <c r="Y167" s="3">
        <f t="shared" si="76"/>
        <v>140</v>
      </c>
      <c r="Z167" s="10" t="n">
        <f>ROUND($J167*1.637*1.75*2.1*2.3*2.6*3.2*4.2*2.4*1.25,0)</f>
        <v>17116293999</v>
      </c>
      <c r="AA167" s="5">
        <f t="shared" si="77"/>
        <v>142</v>
      </c>
      <c r="AB167" s="9" t="n">
        <f>ROUND($J167*1.637*1.75*2.1*2.3*2.6*3.2*4.2*2.4*2.5*1.25,0)</f>
        <v>42790734998</v>
      </c>
      <c r="AC167" s="3">
        <f t="shared" si="78"/>
        <v>144</v>
      </c>
      <c r="AD167" s="10" t="n">
        <f>ROUND($J167*1.637*1.75*2.1*2.3*2.6*3.2*4.2*2.4*2.5*2.8*1.25,0)</f>
        <v>119814057994</v>
      </c>
      <c r="AE167" s="5">
        <f t="shared" si="79"/>
        <v>147</v>
      </c>
      <c r="AF167" s="9" t="n">
        <f>ROUND($J167*1.637*1.75*2.1*2.3*2.6*3.2*4.2*2.4*2.5*2.8*3.2*1.25,0)</f>
        <v>383404985581</v>
      </c>
      <c r="AG167" s="3">
        <f t="shared" si="80"/>
        <v>150</v>
      </c>
      <c r="AH167" s="10" t="n">
        <f>ROUND($J167*1.637*1.75*2.1*2.3*2.6*3.2*4.2*2.4*2.5*2.8*3.2*3.8*1.25,0)</f>
        <v>1456938945209</v>
      </c>
    </row>
    <row r="168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 t="n">
        <f>ROUND($J168*1.637*1,0)</f>
        <v>7088210</v>
      </c>
      <c r="M168" s="3">
        <f t="shared" si="70"/>
        <v>124</v>
      </c>
      <c r="N168" s="10" t="n">
        <f>ROUND($J168*1.637*1.75*1,0)</f>
        <v>12404368</v>
      </c>
      <c r="O168" s="5">
        <f t="shared" si="71"/>
        <v>126</v>
      </c>
      <c r="P168" s="9" t="n">
        <f>ROUND($J168*1.637*1.75*2.1*1,0)</f>
        <v>26049172</v>
      </c>
      <c r="Q168" s="3">
        <f t="shared" si="72"/>
        <v>128</v>
      </c>
      <c r="R168" s="10" t="n">
        <f>ROUND($J168*1.637*1.75*2.1*2.3*1,0)</f>
        <v>59913095</v>
      </c>
      <c r="S168" s="5">
        <f t="shared" si="73"/>
        <v>130</v>
      </c>
      <c r="T168" s="9" t="n">
        <f>ROUND($J168*1.637*1.75*2.1*2.3*2.6*1,0)</f>
        <v>155774047</v>
      </c>
      <c r="U168" s="3">
        <f t="shared" si="74"/>
        <v>133</v>
      </c>
      <c r="V168" s="10" t="n">
        <f>ROUND($J168*1.637*1.75*2.1*2.3*2.6*3.2*1,0)</f>
        <v>498476951</v>
      </c>
      <c r="W168" s="5">
        <f t="shared" si="75"/>
        <v>137</v>
      </c>
      <c r="X168" s="9" t="n">
        <f>ROUND($J168*1.637*1.75*2.1*2.3*2.6*3.2*4.2*1,0)</f>
        <v>2093603193</v>
      </c>
      <c r="Y168" s="3">
        <f t="shared" si="76"/>
        <v>139</v>
      </c>
      <c r="Z168" s="10" t="n">
        <f>ROUND($J168*1.637*1.75*2.1*2.3*2.6*3.2*4.2*2.4*1,0)</f>
        <v>5024647662</v>
      </c>
      <c r="AA168" s="5">
        <f t="shared" si="77"/>
        <v>141</v>
      </c>
      <c r="AB168" s="9" t="n">
        <f>ROUND($J168*1.637*1.75*2.1*2.3*2.6*3.2*4.2*2.4*2.5*1,0)</f>
        <v>12561619155</v>
      </c>
      <c r="AC168" s="3">
        <f t="shared" si="78"/>
        <v>143</v>
      </c>
      <c r="AD168" s="10" t="n">
        <f>ROUND($J168*1.637*1.75*2.1*2.3*2.6*3.2*4.2*2.4*2.5*2.8*1,0)</f>
        <v>35172533635</v>
      </c>
      <c r="AE168" s="5">
        <f t="shared" si="79"/>
        <v>146</v>
      </c>
      <c r="AF168" s="9" t="n">
        <f>ROUND($J168*1.637*1.75*2.1*2.3*2.6*3.2*4.2*2.4*2.5*2.8*3.2*1,0)</f>
        <v>112552107632</v>
      </c>
      <c r="AG168" s="3">
        <f t="shared" si="80"/>
        <v>149</v>
      </c>
      <c r="AH168" s="10" t="n">
        <f>ROUND($J168*1.637*1.75*2.1*2.3*2.6*3.2*4.2*2.4*2.5*2.8*3.2*3.8*1,0)</f>
        <v>427698009000</v>
      </c>
    </row>
    <row r="169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 t="n">
        <f>ROUND($J169*1.637*0.8,0)</f>
        <v>5591992</v>
      </c>
      <c r="M169" s="3">
        <f t="shared" si="70"/>
        <v>124</v>
      </c>
      <c r="N169" s="10" t="n">
        <f>ROUND($J169*1.637*1.75*0.8,0)</f>
        <v>9785986</v>
      </c>
      <c r="O169" s="5">
        <f t="shared" si="71"/>
        <v>126</v>
      </c>
      <c r="P169" s="9" t="n">
        <f>ROUND($J169*1.637*1.75*2.1*0.8,0)</f>
        <v>20550571</v>
      </c>
      <c r="Q169" s="3">
        <f t="shared" si="72"/>
        <v>128</v>
      </c>
      <c r="R169" s="10" t="n">
        <f>ROUND($J169*1.637*1.75*2.1*2.3*0.542035092435954,0)</f>
        <v>32025000</v>
      </c>
      <c r="S169" s="5">
        <f t="shared" si="73"/>
        <v>130</v>
      </c>
      <c r="T169" s="9" t="n">
        <f>ROUND($J169*1.637*1.75*2.1*2.3*2.6*0.544690061623969,0)</f>
        <v>83672844</v>
      </c>
      <c r="U169" s="3">
        <f t="shared" si="74"/>
        <v>133</v>
      </c>
      <c r="V169" s="10" t="n">
        <f>ROUND($J169*1.637*1.75*2.1*2.3*2.6*3.2*0.547345030811984,0)</f>
        <v>269058205</v>
      </c>
      <c r="W169" s="5">
        <f t="shared" si="75"/>
        <v>137</v>
      </c>
      <c r="X169" s="9" t="n">
        <f>ROUND($J169*1.637*1.75*2.1*2.3*2.6*3.2*4.2*0.55,0)</f>
        <v>1135525889</v>
      </c>
      <c r="Y169" s="3">
        <f t="shared" si="76"/>
        <v>139</v>
      </c>
      <c r="Z169" s="10" t="n">
        <f>ROUND($J169*1.637*1.75*2.1*2.3*2.6*3.2*4.2*2.4*0.55,0)</f>
        <v>2725262133</v>
      </c>
      <c r="AA169" s="5">
        <f t="shared" si="77"/>
        <v>141</v>
      </c>
      <c r="AB169" s="9" t="n">
        <f>ROUND($J169*1.637*1.75*2.1*2.3*2.6*3.2*4.2*2.4*2.5*0.55,0)</f>
        <v>6813155332</v>
      </c>
      <c r="AC169" s="3">
        <f t="shared" si="78"/>
        <v>143</v>
      </c>
      <c r="AD169" s="10" t="n">
        <f>ROUND($J169*1.637*1.75*2.1*2.3*2.6*3.2*4.2*2.4*2.5*2.8*0.55,0)</f>
        <v>19076834929</v>
      </c>
      <c r="AE169" s="5">
        <f t="shared" si="79"/>
        <v>146</v>
      </c>
      <c r="AF169" s="9" t="n">
        <f>ROUND($J169*1.637*1.75*2.1*2.3*2.6*3.2*4.2*2.4*2.5*2.8*3.2*0.55,0)</f>
        <v>61045871772</v>
      </c>
      <c r="AG169" s="3">
        <f t="shared" si="80"/>
        <v>149</v>
      </c>
      <c r="AH169" s="10" t="n">
        <f>ROUND($J169*1.637*1.75*2.1*2.3*2.6*3.2*4.2*2.4*2.5*2.8*3.2*3.8*0.55,0)</f>
        <v>231974312734</v>
      </c>
    </row>
    <row r="170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 t="n">
        <f>ROUND($J170*1.637*1,0)</f>
        <v>7497460</v>
      </c>
      <c r="M170" s="3">
        <f t="shared" si="70"/>
        <v>124</v>
      </c>
      <c r="N170" s="10" t="n">
        <f>ROUND($J170*1.637*1.75*1,0)</f>
        <v>13120555</v>
      </c>
      <c r="O170" s="5">
        <f t="shared" si="71"/>
        <v>126</v>
      </c>
      <c r="P170" s="9" t="n">
        <f>ROUND($J170*1.637*1.75*2.1*1,0)</f>
        <v>27553166</v>
      </c>
      <c r="Q170" s="3">
        <f t="shared" si="72"/>
        <v>128</v>
      </c>
      <c r="R170" s="10" t="n">
        <f>ROUND($J170*1.637*1.75*2.1*2.3*1,0)</f>
        <v>63372281</v>
      </c>
      <c r="S170" s="5">
        <f t="shared" si="73"/>
        <v>130</v>
      </c>
      <c r="T170" s="9" t="n">
        <f>ROUND($J170*1.637*1.75*2.1*2.3*2.6*1,0)</f>
        <v>164767930</v>
      </c>
      <c r="U170" s="3">
        <f t="shared" si="74"/>
        <v>133</v>
      </c>
      <c r="V170" s="10" t="n">
        <f>ROUND($J170*1.637*1.75*2.1*2.3*2.6*3.2*1,0)</f>
        <v>527257375</v>
      </c>
      <c r="W170" s="5">
        <f t="shared" si="75"/>
        <v>137</v>
      </c>
      <c r="X170" s="9" t="n">
        <f>ROUND($J170*1.637*1.75*2.1*2.3*2.6*3.2*4.2*1,0)</f>
        <v>2214480975</v>
      </c>
      <c r="Y170" s="3">
        <f t="shared" si="76"/>
        <v>139</v>
      </c>
      <c r="Z170" s="10" t="n">
        <f>ROUND($J170*1.637*1.75*2.1*2.3*2.6*3.2*4.2*2.4*1,0)</f>
        <v>5314754340</v>
      </c>
      <c r="AA170" s="5">
        <f t="shared" si="77"/>
        <v>141</v>
      </c>
      <c r="AB170" s="9" t="n">
        <f>ROUND($J170*1.637*1.75*2.1*2.3*2.6*3.2*4.2*2.4*2.5*1,0)</f>
        <v>13286885850</v>
      </c>
      <c r="AC170" s="3">
        <f t="shared" si="78"/>
        <v>143</v>
      </c>
      <c r="AD170" s="10" t="n">
        <f>ROUND($J170*1.637*1.75*2.1*2.3*2.6*3.2*4.2*2.4*2.5*2.8*1,0)</f>
        <v>37203280381</v>
      </c>
      <c r="AE170" s="5">
        <f t="shared" si="79"/>
        <v>146</v>
      </c>
      <c r="AF170" s="9" t="n">
        <f>ROUND($J170*1.637*1.75*2.1*2.3*2.6*3.2*4.2*2.4*2.5*2.8*3.2*1,0)</f>
        <v>119050497218</v>
      </c>
      <c r="AG170" s="3">
        <f t="shared" si="80"/>
        <v>149</v>
      </c>
      <c r="AH170" s="10" t="n">
        <f>ROUND($J170*1.637*1.75*2.1*2.3*2.6*3.2*4.2*2.4*2.5*2.8*3.2*3.8*1,0)</f>
        <v>452391889428</v>
      </c>
    </row>
    <row r="17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 t="n">
        <f>ROUND($J171*1.637*1,0)</f>
        <v>7628420</v>
      </c>
      <c r="M171" s="3">
        <f t="shared" si="70"/>
        <v>124</v>
      </c>
      <c r="N171" s="10" t="n">
        <f>ROUND($J171*1.637*1.75*1,0)</f>
        <v>13349735</v>
      </c>
      <c r="O171" s="5">
        <f t="shared" si="71"/>
        <v>126</v>
      </c>
      <c r="P171" s="9" t="n">
        <f>ROUND($J171*1.637*1.75*2.1*1,0)</f>
        <v>28034444</v>
      </c>
      <c r="Q171" s="3">
        <f t="shared" si="72"/>
        <v>128</v>
      </c>
      <c r="R171" s="10" t="n">
        <f>ROUND($J171*1.637*1.75*2.1*2.3*1,0)</f>
        <v>64479220</v>
      </c>
      <c r="S171" s="5">
        <f t="shared" si="73"/>
        <v>130</v>
      </c>
      <c r="T171" s="9" t="n">
        <f>ROUND($J171*1.637*1.75*2.1*2.3*2.6*1,0)</f>
        <v>167645972</v>
      </c>
      <c r="U171" s="3">
        <f t="shared" si="74"/>
        <v>133</v>
      </c>
      <c r="V171" s="10" t="n">
        <f>ROUND($J171*1.637*1.75*2.1*2.3*2.6*3.2*1,0)</f>
        <v>536467111</v>
      </c>
      <c r="W171" s="5">
        <f t="shared" si="75"/>
        <v>137</v>
      </c>
      <c r="X171" s="9" t="n">
        <f>ROUND($J171*1.637*1.75*2.1*2.3*2.6*3.2*4.2*1,0)</f>
        <v>2253161865</v>
      </c>
      <c r="Y171" s="3">
        <f t="shared" si="76"/>
        <v>139</v>
      </c>
      <c r="Z171" s="10" t="n">
        <f>ROUND($J171*1.637*1.75*2.1*2.3*2.6*3.2*4.2*2.4*1,0)</f>
        <v>5407588477</v>
      </c>
      <c r="AA171" s="5">
        <f t="shared" si="77"/>
        <v>141</v>
      </c>
      <c r="AB171" s="9" t="n">
        <f>ROUND($J171*1.637*1.75*2.1*2.3*2.6*3.2*4.2*2.4*2.5*1,0)</f>
        <v>13518971193</v>
      </c>
      <c r="AC171" s="3">
        <f t="shared" si="78"/>
        <v>143</v>
      </c>
      <c r="AD171" s="10" t="n">
        <f>ROUND($J171*1.637*1.75*2.1*2.3*2.6*3.2*4.2*2.4*2.5*2.8*1,0)</f>
        <v>37853119339</v>
      </c>
      <c r="AE171" s="5">
        <f t="shared" si="79"/>
        <v>146</v>
      </c>
      <c r="AF171" s="9" t="n">
        <f>ROUND($J171*1.637*1.75*2.1*2.3*2.6*3.2*4.2*2.4*2.5*2.8*3.2*1,0)</f>
        <v>121129981885</v>
      </c>
      <c r="AG171" s="3">
        <f t="shared" si="80"/>
        <v>149</v>
      </c>
      <c r="AH171" s="10" t="n">
        <f>ROUND($J171*1.637*1.75*2.1*2.3*2.6*3.2*4.2*2.4*2.5*2.8*3.2*3.8*1,0)</f>
        <v>460293931164</v>
      </c>
    </row>
    <row r="172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 t="n">
        <f>ROUND($J172*1.637*1,0)</f>
        <v>7792120</v>
      </c>
      <c r="M172" s="3">
        <f t="shared" si="70"/>
        <v>124</v>
      </c>
      <c r="N172" s="10" t="n">
        <f>ROUND($J172*1.637*1.75*1,0)</f>
        <v>13636210</v>
      </c>
      <c r="O172" s="5">
        <f t="shared" si="71"/>
        <v>126</v>
      </c>
      <c r="P172" s="9" t="n">
        <f>ROUND($J172*1.637*1.75*2.1*1,0)</f>
        <v>28636041</v>
      </c>
      <c r="Q172" s="3">
        <f t="shared" si="72"/>
        <v>128</v>
      </c>
      <c r="R172" s="10" t="n">
        <f>ROUND($J172*1.637*1.75*2.1*2.3*1.25,0)</f>
        <v>82328618</v>
      </c>
      <c r="S172" s="5">
        <f t="shared" si="73"/>
        <v>130</v>
      </c>
      <c r="T172" s="9" t="n">
        <f>ROUND($J172*1.637*1.75*2.1*2.3*2.6*1.25,0)</f>
        <v>214054406</v>
      </c>
      <c r="U172" s="3">
        <f t="shared" si="74"/>
        <v>133</v>
      </c>
      <c r="V172" s="10" t="n">
        <f>ROUND($J172*1.637*1.75*2.1*2.3*2.6*3.2*1.25,0)</f>
        <v>684974101</v>
      </c>
      <c r="W172" s="5">
        <f t="shared" si="75"/>
        <v>137</v>
      </c>
      <c r="X172" s="9" t="n">
        <f>ROUND($J172*1.637*1.75*2.1*2.3*2.6*3.2*4.2*1.25,0)</f>
        <v>2876891223</v>
      </c>
      <c r="Y172" s="3">
        <f t="shared" si="76"/>
        <v>139</v>
      </c>
      <c r="Z172" s="10" t="n">
        <f>ROUND($J172*1.637*1.75*2.1*2.3*2.6*3.2*4.2*2.4*1.25,0)</f>
        <v>6904538935</v>
      </c>
      <c r="AA172" s="5">
        <f t="shared" si="77"/>
        <v>141</v>
      </c>
      <c r="AB172" s="9" t="n">
        <f>ROUND($J172*1.637*1.75*2.1*2.3*2.6*3.2*4.2*2.4*2.5*1.25,0)</f>
        <v>17261347338</v>
      </c>
      <c r="AC172" s="3">
        <f t="shared" si="78"/>
        <v>143</v>
      </c>
      <c r="AD172" s="10" t="n">
        <f>ROUND($J172*1.637*1.75*2.1*2.3*2.6*3.2*4.2*2.4*2.5*2.8*1.25,0)</f>
        <v>48331772547</v>
      </c>
      <c r="AE172" s="5">
        <f t="shared" si="79"/>
        <v>146</v>
      </c>
      <c r="AF172" s="9" t="n">
        <f>ROUND($J172*1.637*1.75*2.1*2.3*2.6*3.2*4.2*2.4*2.5*2.8*3.2*1.25,0)</f>
        <v>154661672150</v>
      </c>
      <c r="AG172" s="3">
        <f t="shared" si="80"/>
        <v>149</v>
      </c>
      <c r="AH172" s="10" t="n">
        <f>ROUND($J172*1.637*1.75*2.1*2.3*2.6*3.2*4.2*2.4*2.5*2.8*3.2*3.8*1.25,0)</f>
        <v>587714354169</v>
      </c>
    </row>
    <row r="173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 t="n">
        <f>ROUND($J173*1.637*0.8,0)</f>
        <v>6390848</v>
      </c>
      <c r="M173" s="3">
        <f t="shared" si="70"/>
        <v>124</v>
      </c>
      <c r="N173" s="10" t="n">
        <f>ROUND($J173*1.637*1.75*0.8,0)</f>
        <v>11183984</v>
      </c>
      <c r="O173" s="5">
        <f t="shared" si="71"/>
        <v>126</v>
      </c>
      <c r="P173" s="9" t="n">
        <f>ROUND($J173*1.637*1.75*2.1*0.8,0)</f>
        <v>23486366</v>
      </c>
      <c r="Q173" s="3">
        <f t="shared" si="72"/>
        <v>128</v>
      </c>
      <c r="R173" s="10" t="n">
        <f>ROUND($J173*1.637*1.75*2.1*2.3*0.542035092435954,0)</f>
        <v>36600000</v>
      </c>
      <c r="S173" s="5">
        <f t="shared" si="73"/>
        <v>130</v>
      </c>
      <c r="T173" s="9" t="n">
        <f>ROUND($J173*1.637*1.75*2.1*2.3*2.6*0.544690061623969,0)</f>
        <v>95626108</v>
      </c>
      <c r="U173" s="3">
        <f t="shared" si="74"/>
        <v>133</v>
      </c>
      <c r="V173" s="10" t="n">
        <f>ROUND($J173*1.637*1.75*2.1*2.3*2.6*3.2*0.547345030811984,0)</f>
        <v>307495091</v>
      </c>
      <c r="W173" s="5">
        <f t="shared" si="75"/>
        <v>137</v>
      </c>
      <c r="X173" s="9" t="n">
        <f>ROUND($J173*1.637*1.75*2.1*2.3*2.6*3.2*4.2*0.55,0)</f>
        <v>1297743873</v>
      </c>
      <c r="Y173" s="3">
        <f t="shared" si="76"/>
        <v>139</v>
      </c>
      <c r="Z173" s="10" t="n">
        <f>ROUND($J173*1.637*1.75*2.1*2.3*2.6*3.2*4.2*2.4*0.55,0)</f>
        <v>3114585294</v>
      </c>
      <c r="AA173" s="5">
        <f t="shared" si="77"/>
        <v>141</v>
      </c>
      <c r="AB173" s="9" t="n">
        <f>ROUND($J173*1.637*1.75*2.1*2.3*2.6*3.2*4.2*2.4*2.5*0.55,0)</f>
        <v>7786463236</v>
      </c>
      <c r="AC173" s="3">
        <f t="shared" si="78"/>
        <v>143</v>
      </c>
      <c r="AD173" s="10" t="n">
        <f>ROUND($J173*1.637*1.75*2.1*2.3*2.6*3.2*4.2*2.4*2.5*2.8*0.55,0)</f>
        <v>21802097061</v>
      </c>
      <c r="AE173" s="5">
        <f t="shared" si="79"/>
        <v>146</v>
      </c>
      <c r="AF173" s="9" t="n">
        <f>ROUND($J173*1.637*1.75*2.1*2.3*2.6*3.2*4.2*2.4*2.5*2.8*3.2*0.55,0)</f>
        <v>69766710597</v>
      </c>
      <c r="AG173" s="3">
        <f t="shared" si="80"/>
        <v>149</v>
      </c>
      <c r="AH173" s="10" t="n">
        <f>ROUND($J173*1.637*1.75*2.1*2.3*2.6*3.2*4.2*2.4*2.5*2.8*3.2*3.8*0.55,0)</f>
        <v>265113500267</v>
      </c>
    </row>
    <row r="174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 t="n">
        <f>ROUND($J174*1.637*1,0)</f>
        <v>7055470</v>
      </c>
      <c r="M174" s="3">
        <f t="shared" si="70"/>
        <v>124</v>
      </c>
      <c r="N174" s="10" t="n">
        <f>ROUND($J174*1.637*1.75*1,0)</f>
        <v>12347073</v>
      </c>
      <c r="O174" s="5">
        <f t="shared" si="71"/>
        <v>126</v>
      </c>
      <c r="P174" s="9" t="n">
        <f>ROUND($J174*1.637*1.75*2.1*1,0)</f>
        <v>25928852</v>
      </c>
      <c r="Q174" s="3">
        <f t="shared" si="72"/>
        <v>128</v>
      </c>
      <c r="R174" s="10" t="n">
        <f>ROUND($J174*1.637*1.75*2.1*2.3*1.25,0)</f>
        <v>74545450</v>
      </c>
      <c r="S174" s="5">
        <f t="shared" si="73"/>
        <v>130</v>
      </c>
      <c r="T174" s="9" t="n">
        <f>ROUND($J174*1.637*1.75*2.1*2.3*2.6*1.25,0)</f>
        <v>193818171</v>
      </c>
      <c r="U174" s="3">
        <f t="shared" si="74"/>
        <v>133</v>
      </c>
      <c r="V174" s="10" t="n">
        <f>ROUND($J174*1.637*1.75*2.1*2.3*2.6*3.2*1.25,0)</f>
        <v>620218146</v>
      </c>
      <c r="W174" s="5">
        <f t="shared" si="75"/>
        <v>137</v>
      </c>
      <c r="X174" s="9" t="n">
        <f>ROUND($J174*1.637*1.75*2.1*2.3*2.6*3.2*4.2*1.25,0)</f>
        <v>2604916212</v>
      </c>
      <c r="Y174" s="3">
        <f t="shared" si="76"/>
        <v>139</v>
      </c>
      <c r="Z174" s="10" t="n">
        <f>ROUND($J174*1.637*1.75*2.1*2.3*2.6*3.2*4.2*2.4*1.25,0)</f>
        <v>6251798910</v>
      </c>
      <c r="AA174" s="5">
        <f t="shared" si="77"/>
        <v>141</v>
      </c>
      <c r="AB174" s="9" t="n">
        <f>ROUND($J174*1.637*1.75*2.1*2.3*2.6*3.2*4.2*2.4*2.5*1.25,0)</f>
        <v>15629497275</v>
      </c>
      <c r="AC174" s="3">
        <f t="shared" si="78"/>
        <v>143</v>
      </c>
      <c r="AD174" s="10" t="n">
        <f>ROUND($J174*1.637*1.75*2.1*2.3*2.6*3.2*4.2*2.4*2.5*2.8*1.25,0)</f>
        <v>43762592369</v>
      </c>
      <c r="AE174" s="5">
        <f t="shared" si="79"/>
        <v>146</v>
      </c>
      <c r="AF174" s="9" t="n">
        <f>ROUND($J174*1.637*1.75*2.1*2.3*2.6*3.2*4.2*2.4*2.5*2.8*3.2*1.25,0)</f>
        <v>140040295581</v>
      </c>
      <c r="AG174" s="3">
        <f t="shared" si="80"/>
        <v>149</v>
      </c>
      <c r="AH174" s="10" t="n">
        <f>ROUND($J174*1.637*1.75*2.1*2.3*2.6*3.2*4.2*2.4*2.5*2.8*3.2*3.8*1.25,0)</f>
        <v>532153123208</v>
      </c>
    </row>
    <row r="175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 t="n">
        <f>ROUND($J175*1.637*1,0)</f>
        <v>7530200</v>
      </c>
      <c r="M175" s="3">
        <f t="shared" si="70"/>
        <v>124</v>
      </c>
      <c r="N175" s="10" t="n">
        <f>ROUND($J175*1.637*1.75*1,0)</f>
        <v>13177850</v>
      </c>
      <c r="O175" s="5">
        <f t="shared" si="71"/>
        <v>126</v>
      </c>
      <c r="P175" s="9" t="n">
        <f>ROUND($J175*1.637*1.75*2.1*1,0)</f>
        <v>27673485</v>
      </c>
      <c r="Q175" s="3">
        <f t="shared" si="72"/>
        <v>128</v>
      </c>
      <c r="R175" s="10" t="n">
        <f>ROUND($J175*1.637*1.75*2.1*2.3*1,0)</f>
        <v>63649016</v>
      </c>
      <c r="S175" s="5">
        <f t="shared" si="73"/>
        <v>130</v>
      </c>
      <c r="T175" s="9" t="n">
        <f>ROUND($J175*1.637*1.75*2.1*2.3*2.6*1,0)</f>
        <v>165487440</v>
      </c>
      <c r="U175" s="3">
        <f t="shared" si="74"/>
        <v>133</v>
      </c>
      <c r="V175" s="10" t="n">
        <f>ROUND($J175*1.637*1.75*2.1*2.3*2.6*3.2*1,0)</f>
        <v>529559809</v>
      </c>
      <c r="W175" s="5">
        <f t="shared" si="75"/>
        <v>137</v>
      </c>
      <c r="X175" s="9" t="n">
        <f>ROUND($J175*1.637*1.75*2.1*2.3*2.6*3.2*4.2*1,0)</f>
        <v>2224151198</v>
      </c>
      <c r="Y175" s="3">
        <f t="shared" si="76"/>
        <v>139</v>
      </c>
      <c r="Z175" s="10" t="n">
        <f>ROUND($J175*1.637*1.75*2.1*2.3*2.6*3.2*4.2*2.4*1,0)</f>
        <v>5337962874</v>
      </c>
      <c r="AA175" s="5">
        <f t="shared" si="77"/>
        <v>141</v>
      </c>
      <c r="AB175" s="9" t="n">
        <f>ROUND($J175*1.637*1.75*2.1*2.3*2.6*3.2*4.2*2.4*2.5*1,0)</f>
        <v>13344907186</v>
      </c>
      <c r="AC175" s="3">
        <f t="shared" si="78"/>
        <v>143</v>
      </c>
      <c r="AD175" s="10" t="n">
        <f>ROUND($J175*1.637*1.75*2.1*2.3*2.6*3.2*4.2*2.4*2.5*2.8*1,0)</f>
        <v>37365740120</v>
      </c>
      <c r="AE175" s="5">
        <f t="shared" si="79"/>
        <v>146</v>
      </c>
      <c r="AF175" s="9" t="n">
        <f>ROUND($J175*1.637*1.75*2.1*2.3*2.6*3.2*4.2*2.4*2.5*2.8*3.2*1,0)</f>
        <v>119570368385</v>
      </c>
      <c r="AG175" s="3">
        <f t="shared" si="80"/>
        <v>149</v>
      </c>
      <c r="AH175" s="10" t="n">
        <f>ROUND($J175*1.637*1.75*2.1*2.3*2.6*3.2*4.2*2.4*2.5*2.8*3.2*3.8*1,0)</f>
        <v>454367399862</v>
      </c>
    </row>
    <row r="176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 t="n">
        <f>ROUND($J176*1.637*1,0)</f>
        <v>8054040</v>
      </c>
      <c r="M176" s="3">
        <f t="shared" si="70"/>
        <v>124</v>
      </c>
      <c r="N176" s="10" t="n">
        <f>ROUND($J176*1.637*1.75*1,0)</f>
        <v>14094570</v>
      </c>
      <c r="O176" s="5">
        <f t="shared" si="71"/>
        <v>126</v>
      </c>
      <c r="P176" s="9" t="n">
        <f>ROUND($J176*1.637*1.75*2.1*1,0)</f>
        <v>29598597</v>
      </c>
      <c r="Q176" s="3">
        <f t="shared" si="72"/>
        <v>128</v>
      </c>
      <c r="R176" s="10" t="n">
        <f>ROUND($J176*1.637*1.75*2.1*2.3*1,0)</f>
        <v>68076773</v>
      </c>
      <c r="S176" s="5">
        <f t="shared" si="73"/>
        <v>130</v>
      </c>
      <c r="T176" s="9" t="n">
        <f>ROUND($J176*1.637*1.75*2.1*2.3*2.6*1,0)</f>
        <v>176999610</v>
      </c>
      <c r="U176" s="3">
        <f t="shared" si="74"/>
        <v>133</v>
      </c>
      <c r="V176" s="10" t="n">
        <f>ROUND($J176*1.637*1.75*2.1*2.3*2.6*3.2*1,0)</f>
        <v>566398752</v>
      </c>
      <c r="W176" s="5">
        <f t="shared" si="75"/>
        <v>137</v>
      </c>
      <c r="X176" s="9" t="n">
        <f>ROUND($J176*1.637*1.75*2.1*2.3*2.6*3.2*4.2*1,0)</f>
        <v>2378874759</v>
      </c>
      <c r="Y176" s="3">
        <f t="shared" si="76"/>
        <v>139</v>
      </c>
      <c r="Z176" s="10" t="n">
        <f>ROUND($J176*1.637*1.75*2.1*2.3*2.6*3.2*4.2*2.4*1,0)</f>
        <v>5709299422</v>
      </c>
      <c r="AA176" s="5">
        <f t="shared" si="77"/>
        <v>141</v>
      </c>
      <c r="AB176" s="9" t="n">
        <f>ROUND($J176*1.637*1.75*2.1*2.3*2.6*3.2*4.2*2.4*2.5*1,0)</f>
        <v>14273248555</v>
      </c>
      <c r="AC176" s="3">
        <f t="shared" si="78"/>
        <v>143</v>
      </c>
      <c r="AD176" s="10" t="n">
        <f>ROUND($J176*1.637*1.75*2.1*2.3*2.6*3.2*4.2*2.4*2.5*2.8*1,0)</f>
        <v>39965095955</v>
      </c>
      <c r="AE176" s="5">
        <f t="shared" si="79"/>
        <v>146</v>
      </c>
      <c r="AF176" s="9" t="n">
        <f>ROUND($J176*1.637*1.75*2.1*2.3*2.6*3.2*4.2*2.4*2.5*2.8*3.2*1,0)</f>
        <v>127888307055</v>
      </c>
      <c r="AG176" s="3">
        <f t="shared" si="80"/>
        <v>149</v>
      </c>
      <c r="AH176" s="10" t="n">
        <f>ROUND($J176*1.637*1.75*2.1*2.3*2.6*3.2*4.2*2.4*2.5*2.8*3.2*3.8*1,0)</f>
        <v>485975566809</v>
      </c>
    </row>
    <row r="177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 t="n">
        <f>ROUND($J177*1.637*0.8,0)</f>
        <v>6312272</v>
      </c>
      <c r="M177" s="3">
        <f t="shared" si="70"/>
        <v>124</v>
      </c>
      <c r="N177" s="10" t="n">
        <f>ROUND($J177*1.637*1.75*0.8,0)</f>
        <v>11046476</v>
      </c>
      <c r="O177" s="5">
        <f t="shared" si="71"/>
        <v>126</v>
      </c>
      <c r="P177" s="9" t="n">
        <f>ROUND($J177*1.637*1.75*2.1*0.8,0)</f>
        <v>23197600</v>
      </c>
      <c r="Q177" s="3">
        <f t="shared" si="72"/>
        <v>128</v>
      </c>
      <c r="R177" s="10" t="n">
        <f>ROUND($J177*1.637*1.75*2.1*2.3*0.542035092435954,0)</f>
        <v>36150000</v>
      </c>
      <c r="S177" s="5">
        <f t="shared" si="73"/>
        <v>130</v>
      </c>
      <c r="T177" s="9" t="n">
        <f>ROUND($J177*1.637*1.75*2.1*2.3*2.6*0.544690061623969,0)</f>
        <v>94450377</v>
      </c>
      <c r="U177" s="3">
        <f t="shared" si="74"/>
        <v>133</v>
      </c>
      <c r="V177" s="10" t="n">
        <f>ROUND($J177*1.637*1.75*2.1*2.3*2.6*3.2*0.547345030811984,0)</f>
        <v>303714414</v>
      </c>
      <c r="W177" s="5">
        <f t="shared" si="75"/>
        <v>137</v>
      </c>
      <c r="X177" s="9" t="n">
        <f>ROUND($J177*1.637*1.75*2.1*2.3*2.6*3.2*4.2*0.55,0)</f>
        <v>1281788005</v>
      </c>
      <c r="Y177" s="3">
        <f t="shared" si="76"/>
        <v>139</v>
      </c>
      <c r="Z177" s="10" t="n">
        <f>ROUND($J177*1.637*1.75*2.1*2.3*2.6*3.2*4.2*2.4*0.55,0)</f>
        <v>3076291213</v>
      </c>
      <c r="AA177" s="5">
        <f t="shared" si="77"/>
        <v>141</v>
      </c>
      <c r="AB177" s="9" t="n">
        <f>ROUND($J177*1.637*1.75*2.1*2.3*2.6*3.2*4.2*2.4*2.5*0.55,0)</f>
        <v>7690728033</v>
      </c>
      <c r="AC177" s="3">
        <f t="shared" si="78"/>
        <v>143</v>
      </c>
      <c r="AD177" s="10" t="n">
        <f>ROUND($J177*1.637*1.75*2.1*2.3*2.6*3.2*4.2*2.4*2.5*2.8*0.55,0)</f>
        <v>21534038491</v>
      </c>
      <c r="AE177" s="5">
        <f t="shared" si="79"/>
        <v>146</v>
      </c>
      <c r="AF177" s="9" t="n">
        <f>ROUND($J177*1.637*1.75*2.1*2.3*2.6*3.2*4.2*2.4*2.5*2.8*3.2*0.55,0)</f>
        <v>68908923171</v>
      </c>
      <c r="AG177" s="3">
        <f t="shared" si="80"/>
        <v>149</v>
      </c>
      <c r="AH177" s="10" t="n">
        <f>ROUND($J177*1.637*1.75*2.1*2.3*2.6*3.2*4.2*2.4*2.5*2.8*3.2*3.8*0.55,0)</f>
        <v>261853908051</v>
      </c>
    </row>
    <row r="178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 t="n">
        <f>ROUND($J178*1.637*1,0)</f>
        <v>7873970</v>
      </c>
      <c r="M178" s="3">
        <f t="shared" si="70"/>
        <v>124</v>
      </c>
      <c r="N178" s="10" t="n">
        <f>ROUND($J178*1.637*1.75*1,0)</f>
        <v>13779448</v>
      </c>
      <c r="O178" s="5">
        <f t="shared" si="71"/>
        <v>126</v>
      </c>
      <c r="P178" s="9" t="n">
        <f>ROUND($J178*1.637*1.75*2.1*1,0)</f>
        <v>28936840</v>
      </c>
      <c r="Q178" s="3">
        <f t="shared" si="72"/>
        <v>128</v>
      </c>
      <c r="R178" s="10" t="n">
        <f>ROUND($J178*1.637*1.75*2.1*2.3*1,0)</f>
        <v>66554731</v>
      </c>
      <c r="S178" s="5">
        <f t="shared" si="73"/>
        <v>130</v>
      </c>
      <c r="T178" s="9" t="n">
        <f>ROUND($J178*1.637*1.75*2.1*2.3*2.6*1,0)</f>
        <v>173042302</v>
      </c>
      <c r="U178" s="3">
        <f t="shared" si="74"/>
        <v>133</v>
      </c>
      <c r="V178" s="10" t="n">
        <f>ROUND($J178*1.637*1.75*2.1*2.3*2.6*3.2*1,0)</f>
        <v>553735365</v>
      </c>
      <c r="W178" s="5">
        <f t="shared" si="75"/>
        <v>137</v>
      </c>
      <c r="X178" s="9" t="n">
        <f>ROUND($J178*1.637*1.75*2.1*2.3*2.6*3.2*4.2*1,0)</f>
        <v>2325688535</v>
      </c>
      <c r="Y178" s="3">
        <f t="shared" si="76"/>
        <v>139</v>
      </c>
      <c r="Z178" s="10" t="n">
        <f>ROUND($J178*1.637*1.75*2.1*2.3*2.6*3.2*4.2*2.4*1,0)</f>
        <v>5581652484</v>
      </c>
      <c r="AA178" s="5">
        <f t="shared" si="77"/>
        <v>141</v>
      </c>
      <c r="AB178" s="9" t="n">
        <f>ROUND($J178*1.637*1.75*2.1*2.3*2.6*3.2*4.2*2.4*2.5*1,0)</f>
        <v>13954131209</v>
      </c>
      <c r="AC178" s="3">
        <f t="shared" si="78"/>
        <v>143</v>
      </c>
      <c r="AD178" s="10" t="n">
        <f>ROUND($J178*1.637*1.75*2.1*2.3*2.6*3.2*4.2*2.4*2.5*2.8*1,0)</f>
        <v>39071567387</v>
      </c>
      <c r="AE178" s="5">
        <f t="shared" si="79"/>
        <v>146</v>
      </c>
      <c r="AF178" s="9" t="n">
        <f>ROUND($J178*1.637*1.75*2.1*2.3*2.6*3.2*4.2*2.4*2.5*2.8*3.2*1,0)</f>
        <v>125029015637</v>
      </c>
      <c r="AG178" s="3">
        <f t="shared" si="80"/>
        <v>149</v>
      </c>
      <c r="AH178" s="10" t="n">
        <f>ROUND($J178*1.637*1.75*2.1*2.3*2.6*3.2*4.2*2.4*2.5*2.8*3.2*3.8*1,0)</f>
        <v>475110259421</v>
      </c>
    </row>
    <row r="179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 t="n">
        <f>ROUND($J179*1.637*0.8,0)</f>
        <v>5382456</v>
      </c>
      <c r="M179" s="3">
        <f t="shared" si="70"/>
        <v>124</v>
      </c>
      <c r="N179" s="10" t="n">
        <f>ROUND($J179*1.637*1.75*0.8,0)</f>
        <v>9419298</v>
      </c>
      <c r="O179" s="5">
        <f t="shared" si="71"/>
        <v>126</v>
      </c>
      <c r="P179" s="9" t="n">
        <f>ROUND($J179*1.637*1.75*2.1*0.8,0)</f>
        <v>19780526</v>
      </c>
      <c r="Q179" s="3">
        <f t="shared" si="72"/>
        <v>128</v>
      </c>
      <c r="R179" s="10" t="n">
        <f>ROUND($J179*1.637*1.75*2.1*2.3*0.542035092435954,0)</f>
        <v>30825000</v>
      </c>
      <c r="S179" s="5">
        <f t="shared" si="73"/>
        <v>130</v>
      </c>
      <c r="T179" s="9" t="n">
        <f>ROUND($J179*1.637*1.75*2.1*2.3*2.6*0.544690061623969,0)</f>
        <v>80537562</v>
      </c>
      <c r="U179" s="3">
        <f t="shared" si="74"/>
        <v>133</v>
      </c>
      <c r="V179" s="10" t="n">
        <f>ROUND($J179*1.637*1.75*2.1*2.3*2.6*3.2*0.547345030811984,0)</f>
        <v>258976398</v>
      </c>
      <c r="W179" s="5">
        <f t="shared" si="75"/>
        <v>137</v>
      </c>
      <c r="X179" s="9" t="n">
        <f>ROUND($J179*1.637*1.75*2.1*2.3*2.6*3.2*4.2*0.55,0)</f>
        <v>1092976909</v>
      </c>
      <c r="Y179" s="3">
        <f t="shared" si="76"/>
        <v>139</v>
      </c>
      <c r="Z179" s="10" t="n">
        <f>ROUND($J179*1.637*1.75*2.1*2.3*2.6*3.2*4.2*2.4*0.55,0)</f>
        <v>2623144582</v>
      </c>
      <c r="AA179" s="5">
        <f t="shared" si="77"/>
        <v>141</v>
      </c>
      <c r="AB179" s="9" t="n">
        <f>ROUND($J179*1.637*1.75*2.1*2.3*2.6*3.2*4.2*2.4*2.5*0.55,0)</f>
        <v>6557861455</v>
      </c>
      <c r="AC179" s="3">
        <f t="shared" si="78"/>
        <v>143</v>
      </c>
      <c r="AD179" s="10" t="n">
        <f>ROUND($J179*1.637*1.75*2.1*2.3*2.6*3.2*4.2*2.4*2.5*2.8*0.55,0)</f>
        <v>18362012074</v>
      </c>
      <c r="AE179" s="5">
        <f t="shared" si="79"/>
        <v>146</v>
      </c>
      <c r="AF179" s="9" t="n">
        <f>ROUND($J179*1.637*1.75*2.1*2.3*2.6*3.2*4.2*2.4*2.5*2.8*3.2*0.55,0)</f>
        <v>58758438638</v>
      </c>
      <c r="AG179" s="3">
        <f t="shared" si="80"/>
        <v>149</v>
      </c>
      <c r="AH179" s="10" t="n">
        <f>ROUND($J179*1.637*1.75*2.1*2.3*2.6*3.2*4.2*2.4*2.5*2.8*3.2*3.8*0.55,0)</f>
        <v>223282066823</v>
      </c>
    </row>
    <row r="180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 t="n">
        <f>ROUND($J180*1.637*0.8,0)</f>
        <v>6194408</v>
      </c>
      <c r="M180" s="3">
        <f t="shared" si="70"/>
        <v>124</v>
      </c>
      <c r="N180" s="10" t="n">
        <f>ROUND($J180*1.637*1.75*0.8,0)</f>
        <v>10840214</v>
      </c>
      <c r="O180" s="5">
        <f t="shared" si="71"/>
        <v>126</v>
      </c>
      <c r="P180" s="9" t="n">
        <f>ROUND($J180*1.637*1.75*2.1*0.8,0)</f>
        <v>22764449</v>
      </c>
      <c r="Q180" s="3">
        <f t="shared" si="72"/>
        <v>128</v>
      </c>
      <c r="R180" s="10" t="n">
        <f>ROUND($J180*1.637*1.75*2.1*2.3*0.542035092435954,0)</f>
        <v>35475000</v>
      </c>
      <c r="S180" s="5">
        <f t="shared" si="73"/>
        <v>130</v>
      </c>
      <c r="T180" s="9" t="n">
        <f>ROUND($J180*1.637*1.75*2.1*2.3*2.6*0.544690061623969,0)</f>
        <v>92686781</v>
      </c>
      <c r="U180" s="3">
        <f t="shared" si="74"/>
        <v>133</v>
      </c>
      <c r="V180" s="10" t="n">
        <f>ROUND($J180*1.637*1.75*2.1*2.3*2.6*3.2*0.547345030811984,0)</f>
        <v>298043398</v>
      </c>
      <c r="W180" s="5">
        <f t="shared" si="75"/>
        <v>137</v>
      </c>
      <c r="X180" s="9" t="n">
        <f>ROUND($J180*1.637*1.75*2.1*2.3*2.6*3.2*4.2*0.55,0)</f>
        <v>1257854204</v>
      </c>
      <c r="Y180" s="3">
        <f t="shared" si="76"/>
        <v>139</v>
      </c>
      <c r="Z180" s="10" t="n">
        <f>ROUND($J180*1.637*1.75*2.1*2.3*2.6*3.2*4.2*2.4*0.55,0)</f>
        <v>3018850091</v>
      </c>
      <c r="AA180" s="5">
        <f t="shared" si="77"/>
        <v>141</v>
      </c>
      <c r="AB180" s="9" t="n">
        <f>ROUND($J180*1.637*1.75*2.1*2.3*2.6*3.2*4.2*2.4*2.5*0.55,0)</f>
        <v>7547125227</v>
      </c>
      <c r="AC180" s="3">
        <f t="shared" si="78"/>
        <v>143</v>
      </c>
      <c r="AD180" s="10" t="n">
        <f>ROUND($J180*1.637*1.75*2.1*2.3*2.6*3.2*4.2*2.4*2.5*2.8*0.55,0)</f>
        <v>21131950635</v>
      </c>
      <c r="AE180" s="5">
        <f t="shared" si="79"/>
        <v>146</v>
      </c>
      <c r="AF180" s="9" t="n">
        <f>ROUND($J180*1.637*1.75*2.1*2.3*2.6*3.2*4.2*2.4*2.5*2.8*3.2*0.55,0)</f>
        <v>67622242033</v>
      </c>
      <c r="AG180" s="3">
        <f t="shared" si="80"/>
        <v>149</v>
      </c>
      <c r="AH180" s="10" t="n">
        <f>ROUND($J180*1.637*1.75*2.1*2.3*2.6*3.2*4.2*2.4*2.5*2.8*3.2*3.8*0.55,0)</f>
        <v>256964519726</v>
      </c>
    </row>
    <row r="18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 t="n">
        <f>ROUND($J181*1.637*1,0)</f>
        <v>6122380</v>
      </c>
      <c r="M181" s="3">
        <f t="shared" si="70"/>
        <v>124</v>
      </c>
      <c r="N181" s="10" t="n">
        <f>ROUND($J181*1.637*1.75*1,0)</f>
        <v>10714165</v>
      </c>
      <c r="O181" s="5">
        <f t="shared" si="71"/>
        <v>126</v>
      </c>
      <c r="P181" s="9" t="n">
        <f>ROUND($J181*1.637*1.75*2.1*1,0)</f>
        <v>22499747</v>
      </c>
      <c r="Q181" s="3">
        <f t="shared" si="72"/>
        <v>128</v>
      </c>
      <c r="R181" s="10" t="n">
        <f>ROUND($J181*1.637*1.75*2.1*2.3*1,0)</f>
        <v>51749417</v>
      </c>
      <c r="S181" s="5">
        <f t="shared" si="73"/>
        <v>130</v>
      </c>
      <c r="T181" s="9" t="n">
        <f>ROUND($J181*1.637*1.75*2.1*2.3*2.6*1,0)</f>
        <v>134548484</v>
      </c>
      <c r="U181" s="3">
        <f t="shared" si="74"/>
        <v>133</v>
      </c>
      <c r="V181" s="10" t="n">
        <f>ROUND($J181*1.637*1.75*2.1*2.3*2.6*3.2*1,0)</f>
        <v>430555149</v>
      </c>
      <c r="W181" s="5">
        <f t="shared" si="75"/>
        <v>137</v>
      </c>
      <c r="X181" s="9" t="n">
        <f>ROUND($J181*1.637*1.75*2.1*2.3*2.6*3.2*4.2*1,0)</f>
        <v>1808331626</v>
      </c>
      <c r="Y181" s="3">
        <f t="shared" si="76"/>
        <v>139</v>
      </c>
      <c r="Z181" s="10" t="n">
        <f>ROUND($J181*1.637*1.75*2.1*2.3*2.6*3.2*4.2*2.4*1,0)</f>
        <v>4339995902</v>
      </c>
      <c r="AA181" s="5">
        <f t="shared" si="77"/>
        <v>141</v>
      </c>
      <c r="AB181" s="9" t="n">
        <f>ROUND($J181*1.637*1.75*2.1*2.3*2.6*3.2*4.2*2.4*2.5*1,0)</f>
        <v>10849989755</v>
      </c>
      <c r="AC181" s="3">
        <f t="shared" si="78"/>
        <v>143</v>
      </c>
      <c r="AD181" s="10" t="n">
        <f>ROUND($J181*1.637*1.75*2.1*2.3*2.6*3.2*4.2*2.4*2.5*2.8*1,0)</f>
        <v>30379971315</v>
      </c>
      <c r="AE181" s="5">
        <f t="shared" si="79"/>
        <v>146</v>
      </c>
      <c r="AF181" s="9" t="n">
        <f>ROUND($J181*1.637*1.75*2.1*2.3*2.6*3.2*4.2*2.4*2.5*2.8*3.2*1,0)</f>
        <v>97215908208</v>
      </c>
      <c r="AG181" s="3">
        <f t="shared" si="80"/>
        <v>149</v>
      </c>
      <c r="AH181" s="10" t="n">
        <f>ROUND($J181*1.637*1.75*2.1*2.3*2.6*3.2*4.2*2.4*2.5*2.8*3.2*3.8*1,0)</f>
        <v>369420451192</v>
      </c>
    </row>
    <row r="182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 t="n">
        <f>ROUND($J182*1.637*0.8,0)</f>
        <v>5762240</v>
      </c>
      <c r="M182" s="3">
        <f t="shared" si="70"/>
        <v>124</v>
      </c>
      <c r="N182" s="10" t="n">
        <f>ROUND($J182*1.637*1.75*0.8,0)</f>
        <v>10083920</v>
      </c>
      <c r="O182" s="5">
        <f t="shared" si="71"/>
        <v>126</v>
      </c>
      <c r="P182" s="9" t="n">
        <f>ROUND($J182*1.637*1.75*2.1*0.8,0)</f>
        <v>21176232</v>
      </c>
      <c r="Q182" s="3">
        <f t="shared" si="72"/>
        <v>128</v>
      </c>
      <c r="R182" s="10" t="n">
        <f>ROUND($J182*1.637*1.75*2.1*2.3*0.542035092435954,0)</f>
        <v>33000000</v>
      </c>
      <c r="S182" s="5">
        <f t="shared" si="73"/>
        <v>130</v>
      </c>
      <c r="T182" s="9" t="n">
        <f>ROUND($J182*1.637*1.75*2.1*2.3*2.6*0.544690061623969,0)</f>
        <v>86220261</v>
      </c>
      <c r="U182" s="3">
        <f t="shared" si="74"/>
        <v>133</v>
      </c>
      <c r="V182" s="10" t="n">
        <f>ROUND($J182*1.637*1.75*2.1*2.3*2.6*3.2*0.547345030811984,0)</f>
        <v>277249672</v>
      </c>
      <c r="W182" s="5">
        <f t="shared" si="75"/>
        <v>137</v>
      </c>
      <c r="X182" s="9" t="n">
        <f>ROUND($J182*1.637*1.75*2.1*2.3*2.6*3.2*4.2*0.55,0)</f>
        <v>1170096934</v>
      </c>
      <c r="Y182" s="3">
        <f t="shared" si="76"/>
        <v>139</v>
      </c>
      <c r="Z182" s="10" t="n">
        <f>ROUND($J182*1.637*1.75*2.1*2.3*2.6*3.2*4.2*2.4*0.55,0)</f>
        <v>2808232643</v>
      </c>
      <c r="AA182" s="5">
        <f t="shared" si="77"/>
        <v>141</v>
      </c>
      <c r="AB182" s="9" t="n">
        <f>ROUND($J182*1.637*1.75*2.1*2.3*2.6*3.2*4.2*2.4*2.5*0.55,0)</f>
        <v>7020581606</v>
      </c>
      <c r="AC182" s="3">
        <f t="shared" si="78"/>
        <v>143</v>
      </c>
      <c r="AD182" s="10" t="n">
        <f>ROUND($J182*1.637*1.75*2.1*2.3*2.6*3.2*4.2*2.4*2.5*2.8*0.55,0)</f>
        <v>19657628498</v>
      </c>
      <c r="AE182" s="5">
        <f t="shared" si="79"/>
        <v>146</v>
      </c>
      <c r="AF182" s="9" t="n">
        <f>ROUND($J182*1.637*1.75*2.1*2.3*2.6*3.2*4.2*2.4*2.5*2.8*3.2*0.55,0)</f>
        <v>62904411194</v>
      </c>
      <c r="AG182" s="3">
        <f t="shared" si="80"/>
        <v>149</v>
      </c>
      <c r="AH182" s="10" t="n">
        <f>ROUND($J182*1.637*1.75*2.1*2.3*2.6*3.2*4.2*2.4*2.5*2.8*3.2*3.8*0.55,0)</f>
        <v>239036762536</v>
      </c>
    </row>
    <row r="183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 t="n">
        <f>ROUND($J183*1.637*1,0)</f>
        <v>6842660</v>
      </c>
      <c r="M183" s="3">
        <f t="shared" si="70"/>
        <v>124</v>
      </c>
      <c r="N183" s="10" t="n">
        <f>ROUND($J183*1.637*1.75*1,0)</f>
        <v>11974655</v>
      </c>
      <c r="O183" s="5">
        <f t="shared" si="71"/>
        <v>126</v>
      </c>
      <c r="P183" s="9" t="n">
        <f>ROUND($J183*1.637*1.75*2.1*1,0)</f>
        <v>25146776</v>
      </c>
      <c r="Q183" s="3">
        <f t="shared" si="72"/>
        <v>128</v>
      </c>
      <c r="R183" s="10" t="n">
        <f>ROUND($J183*1.637*1.75*2.1*2.3*1,0)</f>
        <v>57837584</v>
      </c>
      <c r="S183" s="5">
        <f t="shared" si="73"/>
        <v>130</v>
      </c>
      <c r="T183" s="9" t="n">
        <f>ROUND($J183*1.637*1.75*2.1*2.3*2.6*1,0)</f>
        <v>150377717</v>
      </c>
      <c r="U183" s="3">
        <f t="shared" si="74"/>
        <v>133</v>
      </c>
      <c r="V183" s="10" t="n">
        <f>ROUND($J183*1.637*1.75*2.1*2.3*2.6*3.2*1,0)</f>
        <v>481208696</v>
      </c>
      <c r="W183" s="5">
        <f t="shared" si="75"/>
        <v>137</v>
      </c>
      <c r="X183" s="9" t="n">
        <f>ROUND($J183*1.637*1.75*2.1*2.3*2.6*3.2*4.2*1,0)</f>
        <v>2021076523</v>
      </c>
      <c r="Y183" s="3">
        <f t="shared" si="76"/>
        <v>139</v>
      </c>
      <c r="Z183" s="10" t="n">
        <f>ROUND($J183*1.637*1.75*2.1*2.3*2.6*3.2*4.2*2.4*1,0)</f>
        <v>4850583655</v>
      </c>
      <c r="AA183" s="5">
        <f t="shared" si="77"/>
        <v>141</v>
      </c>
      <c r="AB183" s="9" t="n">
        <f>ROUND($J183*1.637*1.75*2.1*2.3*2.6*3.2*4.2*2.4*2.5*1,0)</f>
        <v>12126459138</v>
      </c>
      <c r="AC183" s="3">
        <f t="shared" si="78"/>
        <v>143</v>
      </c>
      <c r="AD183" s="10" t="n">
        <f>ROUND($J183*1.637*1.75*2.1*2.3*2.6*3.2*4.2*2.4*2.5*2.8*1,0)</f>
        <v>33954085588</v>
      </c>
      <c r="AE183" s="5">
        <f t="shared" si="79"/>
        <v>146</v>
      </c>
      <c r="AF183" s="9" t="n">
        <f>ROUND($J183*1.637*1.75*2.1*2.3*2.6*3.2*4.2*2.4*2.5*2.8*3.2*1,0)</f>
        <v>108653073880</v>
      </c>
      <c r="AG183" s="3">
        <f t="shared" si="80"/>
        <v>149</v>
      </c>
      <c r="AH183" s="10" t="n">
        <f>ROUND($J183*1.637*1.75*2.1*2.3*2.6*3.2*4.2*2.4*2.5*2.8*3.2*3.8*1,0)</f>
        <v>412881680744</v>
      </c>
    </row>
    <row r="184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 t="n">
        <f>ROUND($J184*1.637*1,0)</f>
        <v>7775750</v>
      </c>
      <c r="M184" s="3">
        <f t="shared" si="70"/>
        <v>124</v>
      </c>
      <c r="N184" s="10" t="n">
        <f>ROUND($J184*1.637*1.75*1,0)</f>
        <v>13607563</v>
      </c>
      <c r="O184" s="5">
        <f t="shared" si="71"/>
        <v>126</v>
      </c>
      <c r="P184" s="9" t="n">
        <f>ROUND($J184*1.637*1.75*2.1*1,0)</f>
        <v>28575881</v>
      </c>
      <c r="Q184" s="3">
        <f t="shared" si="72"/>
        <v>128</v>
      </c>
      <c r="R184" s="10" t="n">
        <f>ROUND($J184*1.637*1.75*2.1*2.3*1,0)</f>
        <v>65724527</v>
      </c>
      <c r="S184" s="5">
        <f t="shared" si="73"/>
        <v>130</v>
      </c>
      <c r="T184" s="9" t="n">
        <f>ROUND($J184*1.637*1.75*2.1*2.3*2.6*1,0)</f>
        <v>170883770</v>
      </c>
      <c r="U184" s="3">
        <f t="shared" si="74"/>
        <v>133</v>
      </c>
      <c r="V184" s="10" t="n">
        <f>ROUND($J184*1.637*1.75*2.1*2.3*2.6*3.2*1,0)</f>
        <v>546828064</v>
      </c>
      <c r="W184" s="5">
        <f t="shared" si="75"/>
        <v>137</v>
      </c>
      <c r="X184" s="9" t="n">
        <f>ROUND($J184*1.637*1.75*2.1*2.3*2.6*3.2*4.2*1,0)</f>
        <v>2296677867</v>
      </c>
      <c r="Y184" s="3">
        <f t="shared" si="76"/>
        <v>139</v>
      </c>
      <c r="Z184" s="10" t="n">
        <f>ROUND($J184*1.637*1.75*2.1*2.3*2.6*3.2*4.2*2.4*1,0)</f>
        <v>5512026881</v>
      </c>
      <c r="AA184" s="5">
        <f t="shared" si="77"/>
        <v>141</v>
      </c>
      <c r="AB184" s="9" t="n">
        <f>ROUND($J184*1.637*1.75*2.1*2.3*2.6*3.2*4.2*2.4*2.5*1,0)</f>
        <v>13780067203</v>
      </c>
      <c r="AC184" s="3">
        <f t="shared" si="78"/>
        <v>143</v>
      </c>
      <c r="AD184" s="10" t="n">
        <f>ROUND($J184*1.637*1.75*2.1*2.3*2.6*3.2*4.2*2.4*2.5*2.8*1,0)</f>
        <v>38584188168</v>
      </c>
      <c r="AE184" s="5">
        <f t="shared" si="79"/>
        <v>146</v>
      </c>
      <c r="AF184" s="9" t="n">
        <f>ROUND($J184*1.637*1.75*2.1*2.3*2.6*3.2*4.2*2.4*2.5*2.8*3.2*1,0)</f>
        <v>123469402136</v>
      </c>
      <c r="AG184" s="3">
        <f t="shared" si="80"/>
        <v>149</v>
      </c>
      <c r="AH184" s="10" t="n">
        <f>ROUND($J184*1.637*1.75*2.1*2.3*2.6*3.2*4.2*2.4*2.5*2.8*3.2*3.8*1,0)</f>
        <v>469183728118</v>
      </c>
    </row>
    <row r="185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 t="n">
        <f>ROUND($J185*1.637*1,0)</f>
        <v>6024160</v>
      </c>
      <c r="M185" s="3">
        <f t="shared" si="70"/>
        <v>124</v>
      </c>
      <c r="N185" s="10" t="n">
        <f>ROUND($J185*1.637*1.75*1,0)</f>
        <v>10542280</v>
      </c>
      <c r="O185" s="5">
        <f t="shared" si="71"/>
        <v>126</v>
      </c>
      <c r="P185" s="9" t="n">
        <f>ROUND($J185*1.637*1.75*2.1*1,0)</f>
        <v>22138788</v>
      </c>
      <c r="Q185" s="3">
        <f t="shared" si="72"/>
        <v>128</v>
      </c>
      <c r="R185" s="10" t="n">
        <f>ROUND($J185*1.637*1.75*2.1*2.3*1,0)</f>
        <v>50919212</v>
      </c>
      <c r="S185" s="5">
        <f t="shared" si="73"/>
        <v>130</v>
      </c>
      <c r="T185" s="9" t="n">
        <f>ROUND($J185*1.637*1.75*2.1*2.3*2.6*1,0)</f>
        <v>132389952</v>
      </c>
      <c r="U185" s="3">
        <f t="shared" si="74"/>
        <v>133</v>
      </c>
      <c r="V185" s="10" t="n">
        <f>ROUND($J185*1.637*1.75*2.1*2.3*2.6*3.2*1,0)</f>
        <v>423647847</v>
      </c>
      <c r="W185" s="5">
        <f t="shared" si="75"/>
        <v>137</v>
      </c>
      <c r="X185" s="9" t="n">
        <f>ROUND($J185*1.637*1.75*2.1*2.3*2.6*3.2*4.2*1,0)</f>
        <v>1779320958</v>
      </c>
      <c r="Y185" s="3">
        <f t="shared" si="76"/>
        <v>139</v>
      </c>
      <c r="Z185" s="10" t="n">
        <f>ROUND($J185*1.637*1.75*2.1*2.3*2.6*3.2*4.2*2.4*1,0)</f>
        <v>4270370299</v>
      </c>
      <c r="AA185" s="5">
        <f t="shared" si="77"/>
        <v>141</v>
      </c>
      <c r="AB185" s="9" t="n">
        <f>ROUND($J185*1.637*1.75*2.1*2.3*2.6*3.2*4.2*2.4*2.5*1,0)</f>
        <v>10675925749</v>
      </c>
      <c r="AC185" s="3">
        <f t="shared" si="78"/>
        <v>143</v>
      </c>
      <c r="AD185" s="10" t="n">
        <f>ROUND($J185*1.637*1.75*2.1*2.3*2.6*3.2*4.2*2.4*2.5*2.8*1,0)</f>
        <v>29892592096</v>
      </c>
      <c r="AE185" s="5">
        <f t="shared" si="79"/>
        <v>146</v>
      </c>
      <c r="AF185" s="9" t="n">
        <f>ROUND($J185*1.637*1.75*2.1*2.3*2.6*3.2*4.2*2.4*2.5*2.8*3.2*1,0)</f>
        <v>95656294708</v>
      </c>
      <c r="AG185" s="3">
        <f t="shared" si="80"/>
        <v>149</v>
      </c>
      <c r="AH185" s="10" t="n">
        <f>ROUND($J185*1.637*1.75*2.1*2.3*2.6*3.2*4.2*2.4*2.5*2.8*3.2*3.8*1,0)</f>
        <v>363493919889</v>
      </c>
    </row>
    <row r="186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 t="n">
        <f>ROUND($J186*1.637*0.8,0)</f>
        <v>5932488</v>
      </c>
      <c r="M186" s="3">
        <f t="shared" si="70"/>
        <v>124</v>
      </c>
      <c r="N186" s="10" t="n">
        <f>ROUND($J186*1.637*1.75*0.8,0)</f>
        <v>10381854</v>
      </c>
      <c r="O186" s="5">
        <f t="shared" si="71"/>
        <v>126</v>
      </c>
      <c r="P186" s="9" t="n">
        <f>ROUND($J186*1.637*1.75*2.1*0.8,0)</f>
        <v>21801893</v>
      </c>
      <c r="Q186" s="3">
        <f t="shared" si="72"/>
        <v>128</v>
      </c>
      <c r="R186" s="10" t="n">
        <f>ROUND($J186*1.637*1.75*2.1*2.3*0.542035092435954,0)</f>
        <v>33975000</v>
      </c>
      <c r="S186" s="5">
        <f t="shared" si="73"/>
        <v>130</v>
      </c>
      <c r="T186" s="9" t="n">
        <f>ROUND($J186*1.637*1.75*2.1*2.3*2.6*0.544690061623969,0)</f>
        <v>88767678</v>
      </c>
      <c r="U186" s="3">
        <f t="shared" si="74"/>
        <v>133</v>
      </c>
      <c r="V186" s="10" t="n">
        <f>ROUND($J186*1.637*1.75*2.1*2.3*2.6*3.2*0.547345030811984,0)</f>
        <v>285441140</v>
      </c>
      <c r="W186" s="5">
        <f t="shared" si="75"/>
        <v>137</v>
      </c>
      <c r="X186" s="9" t="n">
        <f>ROUND($J186*1.637*1.75*2.1*2.3*2.6*3.2*4.2*0.55,0)</f>
        <v>1204667980</v>
      </c>
      <c r="Y186" s="3">
        <f t="shared" si="76"/>
        <v>139</v>
      </c>
      <c r="Z186" s="10" t="n">
        <f>ROUND($J186*1.637*1.75*2.1*2.3*2.6*3.2*4.2*2.4*0.55,0)</f>
        <v>2891203152</v>
      </c>
      <c r="AA186" s="5">
        <f t="shared" si="77"/>
        <v>141</v>
      </c>
      <c r="AB186" s="9" t="n">
        <f>ROUND($J186*1.637*1.75*2.1*2.3*2.6*3.2*4.2*2.4*2.5*0.55,0)</f>
        <v>7228007881</v>
      </c>
      <c r="AC186" s="3">
        <f t="shared" si="78"/>
        <v>143</v>
      </c>
      <c r="AD186" s="10" t="n">
        <f>ROUND($J186*1.637*1.75*2.1*2.3*2.6*3.2*4.2*2.4*2.5*2.8*0.55,0)</f>
        <v>20238422067</v>
      </c>
      <c r="AE186" s="5">
        <f t="shared" si="79"/>
        <v>146</v>
      </c>
      <c r="AF186" s="9" t="n">
        <f>ROUND($J186*1.637*1.75*2.1*2.3*2.6*3.2*4.2*2.4*2.5*2.8*3.2*0.55,0)</f>
        <v>64762950615</v>
      </c>
      <c r="AG186" s="3">
        <f t="shared" si="80"/>
        <v>149</v>
      </c>
      <c r="AH186" s="10" t="n">
        <f>ROUND($J186*1.637*1.75*2.1*2.3*2.6*3.2*4.2*2.4*2.5*2.8*3.2*3.8*0.55,0)</f>
        <v>246099212338</v>
      </c>
    </row>
    <row r="187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 t="n">
        <f>ROUND($J187*1.637*1,0)</f>
        <v>7939450</v>
      </c>
      <c r="M187" s="3">
        <f t="shared" si="70"/>
        <v>124</v>
      </c>
      <c r="N187" s="10" t="n">
        <f>ROUND($J187*1.637*1.75*1,0)</f>
        <v>13894038</v>
      </c>
      <c r="O187" s="5">
        <f t="shared" si="71"/>
        <v>126</v>
      </c>
      <c r="P187" s="9" t="n">
        <f>ROUND($J187*1.637*1.75*2.1*1,0)</f>
        <v>29177479</v>
      </c>
      <c r="Q187" s="3">
        <f t="shared" si="72"/>
        <v>128</v>
      </c>
      <c r="R187" s="10" t="n">
        <f>ROUND($J187*1.637*1.75*2.1*2.3*1,0)</f>
        <v>67108201</v>
      </c>
      <c r="S187" s="5">
        <f t="shared" si="73"/>
        <v>130</v>
      </c>
      <c r="T187" s="9" t="n">
        <f>ROUND($J187*1.637*1.75*2.1*2.3*2.6*1,0)</f>
        <v>174481323</v>
      </c>
      <c r="U187" s="3">
        <f t="shared" si="74"/>
        <v>133</v>
      </c>
      <c r="V187" s="10" t="n">
        <f>ROUND($J187*1.637*1.75*2.1*2.3*2.6*3.2*1,0)</f>
        <v>558340233</v>
      </c>
      <c r="W187" s="5">
        <f t="shared" si="75"/>
        <v>137</v>
      </c>
      <c r="X187" s="9" t="n">
        <f>ROUND($J187*1.637*1.75*2.1*2.3*2.6*3.2*4.2*1,0)</f>
        <v>2345028980</v>
      </c>
      <c r="Y187" s="3">
        <f t="shared" si="76"/>
        <v>139</v>
      </c>
      <c r="Z187" s="10" t="n">
        <f>ROUND($J187*1.637*1.75*2.1*2.3*2.6*3.2*4.2*2.4*1,0)</f>
        <v>5628069552</v>
      </c>
      <c r="AA187" s="5">
        <f t="shared" si="77"/>
        <v>141</v>
      </c>
      <c r="AB187" s="9" t="n">
        <f>ROUND($J187*1.637*1.75*2.1*2.3*2.6*3.2*4.2*2.4*2.5*1,0)</f>
        <v>14070173881</v>
      </c>
      <c r="AC187" s="3">
        <f t="shared" si="78"/>
        <v>143</v>
      </c>
      <c r="AD187" s="10" t="n">
        <f>ROUND($J187*1.637*1.75*2.1*2.3*2.6*3.2*4.2*2.4*2.5*2.8*1,0)</f>
        <v>39396486866</v>
      </c>
      <c r="AE187" s="5">
        <f t="shared" si="79"/>
        <v>146</v>
      </c>
      <c r="AF187" s="9" t="n">
        <f>ROUND($J187*1.637*1.75*2.1*2.3*2.6*3.2*4.2*2.4*2.5*2.8*3.2*1,0)</f>
        <v>126068757971</v>
      </c>
      <c r="AG187" s="3">
        <f t="shared" si="80"/>
        <v>149</v>
      </c>
      <c r="AH187" s="10" t="n">
        <f>ROUND($J187*1.637*1.75*2.1*2.3*2.6*3.2*4.2*2.4*2.5*2.8*3.2*3.8*1,0)</f>
        <v>479061280289</v>
      </c>
    </row>
    <row r="188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 t="n">
        <f>ROUND($J188*1.637*0.8,0)</f>
        <v>4819328</v>
      </c>
      <c r="M188" s="3">
        <f t="shared" si="70"/>
        <v>124</v>
      </c>
      <c r="N188" s="10" t="n">
        <f>ROUND($J188*1.637*1.75*0.8,0)</f>
        <v>8433824</v>
      </c>
      <c r="O188" s="5">
        <f t="shared" si="71"/>
        <v>126</v>
      </c>
      <c r="P188" s="9" t="n">
        <f>ROUND($J188*1.637*1.75*2.1*0.8,0)</f>
        <v>17711030</v>
      </c>
      <c r="Q188" s="3">
        <f t="shared" si="72"/>
        <v>128</v>
      </c>
      <c r="R188" s="10" t="n">
        <f>ROUND($J188*1.637*1.75*2.1*2.3*0.542035092435954,0)</f>
        <v>27600000</v>
      </c>
      <c r="S188" s="5">
        <f t="shared" si="73"/>
        <v>130</v>
      </c>
      <c r="T188" s="9" t="n">
        <f>ROUND($J188*1.637*1.75*2.1*2.3*2.6*0.544690061623969,0)</f>
        <v>72111491</v>
      </c>
      <c r="U188" s="3">
        <f t="shared" si="74"/>
        <v>133</v>
      </c>
      <c r="V188" s="10" t="n">
        <f>ROUND($J188*1.637*1.75*2.1*2.3*2.6*3.2*0.547345030811984,0)</f>
        <v>231881544</v>
      </c>
      <c r="W188" s="5">
        <f t="shared" si="75"/>
        <v>137</v>
      </c>
      <c r="X188" s="9" t="n">
        <f>ROUND($J188*1.637*1.75*2.1*2.3*2.6*3.2*4.2*0.55,0)</f>
        <v>978626527</v>
      </c>
      <c r="Y188" s="3">
        <f t="shared" si="76"/>
        <v>139</v>
      </c>
      <c r="Z188" s="10" t="n">
        <f>ROUND($J188*1.637*1.75*2.1*2.3*2.6*3.2*4.2*2.4*0.55,0)</f>
        <v>2348703665</v>
      </c>
      <c r="AA188" s="5">
        <f t="shared" si="77"/>
        <v>141</v>
      </c>
      <c r="AB188" s="9" t="n">
        <f>ROUND($J188*1.637*1.75*2.1*2.3*2.6*3.2*4.2*2.4*2.5*0.55,0)</f>
        <v>5871759162</v>
      </c>
      <c r="AC188" s="3">
        <f t="shared" si="78"/>
        <v>143</v>
      </c>
      <c r="AD188" s="10" t="n">
        <f>ROUND($J188*1.637*1.75*2.1*2.3*2.6*3.2*4.2*2.4*2.5*2.8*0.55,0)</f>
        <v>16440925653</v>
      </c>
      <c r="AE188" s="5">
        <f t="shared" si="79"/>
        <v>146</v>
      </c>
      <c r="AF188" s="9" t="n">
        <f>ROUND($J188*1.637*1.75*2.1*2.3*2.6*3.2*4.2*2.4*2.5*2.8*3.2*0.55,0)</f>
        <v>52610962089</v>
      </c>
      <c r="AG188" s="3">
        <f t="shared" si="80"/>
        <v>149</v>
      </c>
      <c r="AH188" s="10" t="n">
        <f>ROUND($J188*1.637*1.75*2.1*2.3*2.6*3.2*4.2*2.4*2.5*2.8*3.2*3.8*0.55,0)</f>
        <v>199921655939</v>
      </c>
    </row>
    <row r="189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 t="n">
        <f>ROUND($J189*1.637*1,0)</f>
        <v>6187860</v>
      </c>
      <c r="M189" s="3">
        <f t="shared" si="70"/>
        <v>124</v>
      </c>
      <c r="N189" s="10" t="n">
        <f>ROUND($J189*1.637*1.75*1,0)</f>
        <v>10828755</v>
      </c>
      <c r="O189" s="5">
        <f t="shared" si="71"/>
        <v>126</v>
      </c>
      <c r="P189" s="9" t="n">
        <f>ROUND($J189*1.637*1.75*2.1*1,0)</f>
        <v>22740386</v>
      </c>
      <c r="Q189" s="3">
        <f t="shared" si="72"/>
        <v>128</v>
      </c>
      <c r="R189" s="10" t="n">
        <f>ROUND($J189*1.637*1.75*2.1*2.3*1,0)</f>
        <v>52302887</v>
      </c>
      <c r="S189" s="5">
        <f t="shared" si="73"/>
        <v>130</v>
      </c>
      <c r="T189" s="9" t="n">
        <f>ROUND($J189*1.637*1.75*2.1*2.3*2.6*1,0)</f>
        <v>135987505</v>
      </c>
      <c r="U189" s="3">
        <f t="shared" si="74"/>
        <v>133</v>
      </c>
      <c r="V189" s="10" t="n">
        <f>ROUND($J189*1.637*1.75*2.1*2.3*2.6*3.2*1,0)</f>
        <v>435160017</v>
      </c>
      <c r="W189" s="5">
        <f t="shared" si="75"/>
        <v>137</v>
      </c>
      <c r="X189" s="9" t="n">
        <f>ROUND($J189*1.637*1.75*2.1*2.3*2.6*3.2*4.2*1,0)</f>
        <v>1827672071</v>
      </c>
      <c r="Y189" s="3">
        <f t="shared" si="76"/>
        <v>139</v>
      </c>
      <c r="Z189" s="10" t="n">
        <f>ROUND($J189*1.637*1.75*2.1*2.3*2.6*3.2*4.2*2.4*1,0)</f>
        <v>4386412971</v>
      </c>
      <c r="AA189" s="5">
        <f t="shared" si="77"/>
        <v>141</v>
      </c>
      <c r="AB189" s="9" t="n">
        <f>ROUND($J189*1.637*1.75*2.1*2.3*2.6*3.2*4.2*2.4*2.5*1,0)</f>
        <v>10966032427</v>
      </c>
      <c r="AC189" s="3">
        <f t="shared" si="78"/>
        <v>143</v>
      </c>
      <c r="AD189" s="10" t="n">
        <f>ROUND($J189*1.637*1.75*2.1*2.3*2.6*3.2*4.2*2.4*2.5*2.8*1,0)</f>
        <v>30704890794</v>
      </c>
      <c r="AE189" s="5">
        <f t="shared" si="79"/>
        <v>146</v>
      </c>
      <c r="AF189" s="9" t="n">
        <f>ROUND($J189*1.637*1.75*2.1*2.3*2.6*3.2*4.2*2.4*2.5*2.8*3.2*1,0)</f>
        <v>98255650542</v>
      </c>
      <c r="AG189" s="3">
        <f t="shared" si="80"/>
        <v>149</v>
      </c>
      <c r="AH189" s="10" t="n">
        <f>ROUND($J189*1.637*1.75*2.1*2.3*2.6*3.2*4.2*2.4*2.5*2.8*3.2*3.8*1,0)</f>
        <v>373371472060</v>
      </c>
    </row>
    <row r="190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 t="n">
        <f t="shared" ref="L190:L195" si="84">ROUND($J190*1.637*0.8,0)</f>
        <v>5880104</v>
      </c>
      <c r="M190" s="3">
        <f t="shared" si="70"/>
        <v>124</v>
      </c>
      <c r="N190" s="10" t="n">
        <f t="shared" ref="N190:N195" si="85">ROUND($J190*1.637*1.75*0.8,0)</f>
        <v>10290182</v>
      </c>
      <c r="O190" s="5">
        <f t="shared" si="71"/>
        <v>126</v>
      </c>
      <c r="P190" s="9" t="n">
        <f t="shared" ref="P190:P195" si="86">ROUND($J190*1.637*1.75*2.1*0.8,0)</f>
        <v>21609382</v>
      </c>
      <c r="Q190" s="3">
        <f t="shared" si="72"/>
        <v>128</v>
      </c>
      <c r="R190" s="10" t="n">
        <f t="shared" ref="R190:R195" si="87">ROUND($J190*1.637*1.75*2.1*2.3*0.542035092435954,0)</f>
        <v>33675000</v>
      </c>
      <c r="S190" s="5">
        <f t="shared" si="73"/>
        <v>130</v>
      </c>
      <c r="T190" s="9" t="n">
        <f t="shared" ref="T190:T195" si="88">ROUND($J190*1.637*1.75*2.1*2.3*2.6*0.544690061623969,0)</f>
        <v>87983858</v>
      </c>
      <c r="U190" s="3">
        <f t="shared" si="74"/>
        <v>133</v>
      </c>
      <c r="V190" s="10" t="n">
        <f t="shared" ref="V190:V195" si="89">ROUND($J190*1.637*1.75*2.1*2.3*2.6*3.2*0.547345030811984,0)</f>
        <v>282920688</v>
      </c>
      <c r="W190" s="5">
        <f t="shared" si="75"/>
        <v>137</v>
      </c>
      <c r="X190" s="9" t="n">
        <f t="shared" ref="X190:X195" si="90">ROUND($J190*1.637*1.75*2.1*2.3*2.6*3.2*4.2*0.55,0)</f>
        <v>1194030735</v>
      </c>
      <c r="Y190" s="3">
        <f t="shared" si="76"/>
        <v>139</v>
      </c>
      <c r="Z190" s="10" t="n">
        <f t="shared" ref="Z190:Z195" si="91">ROUND($J190*1.637*1.75*2.1*2.3*2.6*3.2*4.2*2.4*0.55,0)</f>
        <v>2865673765</v>
      </c>
      <c r="AA190" s="5">
        <f t="shared" si="77"/>
        <v>141</v>
      </c>
      <c r="AB190" s="9" t="n">
        <f t="shared" ref="AB190:AB195" si="92">ROUND($J190*1.637*1.75*2.1*2.3*2.6*3.2*4.2*2.4*2.5*0.55,0)</f>
        <v>7164184412</v>
      </c>
      <c r="AC190" s="3">
        <f t="shared" si="78"/>
        <v>143</v>
      </c>
      <c r="AD190" s="10" t="n">
        <f t="shared" ref="AD190:AD195" si="93">ROUND($J190*1.637*1.75*2.1*2.3*2.6*3.2*4.2*2.4*2.5*2.8*0.55,0)</f>
        <v>20059716354</v>
      </c>
      <c r="AE190" s="5">
        <f t="shared" si="79"/>
        <v>146</v>
      </c>
      <c r="AF190" s="9" t="n">
        <f t="shared" ref="AF190:AF195" si="94">ROUND($J190*1.637*1.75*2.1*2.3*2.6*3.2*4.2*2.4*2.5*2.8*3.2*0.55,0)</f>
        <v>64191092332</v>
      </c>
      <c r="AG190" s="3">
        <f t="shared" si="80"/>
        <v>149</v>
      </c>
      <c r="AH190" s="10" t="n">
        <f t="shared" ref="AH190:AH195" si="95">ROUND($J190*1.637*1.75*2.1*2.3*2.6*3.2*4.2*2.4*2.5*2.8*3.2*3.8*0.55,0)</f>
        <v>243926150861</v>
      </c>
    </row>
    <row r="19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 t="shared" ref="K195:K258" si="96">$E195+1</f>
        <v>123</v>
      </c>
      <c r="L195" s="9">
        <f t="shared" si="84"/>
        <v>6037256</v>
      </c>
      <c r="M195" s="3" t="n">
        <f t="shared" ref="M195:M258" si="97">$E195+2</f>
        <v>124</v>
      </c>
      <c r="N195" s="10">
        <f t="shared" si="85"/>
        <v>10565198</v>
      </c>
      <c r="O195" s="5" t="n">
        <f t="shared" ref="O195:O258" si="98">$E195+4</f>
        <v>126</v>
      </c>
      <c r="P195" s="9">
        <f t="shared" si="86"/>
        <v>22186916</v>
      </c>
      <c r="Q195" s="3" t="n">
        <f t="shared" ref="Q195:Q258" si="99">$E195+6</f>
        <v>128</v>
      </c>
      <c r="R195" s="10">
        <f t="shared" si="87"/>
        <v>34575000</v>
      </c>
      <c r="S195" s="5" t="n">
        <f t="shared" ref="S195:S258" si="100">$E195+8</f>
        <v>130</v>
      </c>
      <c r="T195" s="9">
        <f t="shared" si="88"/>
        <v>90335319</v>
      </c>
      <c r="U195" s="3" t="n">
        <f t="shared" ref="U195:U258" si="101">$E195+11</f>
        <v>133</v>
      </c>
      <c r="V195" s="10">
        <f t="shared" si="89"/>
        <v>290482043</v>
      </c>
      <c r="W195" s="5" t="n">
        <f t="shared" ref="W195:W258" si="102">$E195+15</f>
        <v>137</v>
      </c>
      <c r="X195" s="9">
        <f t="shared" si="90"/>
        <v>1225942470</v>
      </c>
      <c r="Y195" s="3" t="n">
        <f t="shared" ref="Y195:Y258" si="103">$E195+17</f>
        <v>139</v>
      </c>
      <c r="Z195" s="10">
        <f t="shared" si="91"/>
        <v>2942261928</v>
      </c>
      <c r="AA195" s="5" t="n">
        <f t="shared" ref="AA195:AA258" si="104">$E195+19</f>
        <v>141</v>
      </c>
      <c r="AB195" s="9">
        <f t="shared" si="92"/>
        <v>7355654819</v>
      </c>
      <c r="AC195" s="3" t="n">
        <f t="shared" ref="AC195:AC258" si="105">$E195+21</f>
        <v>143</v>
      </c>
      <c r="AD195" s="10">
        <f t="shared" si="93"/>
        <v>20595833495</v>
      </c>
      <c r="AE195" s="5" t="n">
        <f t="shared" ref="AE195:AE258" si="106">$E195+24</f>
        <v>146</v>
      </c>
      <c r="AF195" s="9">
        <f t="shared" si="94"/>
        <v>65906667182</v>
      </c>
      <c r="AG195" s="3" t="n">
        <f t="shared" ref="AG195:AG258" si="107">$E195+27</f>
        <v>149</v>
      </c>
      <c r="AH195" s="10">
        <f t="shared" si="95"/>
        <v>250445335293</v>
      </c>
    </row>
    <row r="196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 t="n">
        <f>ROUND($J196*1.637*1,0)</f>
        <v>6220600</v>
      </c>
      <c r="M196" s="3">
        <f t="shared" si="97"/>
        <v>124</v>
      </c>
      <c r="N196" s="10" t="n">
        <f>ROUND($J196*1.637*1.75*1,0)</f>
        <v>10886050</v>
      </c>
      <c r="O196" s="5">
        <f t="shared" si="98"/>
        <v>126</v>
      </c>
      <c r="P196" s="9" t="n">
        <f>ROUND($J196*1.637*1.75*2.1*1,0)</f>
        <v>22860705</v>
      </c>
      <c r="Q196" s="3">
        <f t="shared" si="99"/>
        <v>128</v>
      </c>
      <c r="R196" s="10" t="n">
        <f>ROUND($J196*1.637*1.75*2.1*2.3*1.25,0)</f>
        <v>65724527</v>
      </c>
      <c r="S196" s="5">
        <f t="shared" si="100"/>
        <v>130</v>
      </c>
      <c r="T196" s="9" t="n">
        <f>ROUND($J196*1.637*1.75*2.1*2.3*2.6*1.25,0)</f>
        <v>170883770</v>
      </c>
      <c r="U196" s="3">
        <f t="shared" si="101"/>
        <v>133</v>
      </c>
      <c r="V196" s="10" t="n">
        <f>ROUND($J196*1.637*1.75*2.1*2.3*2.6*3.2*1.25,0)</f>
        <v>546828064</v>
      </c>
      <c r="W196" s="5">
        <f t="shared" si="102"/>
        <v>137</v>
      </c>
      <c r="X196" s="9" t="n">
        <f>ROUND($J196*1.637*1.75*2.1*2.3*2.6*3.2*4.2*1.25,0)</f>
        <v>2296677867</v>
      </c>
      <c r="Y196" s="3">
        <f t="shared" si="103"/>
        <v>139</v>
      </c>
      <c r="Z196" s="10" t="n">
        <f>ROUND($J196*1.637*1.75*2.1*2.3*2.6*3.2*4.2*2.4*1.25,0)</f>
        <v>5512026881</v>
      </c>
      <c r="AA196" s="5">
        <f t="shared" si="104"/>
        <v>141</v>
      </c>
      <c r="AB196" s="9" t="n">
        <f>ROUND($J196*1.637*1.75*2.1*2.3*2.6*3.2*4.2*2.4*2.5*1.25,0)</f>
        <v>13780067203</v>
      </c>
      <c r="AC196" s="3">
        <f t="shared" si="105"/>
        <v>143</v>
      </c>
      <c r="AD196" s="10" t="n">
        <f>ROUND($J196*1.637*1.75*2.1*2.3*2.6*3.2*4.2*2.4*2.5*2.8*1.25,0)</f>
        <v>38584188168</v>
      </c>
      <c r="AE196" s="5">
        <f t="shared" si="106"/>
        <v>146</v>
      </c>
      <c r="AF196" s="9" t="n">
        <f>ROUND($J196*1.637*1.75*2.1*2.3*2.6*3.2*4.2*2.4*2.5*2.8*3.2*1.25,0)</f>
        <v>123469402136</v>
      </c>
      <c r="AG196" s="3">
        <f t="shared" si="107"/>
        <v>149</v>
      </c>
      <c r="AH196" s="10" t="n">
        <f>ROUND($J196*1.637*1.75*2.1*2.3*2.6*3.2*4.2*2.4*2.5*2.8*3.2*3.8*1.25,0)</f>
        <v>469183728118</v>
      </c>
    </row>
    <row r="197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 t="n">
        <f>ROUND($J197*1.637*1,0)</f>
        <v>7382870</v>
      </c>
      <c r="M197" s="3">
        <f t="shared" si="97"/>
        <v>124</v>
      </c>
      <c r="N197" s="10" t="n">
        <f>ROUND($J197*1.637*1.75*1,0)</f>
        <v>12920023</v>
      </c>
      <c r="O197" s="5">
        <f t="shared" si="98"/>
        <v>126</v>
      </c>
      <c r="P197" s="9" t="n">
        <f>ROUND($J197*1.637*1.75*2.1*1,0)</f>
        <v>27132047</v>
      </c>
      <c r="Q197" s="3">
        <f t="shared" si="99"/>
        <v>128</v>
      </c>
      <c r="R197" s="10" t="n">
        <f>ROUND($J197*1.637*1.75*2.1*2.3*1.25,0)</f>
        <v>78004636</v>
      </c>
      <c r="S197" s="5">
        <f t="shared" si="100"/>
        <v>130</v>
      </c>
      <c r="T197" s="9" t="n">
        <f>ROUND($J197*1.637*1.75*2.1*2.3*2.6*1.25,0)</f>
        <v>202812053</v>
      </c>
      <c r="U197" s="3">
        <f t="shared" si="101"/>
        <v>133</v>
      </c>
      <c r="V197" s="10" t="n">
        <f>ROUND($J197*1.637*1.75*2.1*2.3*2.6*3.2*1.25,0)</f>
        <v>648998570</v>
      </c>
      <c r="W197" s="5">
        <f t="shared" si="102"/>
        <v>137</v>
      </c>
      <c r="X197" s="9" t="n">
        <f>ROUND($J197*1.637*1.75*2.1*2.3*2.6*3.2*4.2*1.25,0)</f>
        <v>2725793995</v>
      </c>
      <c r="Y197" s="3">
        <f t="shared" si="103"/>
        <v>139</v>
      </c>
      <c r="Z197" s="10" t="n">
        <f>ROUND($J197*1.637*1.75*2.1*2.3*2.6*3.2*4.2*2.4*1.25,0)</f>
        <v>6541905588</v>
      </c>
      <c r="AA197" s="5">
        <f t="shared" si="104"/>
        <v>141</v>
      </c>
      <c r="AB197" s="9" t="n">
        <f>ROUND($J197*1.637*1.75*2.1*2.3*2.6*3.2*4.2*2.4*2.5*1.25,0)</f>
        <v>16354763970</v>
      </c>
      <c r="AC197" s="3">
        <f t="shared" si="105"/>
        <v>143</v>
      </c>
      <c r="AD197" s="10" t="n">
        <f>ROUND($J197*1.637*1.75*2.1*2.3*2.6*3.2*4.2*2.4*2.5*2.8*1.25,0)</f>
        <v>45793339115</v>
      </c>
      <c r="AE197" s="5">
        <f t="shared" si="106"/>
        <v>146</v>
      </c>
      <c r="AF197" s="9" t="n">
        <f>ROUND($J197*1.637*1.75*2.1*2.3*2.6*3.2*4.2*2.4*2.5*2.8*3.2*1.25,0)</f>
        <v>146538685167</v>
      </c>
      <c r="AG197" s="3">
        <f t="shared" si="107"/>
        <v>149</v>
      </c>
      <c r="AH197" s="10" t="n">
        <f>ROUND($J197*1.637*1.75*2.1*2.3*2.6*3.2*4.2*2.4*2.5*2.8*3.2*3.8*1.25,0)</f>
        <v>556847003635</v>
      </c>
    </row>
    <row r="198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 t="n">
        <f>ROUND($J198*1.637*1,0)</f>
        <v>7841230</v>
      </c>
      <c r="M198" s="3">
        <f t="shared" si="97"/>
        <v>124</v>
      </c>
      <c r="N198" s="10" t="n">
        <f>ROUND($J198*1.637*1.75*1,0)</f>
        <v>13722153</v>
      </c>
      <c r="O198" s="5">
        <f t="shared" si="98"/>
        <v>126</v>
      </c>
      <c r="P198" s="9" t="n">
        <f>ROUND($J198*1.637*1.75*2.1*1,0)</f>
        <v>28816520</v>
      </c>
      <c r="Q198" s="3">
        <f t="shared" si="99"/>
        <v>128</v>
      </c>
      <c r="R198" s="10" t="n">
        <f>ROUND($J198*1.637*1.75*2.1*2.3*1.25,0)</f>
        <v>82847496</v>
      </c>
      <c r="S198" s="5">
        <f t="shared" si="100"/>
        <v>130</v>
      </c>
      <c r="T198" s="9" t="n">
        <f>ROUND($J198*1.637*1.75*2.1*2.3*2.6*1.25,0)</f>
        <v>215403489</v>
      </c>
      <c r="U198" s="3">
        <f t="shared" si="101"/>
        <v>133</v>
      </c>
      <c r="V198" s="10" t="n">
        <f>ROUND($J198*1.637*1.75*2.1*2.3*2.6*3.2*1.25,0)</f>
        <v>689291164</v>
      </c>
      <c r="W198" s="5">
        <f t="shared" si="102"/>
        <v>137</v>
      </c>
      <c r="X198" s="9" t="n">
        <f>ROUND($J198*1.637*1.75*2.1*2.3*2.6*3.2*4.2*1.25,0)</f>
        <v>2895022890</v>
      </c>
      <c r="Y198" s="3">
        <f t="shared" si="103"/>
        <v>139</v>
      </c>
      <c r="Z198" s="10" t="n">
        <f>ROUND($J198*1.637*1.75*2.1*2.3*2.6*3.2*4.2*2.4*1.25,0)</f>
        <v>6948054937</v>
      </c>
      <c r="AA198" s="5">
        <f t="shared" si="104"/>
        <v>141</v>
      </c>
      <c r="AB198" s="9" t="n">
        <f>ROUND($J198*1.637*1.75*2.1*2.3*2.6*3.2*4.2*2.4*2.5*1.25,0)</f>
        <v>17370137342</v>
      </c>
      <c r="AC198" s="3">
        <f t="shared" si="105"/>
        <v>143</v>
      </c>
      <c r="AD198" s="10" t="n">
        <f>ROUND($J198*1.637*1.75*2.1*2.3*2.6*3.2*4.2*2.4*2.5*2.8*1.25,0)</f>
        <v>48636384559</v>
      </c>
      <c r="AE198" s="5">
        <f t="shared" si="106"/>
        <v>146</v>
      </c>
      <c r="AF198" s="9" t="n">
        <f>ROUND($J198*1.637*1.75*2.1*2.3*2.6*3.2*4.2*2.4*2.5*2.8*3.2*1.25,0)</f>
        <v>155636430588</v>
      </c>
      <c r="AG198" s="3">
        <f t="shared" si="107"/>
        <v>149</v>
      </c>
      <c r="AH198" s="10" t="n">
        <f>ROUND($J198*1.637*1.75*2.1*2.3*2.6*3.2*4.2*2.4*2.5*2.8*3.2*3.8*1.25,0)</f>
        <v>591418436233</v>
      </c>
    </row>
    <row r="199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 t="n">
        <f>ROUND($J199*1.637*1,0)</f>
        <v>8086780</v>
      </c>
      <c r="M199" s="3">
        <f t="shared" si="97"/>
        <v>124</v>
      </c>
      <c r="N199" s="10" t="n">
        <f>ROUND($J199*1.637*1.75*1,0)</f>
        <v>14151865</v>
      </c>
      <c r="O199" s="5">
        <f t="shared" si="98"/>
        <v>126</v>
      </c>
      <c r="P199" s="9" t="n">
        <f>ROUND($J199*1.637*1.75*2.1*1,0)</f>
        <v>29718917</v>
      </c>
      <c r="Q199" s="3">
        <f t="shared" si="99"/>
        <v>128</v>
      </c>
      <c r="R199" s="10" t="n">
        <f>ROUND($J199*1.637*1.75*2.1*2.3*1.25,0)</f>
        <v>85441885</v>
      </c>
      <c r="S199" s="5">
        <f t="shared" si="100"/>
        <v>130</v>
      </c>
      <c r="T199" s="9" t="n">
        <f>ROUND($J199*1.637*1.75*2.1*2.3*2.6*1.25,0)</f>
        <v>222148901</v>
      </c>
      <c r="U199" s="3">
        <f t="shared" si="101"/>
        <v>133</v>
      </c>
      <c r="V199" s="10" t="n">
        <f>ROUND($J199*1.637*1.75*2.1*2.3*2.6*3.2*1.25,0)</f>
        <v>710876483</v>
      </c>
      <c r="W199" s="5">
        <f t="shared" si="102"/>
        <v>137</v>
      </c>
      <c r="X199" s="9" t="n">
        <f>ROUND($J199*1.637*1.75*2.1*2.3*2.6*3.2*4.2*1.25,0)</f>
        <v>2985681227</v>
      </c>
      <c r="Y199" s="3">
        <f t="shared" si="103"/>
        <v>139</v>
      </c>
      <c r="Z199" s="10" t="n">
        <f>ROUND($J199*1.637*1.75*2.1*2.3*2.6*3.2*4.2*2.4*1.25,0)</f>
        <v>7165634945</v>
      </c>
      <c r="AA199" s="5">
        <f t="shared" si="104"/>
        <v>141</v>
      </c>
      <c r="AB199" s="9" t="n">
        <f>ROUND($J199*1.637*1.75*2.1*2.3*2.6*3.2*4.2*2.4*2.5*1.25,0)</f>
        <v>17914087364</v>
      </c>
      <c r="AC199" s="3">
        <f t="shared" si="105"/>
        <v>143</v>
      </c>
      <c r="AD199" s="10" t="n">
        <f>ROUND($J199*1.637*1.75*2.1*2.3*2.6*3.2*4.2*2.4*2.5*2.8*1.25,0)</f>
        <v>50159444618</v>
      </c>
      <c r="AE199" s="5">
        <f t="shared" si="106"/>
        <v>146</v>
      </c>
      <c r="AF199" s="9" t="n">
        <f>ROUND($J199*1.637*1.75*2.1*2.3*2.6*3.2*4.2*2.4*2.5*2.8*3.2*1.25,0)</f>
        <v>160510222777</v>
      </c>
      <c r="AG199" s="3">
        <f t="shared" si="107"/>
        <v>149</v>
      </c>
      <c r="AH199" s="10" t="n">
        <f>ROUND($J199*1.637*1.75*2.1*2.3*2.6*3.2*4.2*2.4*2.5*2.8*3.2*3.8*1.25,0)</f>
        <v>609938846554</v>
      </c>
    </row>
    <row r="200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 t="n">
        <f>ROUND($J200*1.637*1,0)</f>
        <v>7546570</v>
      </c>
      <c r="M200" s="3">
        <f t="shared" si="97"/>
        <v>124</v>
      </c>
      <c r="N200" s="10" t="n">
        <f>ROUND($J200*1.637*1.75*1,0)</f>
        <v>13206498</v>
      </c>
      <c r="O200" s="5">
        <f t="shared" si="98"/>
        <v>126</v>
      </c>
      <c r="P200" s="9" t="n">
        <f>ROUND($J200*1.637*1.75*2.1*1,0)</f>
        <v>27733645</v>
      </c>
      <c r="Q200" s="3">
        <f t="shared" si="99"/>
        <v>128</v>
      </c>
      <c r="R200" s="10" t="n">
        <f>ROUND($J200*1.637*1.75*2.1*2.3*1,0)</f>
        <v>63787383</v>
      </c>
      <c r="S200" s="5">
        <f t="shared" si="100"/>
        <v>130</v>
      </c>
      <c r="T200" s="9" t="n">
        <f>ROUND($J200*1.637*1.75*2.1*2.3*2.6*1,0)</f>
        <v>165847196</v>
      </c>
      <c r="U200" s="3">
        <f t="shared" si="101"/>
        <v>133</v>
      </c>
      <c r="V200" s="10" t="n">
        <f>ROUND($J200*1.637*1.75*2.1*2.3*2.6*3.2*1,0)</f>
        <v>530711026</v>
      </c>
      <c r="W200" s="5">
        <f t="shared" si="102"/>
        <v>137</v>
      </c>
      <c r="X200" s="9" t="n">
        <f>ROUND($J200*1.637*1.75*2.1*2.3*2.6*3.2*4.2*1,0)</f>
        <v>2228986309</v>
      </c>
      <c r="Y200" s="3">
        <f t="shared" si="103"/>
        <v>139</v>
      </c>
      <c r="Z200" s="10" t="n">
        <f>ROUND($J200*1.637*1.75*2.1*2.3*2.6*3.2*4.2*2.4*1,0)</f>
        <v>5349567141</v>
      </c>
      <c r="AA200" s="5">
        <f t="shared" si="104"/>
        <v>141</v>
      </c>
      <c r="AB200" s="9" t="n">
        <f>ROUND($J200*1.637*1.75*2.1*2.3*2.6*3.2*4.2*2.4*2.5*1,0)</f>
        <v>13373917854</v>
      </c>
      <c r="AC200" s="3">
        <f t="shared" si="105"/>
        <v>143</v>
      </c>
      <c r="AD200" s="10" t="n">
        <f>ROUND($J200*1.637*1.75*2.1*2.3*2.6*3.2*4.2*2.4*2.5*2.8*1,0)</f>
        <v>37446969990</v>
      </c>
      <c r="AE200" s="5">
        <f t="shared" si="106"/>
        <v>146</v>
      </c>
      <c r="AF200" s="9" t="n">
        <f>ROUND($J200*1.637*1.75*2.1*2.3*2.6*3.2*4.2*2.4*2.5*2.8*3.2*1,0)</f>
        <v>119830303968</v>
      </c>
      <c r="AG200" s="3">
        <f t="shared" si="107"/>
        <v>149</v>
      </c>
      <c r="AH200" s="10" t="n">
        <f>ROUND($J200*1.637*1.75*2.1*2.3*2.6*3.2*4.2*2.4*2.5*2.8*3.2*3.8*1,0)</f>
        <v>455355155079</v>
      </c>
    </row>
    <row r="20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 t="n">
        <f>ROUND($J201*1.637*0.8,0)</f>
        <v>5709856</v>
      </c>
      <c r="M201" s="3">
        <f t="shared" si="97"/>
        <v>124</v>
      </c>
      <c r="N201" s="10" t="n">
        <f>ROUND($J201*1.637*1.75*0.8,0)</f>
        <v>9992248</v>
      </c>
      <c r="O201" s="5">
        <f t="shared" si="98"/>
        <v>126</v>
      </c>
      <c r="P201" s="9" t="n">
        <f>ROUND($J201*1.637*1.75*2.1*0.8,0)</f>
        <v>20983721</v>
      </c>
      <c r="Q201" s="3">
        <f t="shared" si="99"/>
        <v>128</v>
      </c>
      <c r="R201" s="10" t="n">
        <f>ROUND($J201*1.637*1.75*2.1*2.3*0.542035092435954,0)</f>
        <v>32700000</v>
      </c>
      <c r="S201" s="5">
        <f t="shared" si="100"/>
        <v>130</v>
      </c>
      <c r="T201" s="9" t="n">
        <f>ROUND($J201*1.637*1.75*2.1*2.3*2.6*0.544690061623969,0)</f>
        <v>85436441</v>
      </c>
      <c r="U201" s="3">
        <f t="shared" si="101"/>
        <v>133</v>
      </c>
      <c r="V201" s="10" t="n">
        <f>ROUND($J201*1.637*1.75*2.1*2.3*2.6*3.2*0.547345030811984,0)</f>
        <v>274729221</v>
      </c>
      <c r="W201" s="5">
        <f t="shared" si="102"/>
        <v>137</v>
      </c>
      <c r="X201" s="9" t="n">
        <f>ROUND($J201*1.637*1.75*2.1*2.3*2.6*3.2*4.2*0.55,0)</f>
        <v>1159459690</v>
      </c>
      <c r="Y201" s="3">
        <f t="shared" si="103"/>
        <v>139</v>
      </c>
      <c r="Z201" s="10" t="n">
        <f>ROUND($J201*1.637*1.75*2.1*2.3*2.6*3.2*4.2*2.4*0.55,0)</f>
        <v>2782703255</v>
      </c>
      <c r="AA201" s="5">
        <f t="shared" si="104"/>
        <v>141</v>
      </c>
      <c r="AB201" s="9" t="n">
        <f>ROUND($J201*1.637*1.75*2.1*2.3*2.6*3.2*4.2*2.4*2.5*0.55,0)</f>
        <v>6956758137</v>
      </c>
      <c r="AC201" s="3">
        <f t="shared" si="105"/>
        <v>143</v>
      </c>
      <c r="AD201" s="10" t="n">
        <f>ROUND($J201*1.637*1.75*2.1*2.3*2.6*3.2*4.2*2.4*2.5*2.8*0.55,0)</f>
        <v>19478922784</v>
      </c>
      <c r="AE201" s="5">
        <f t="shared" si="106"/>
        <v>146</v>
      </c>
      <c r="AF201" s="9" t="n">
        <f>ROUND($J201*1.637*1.75*2.1*2.3*2.6*3.2*4.2*2.4*2.5*2.8*3.2*0.55,0)</f>
        <v>62332552910</v>
      </c>
      <c r="AG201" s="3">
        <f t="shared" si="107"/>
        <v>149</v>
      </c>
      <c r="AH201" s="10" t="n">
        <f>ROUND($J201*1.637*1.75*2.1*2.3*2.6*3.2*4.2*2.4*2.5*2.8*3.2*3.8*0.55,0)</f>
        <v>236863701058</v>
      </c>
    </row>
    <row r="202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 t="n">
        <f>ROUND($J202*1.637*1,0)</f>
        <v>7939450</v>
      </c>
      <c r="M202" s="3">
        <f t="shared" si="97"/>
        <v>124</v>
      </c>
      <c r="N202" s="10" t="n">
        <f>ROUND($J202*1.637*1.75*1,0)</f>
        <v>13894038</v>
      </c>
      <c r="O202" s="5">
        <f t="shared" si="98"/>
        <v>126</v>
      </c>
      <c r="P202" s="9" t="n">
        <f>ROUND($J202*1.637*1.75*2.1*1,0)</f>
        <v>29177479</v>
      </c>
      <c r="Q202" s="3">
        <f t="shared" si="99"/>
        <v>128</v>
      </c>
      <c r="R202" s="10" t="n">
        <f>ROUND($J202*1.637*1.75*2.1*2.3*1,0)</f>
        <v>67108201</v>
      </c>
      <c r="S202" s="5">
        <f t="shared" si="100"/>
        <v>130</v>
      </c>
      <c r="T202" s="9" t="n">
        <f>ROUND($J202*1.637*1.75*2.1*2.3*2.6*1,0)</f>
        <v>174481323</v>
      </c>
      <c r="U202" s="3">
        <f t="shared" si="101"/>
        <v>133</v>
      </c>
      <c r="V202" s="10" t="n">
        <f>ROUND($J202*1.637*1.75*2.1*2.3*2.6*3.2*1,0)</f>
        <v>558340233</v>
      </c>
      <c r="W202" s="5">
        <f t="shared" si="102"/>
        <v>137</v>
      </c>
      <c r="X202" s="9" t="n">
        <f>ROUND($J202*1.637*1.75*2.1*2.3*2.6*3.2*4.2*1,0)</f>
        <v>2345028980</v>
      </c>
      <c r="Y202" s="3">
        <f t="shared" si="103"/>
        <v>139</v>
      </c>
      <c r="Z202" s="10" t="n">
        <f>ROUND($J202*1.637*1.75*2.1*2.3*2.6*3.2*4.2*2.4*1,0)</f>
        <v>5628069552</v>
      </c>
      <c r="AA202" s="5">
        <f t="shared" si="104"/>
        <v>141</v>
      </c>
      <c r="AB202" s="9" t="n">
        <f>ROUND($J202*1.637*1.75*2.1*2.3*2.6*3.2*4.2*2.4*2.5*1,0)</f>
        <v>14070173881</v>
      </c>
      <c r="AC202" s="3">
        <f t="shared" si="105"/>
        <v>143</v>
      </c>
      <c r="AD202" s="10" t="n">
        <f>ROUND($J202*1.637*1.75*2.1*2.3*2.6*3.2*4.2*2.4*2.5*2.8*1,0)</f>
        <v>39396486866</v>
      </c>
      <c r="AE202" s="5">
        <f t="shared" si="106"/>
        <v>146</v>
      </c>
      <c r="AF202" s="9" t="n">
        <f>ROUND($J202*1.637*1.75*2.1*2.3*2.6*3.2*4.2*2.4*2.5*2.8*3.2*1,0)</f>
        <v>126068757971</v>
      </c>
      <c r="AG202" s="3">
        <f t="shared" si="107"/>
        <v>149</v>
      </c>
      <c r="AH202" s="10" t="n">
        <f>ROUND($J202*1.637*1.75*2.1*2.3*2.6*3.2*4.2*2.4*2.5*2.8*3.2*3.8*1,0)</f>
        <v>479061280289</v>
      </c>
    </row>
    <row r="203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 t="n">
        <f>ROUND($J203*1.637*0.8,0)</f>
        <v>3928800</v>
      </c>
      <c r="M203" s="3">
        <f t="shared" si="97"/>
        <v>123</v>
      </c>
      <c r="N203" s="10" t="n">
        <f>ROUND($J203*1.637*1.75*0.8,0)</f>
        <v>6875400</v>
      </c>
      <c r="O203" s="5">
        <f t="shared" si="98"/>
        <v>125</v>
      </c>
      <c r="P203" s="9" t="n">
        <f>ROUND($J203*1.637*1.75*2.1*0.8,0)</f>
        <v>14438340</v>
      </c>
      <c r="Q203" s="3">
        <f t="shared" si="99"/>
        <v>127</v>
      </c>
      <c r="R203" s="10" t="n">
        <f>ROUND($J203*1.637*1.75*2.1*2.3*0.542035092435954,0)</f>
        <v>22500000</v>
      </c>
      <c r="S203" s="5">
        <f t="shared" si="100"/>
        <v>129</v>
      </c>
      <c r="T203" s="9" t="n">
        <f>ROUND($J203*1.637*1.75*2.1*2.3*2.6*0.544690061623969,0)</f>
        <v>58786542</v>
      </c>
      <c r="U203" s="3">
        <f t="shared" si="101"/>
        <v>132</v>
      </c>
      <c r="V203" s="10" t="n">
        <f>ROUND($J203*1.637*1.75*2.1*2.3*2.6*3.2*0.547345030811984,0)</f>
        <v>189033867</v>
      </c>
      <c r="W203" s="5">
        <f t="shared" si="102"/>
        <v>136</v>
      </c>
      <c r="X203" s="9" t="n">
        <f>ROUND($J203*1.637*1.75*2.1*2.3*2.6*3.2*4.2*0.55,0)</f>
        <v>797793364</v>
      </c>
      <c r="Y203" s="3">
        <f t="shared" si="103"/>
        <v>138</v>
      </c>
      <c r="Z203" s="10" t="n">
        <f>ROUND($J203*1.637*1.75*2.1*2.3*2.6*3.2*4.2*2.4*0.55,0)</f>
        <v>1914704074</v>
      </c>
      <c r="AA203" s="5">
        <f t="shared" si="104"/>
        <v>140</v>
      </c>
      <c r="AB203" s="9" t="n">
        <f>ROUND($J203*1.637*1.75*2.1*2.3*2.6*3.2*4.2*2.4*2.5*0.55,0)</f>
        <v>4786760186</v>
      </c>
      <c r="AC203" s="3">
        <f t="shared" si="105"/>
        <v>142</v>
      </c>
      <c r="AD203" s="10" t="n">
        <f>ROUND($J203*1.637*1.75*2.1*2.3*2.6*3.2*4.2*2.4*2.5*2.8*0.55,0)</f>
        <v>13402928521</v>
      </c>
      <c r="AE203" s="5">
        <f t="shared" si="106"/>
        <v>145</v>
      </c>
      <c r="AF203" s="9" t="n">
        <f>ROUND($J203*1.637*1.75*2.1*2.3*2.6*3.2*4.2*2.4*2.5*2.8*3.2*0.55,0)</f>
        <v>42889371268</v>
      </c>
      <c r="AG203" s="3">
        <f t="shared" si="107"/>
        <v>148</v>
      </c>
      <c r="AH203" s="10" t="n">
        <f>ROUND($J203*1.637*1.75*2.1*2.3*2.6*3.2*4.2*2.4*2.5*2.8*3.2*3.8*0.55,0)</f>
        <v>162979610820</v>
      </c>
    </row>
    <row r="204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 t="n">
        <f>ROUND($J204*1.637*0.8,0)</f>
        <v>3784744</v>
      </c>
      <c r="M204" s="3">
        <f t="shared" si="97"/>
        <v>123</v>
      </c>
      <c r="N204" s="10" t="n">
        <f>ROUND($J204*1.637*1.75*0.8,0)</f>
        <v>6623302</v>
      </c>
      <c r="O204" s="5">
        <f t="shared" si="98"/>
        <v>125</v>
      </c>
      <c r="P204" s="9" t="n">
        <f>ROUND($J204*1.637*1.75*2.1*0.8,0)</f>
        <v>13908934</v>
      </c>
      <c r="Q204" s="3">
        <f t="shared" si="99"/>
        <v>127</v>
      </c>
      <c r="R204" s="10" t="n">
        <f>ROUND($J204*1.637*1.75*2.1*2.3*0.542035092435954,0)</f>
        <v>21675000</v>
      </c>
      <c r="S204" s="5">
        <f t="shared" si="100"/>
        <v>129</v>
      </c>
      <c r="T204" s="9" t="n">
        <f>ROUND($J204*1.637*1.75*2.1*2.3*2.6*0.544690061623969,0)</f>
        <v>56631035</v>
      </c>
      <c r="U204" s="3">
        <f t="shared" si="101"/>
        <v>132</v>
      </c>
      <c r="V204" s="10" t="n">
        <f>ROUND($J204*1.637*1.75*2.1*2.3*2.6*3.2*0.547345030811984,0)</f>
        <v>182102626</v>
      </c>
      <c r="W204" s="5">
        <f t="shared" si="102"/>
        <v>136</v>
      </c>
      <c r="X204" s="9" t="n">
        <f>ROUND($J204*1.637*1.75*2.1*2.3*2.6*3.2*4.2*0.55,0)</f>
        <v>768540941</v>
      </c>
      <c r="Y204" s="3">
        <f t="shared" si="103"/>
        <v>138</v>
      </c>
      <c r="Z204" s="10" t="n">
        <f>ROUND($J204*1.637*1.75*2.1*2.3*2.6*3.2*4.2*2.4*0.55,0)</f>
        <v>1844498258</v>
      </c>
      <c r="AA204" s="5">
        <f t="shared" si="104"/>
        <v>140</v>
      </c>
      <c r="AB204" s="9" t="n">
        <f>ROUND($J204*1.637*1.75*2.1*2.3*2.6*3.2*4.2*2.4*2.5*0.55,0)</f>
        <v>4611245646</v>
      </c>
      <c r="AC204" s="3">
        <f t="shared" si="105"/>
        <v>142</v>
      </c>
      <c r="AD204" s="10" t="n">
        <f>ROUND($J204*1.637*1.75*2.1*2.3*2.6*3.2*4.2*2.4*2.5*2.8*0.55,0)</f>
        <v>12911487809</v>
      </c>
      <c r="AE204" s="5">
        <f t="shared" si="106"/>
        <v>145</v>
      </c>
      <c r="AF204" s="9" t="n">
        <f>ROUND($J204*1.637*1.75*2.1*2.3*2.6*3.2*4.2*2.4*2.5*2.8*3.2*0.55,0)</f>
        <v>41316760989</v>
      </c>
      <c r="AG204" s="3">
        <f t="shared" si="107"/>
        <v>148</v>
      </c>
      <c r="AH204" s="10" t="n">
        <f>ROUND($J204*1.637*1.75*2.1*2.3*2.6*3.2*4.2*2.4*2.5*2.8*3.2*3.8*0.55,0)</f>
        <v>157003691757</v>
      </c>
    </row>
    <row r="205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 t="n">
        <f>ROUND($J205*1.637*0.8,0)</f>
        <v>3418056</v>
      </c>
      <c r="M205" s="3">
        <f t="shared" si="97"/>
        <v>123</v>
      </c>
      <c r="N205" s="10" t="n">
        <f>ROUND($J205*1.637*1.75*0.8,0)</f>
        <v>5981598</v>
      </c>
      <c r="O205" s="5">
        <f t="shared" si="98"/>
        <v>125</v>
      </c>
      <c r="P205" s="9" t="n">
        <f>ROUND($J205*1.637*1.75*2.1*0.8,0)</f>
        <v>12561356</v>
      </c>
      <c r="Q205" s="3">
        <f t="shared" si="99"/>
        <v>127</v>
      </c>
      <c r="R205" s="10" t="n">
        <f>ROUND($J205*1.637*1.75*2.1*2.3*0.542035092435954,0)</f>
        <v>19575000</v>
      </c>
      <c r="S205" s="5">
        <f t="shared" si="100"/>
        <v>129</v>
      </c>
      <c r="T205" s="9" t="n">
        <f>ROUND($J205*1.637*1.75*2.1*2.3*2.6*0.544690061623969,0)</f>
        <v>51144291</v>
      </c>
      <c r="U205" s="3">
        <f t="shared" si="101"/>
        <v>132</v>
      </c>
      <c r="V205" s="10" t="n">
        <f>ROUND($J205*1.637*1.75*2.1*2.3*2.6*3.2*0.547345030811984,0)</f>
        <v>164459465</v>
      </c>
      <c r="W205" s="5">
        <f t="shared" si="102"/>
        <v>136</v>
      </c>
      <c r="X205" s="9" t="n">
        <f>ROUND($J205*1.637*1.75*2.1*2.3*2.6*3.2*4.2*0.55,0)</f>
        <v>694080227</v>
      </c>
      <c r="Y205" s="3">
        <f t="shared" si="103"/>
        <v>138</v>
      </c>
      <c r="Z205" s="10" t="n">
        <f>ROUND($J205*1.637*1.75*2.1*2.3*2.6*3.2*4.2*2.4*0.55,0)</f>
        <v>1665792545</v>
      </c>
      <c r="AA205" s="5">
        <f t="shared" si="104"/>
        <v>140</v>
      </c>
      <c r="AB205" s="9" t="n">
        <f>ROUND($J205*1.637*1.75*2.1*2.3*2.6*3.2*4.2*2.4*2.5*0.55,0)</f>
        <v>4164481362</v>
      </c>
      <c r="AC205" s="3">
        <f t="shared" si="105"/>
        <v>142</v>
      </c>
      <c r="AD205" s="10" t="n">
        <f>ROUND($J205*1.637*1.75*2.1*2.3*2.6*3.2*4.2*2.4*2.5*2.8*0.55,0)</f>
        <v>11660547814</v>
      </c>
      <c r="AE205" s="5">
        <f t="shared" si="106"/>
        <v>145</v>
      </c>
      <c r="AF205" s="9" t="n">
        <f>ROUND($J205*1.637*1.75*2.1*2.3*2.6*3.2*4.2*2.4*2.5*2.8*3.2*0.55,0)</f>
        <v>37313753004</v>
      </c>
      <c r="AG205" s="3">
        <f t="shared" si="107"/>
        <v>148</v>
      </c>
      <c r="AH205" s="10" t="n">
        <f>ROUND($J205*1.637*1.75*2.1*2.3*2.6*3.2*4.2*2.4*2.5*2.8*3.2*3.8*0.55,0)</f>
        <v>141792261413</v>
      </c>
    </row>
    <row r="206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 t="n">
        <f>ROUND($J206*1.637*0.8,0)</f>
        <v>3090656</v>
      </c>
      <c r="M206" s="3">
        <f t="shared" si="97"/>
        <v>123</v>
      </c>
      <c r="N206" s="10" t="n">
        <f>ROUND($J206*1.637*1.75*0.8,0)</f>
        <v>5408648</v>
      </c>
      <c r="O206" s="5">
        <f t="shared" si="98"/>
        <v>125</v>
      </c>
      <c r="P206" s="9" t="n">
        <f>ROUND($J206*1.637*1.75*2.1*0.8,0)</f>
        <v>11358161</v>
      </c>
      <c r="Q206" s="3">
        <f t="shared" si="99"/>
        <v>127</v>
      </c>
      <c r="R206" s="10" t="n">
        <f>ROUND($J206*1.637*1.75*2.1*2.3*0.542035092435954,0)</f>
        <v>17700000</v>
      </c>
      <c r="S206" s="5">
        <f t="shared" si="100"/>
        <v>129</v>
      </c>
      <c r="T206" s="9" t="n">
        <f>ROUND($J206*1.637*1.75*2.1*2.3*2.6*0.544690061623969,0)</f>
        <v>46245413</v>
      </c>
      <c r="U206" s="3">
        <f t="shared" si="101"/>
        <v>132</v>
      </c>
      <c r="V206" s="10" t="n">
        <f>ROUND($J206*1.637*1.75*2.1*2.3*2.6*3.2*0.547345030811984,0)</f>
        <v>148706642</v>
      </c>
      <c r="W206" s="5">
        <f t="shared" si="102"/>
        <v>136</v>
      </c>
      <c r="X206" s="9" t="n">
        <f>ROUND($J206*1.637*1.75*2.1*2.3*2.6*3.2*4.2*0.55,0)</f>
        <v>627597447</v>
      </c>
      <c r="Y206" s="3">
        <f t="shared" si="103"/>
        <v>138</v>
      </c>
      <c r="Z206" s="10" t="n">
        <f>ROUND($J206*1.637*1.75*2.1*2.3*2.6*3.2*4.2*2.4*0.55,0)</f>
        <v>1506233872</v>
      </c>
      <c r="AA206" s="5">
        <f t="shared" si="104"/>
        <v>140</v>
      </c>
      <c r="AB206" s="9" t="n">
        <f>ROUND($J206*1.637*1.75*2.1*2.3*2.6*3.2*4.2*2.4*2.5*0.55,0)</f>
        <v>3765584680</v>
      </c>
      <c r="AC206" s="3">
        <f t="shared" si="105"/>
        <v>142</v>
      </c>
      <c r="AD206" s="10" t="n">
        <f>ROUND($J206*1.637*1.75*2.1*2.3*2.6*3.2*4.2*2.4*2.5*2.8*0.55,0)</f>
        <v>10543637103</v>
      </c>
      <c r="AE206" s="5">
        <f t="shared" si="106"/>
        <v>145</v>
      </c>
      <c r="AF206" s="9" t="n">
        <f>ROUND($J206*1.637*1.75*2.1*2.3*2.6*3.2*4.2*2.4*2.5*2.8*3.2*0.55,0)</f>
        <v>33739638731</v>
      </c>
      <c r="AG206" s="3">
        <f t="shared" si="107"/>
        <v>148</v>
      </c>
      <c r="AH206" s="10" t="n">
        <f>ROUND($J206*1.637*1.75*2.1*2.3*2.6*3.2*4.2*2.4*2.5*2.8*3.2*3.8*0.55,0)</f>
        <v>128210627178</v>
      </c>
    </row>
    <row r="207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 t="n">
        <f>ROUND($J207*1.637*0.8,0)</f>
        <v>3601400</v>
      </c>
      <c r="M207" s="3">
        <f t="shared" si="97"/>
        <v>123</v>
      </c>
      <c r="N207" s="10" t="n">
        <f>ROUND($J207*1.637*1.75*0.8,0)</f>
        <v>6302450</v>
      </c>
      <c r="O207" s="5">
        <f t="shared" si="98"/>
        <v>125</v>
      </c>
      <c r="P207" s="9" t="n">
        <f>ROUND($J207*1.637*1.75*2.1*0.8,0)</f>
        <v>13235145</v>
      </c>
      <c r="Q207" s="3">
        <f t="shared" si="99"/>
        <v>127</v>
      </c>
      <c r="R207" s="10" t="n">
        <f>ROUND($J207*1.637*1.75*2.1*2.3*0.542035092435954,0)</f>
        <v>20625000</v>
      </c>
      <c r="S207" s="5">
        <f t="shared" si="100"/>
        <v>129</v>
      </c>
      <c r="T207" s="9" t="n">
        <f>ROUND($J207*1.637*1.75*2.1*2.3*2.6*0.544690061623969,0)</f>
        <v>53887663</v>
      </c>
      <c r="U207" s="3">
        <f t="shared" si="101"/>
        <v>132</v>
      </c>
      <c r="V207" s="10" t="n">
        <f>ROUND($J207*1.637*1.75*2.1*2.3*2.6*3.2*0.547345030811984,0)</f>
        <v>173281045</v>
      </c>
      <c r="W207" s="5">
        <f t="shared" si="102"/>
        <v>136</v>
      </c>
      <c r="X207" s="9" t="n">
        <f>ROUND($J207*1.637*1.75*2.1*2.3*2.6*3.2*4.2*0.55,0)</f>
        <v>731310584</v>
      </c>
      <c r="Y207" s="3">
        <f t="shared" si="103"/>
        <v>138</v>
      </c>
      <c r="Z207" s="10" t="n">
        <f>ROUND($J207*1.637*1.75*2.1*2.3*2.6*3.2*4.2*2.4*0.55,0)</f>
        <v>1755145402</v>
      </c>
      <c r="AA207" s="5">
        <f t="shared" si="104"/>
        <v>140</v>
      </c>
      <c r="AB207" s="9" t="n">
        <f>ROUND($J207*1.637*1.75*2.1*2.3*2.6*3.2*4.2*2.4*2.5*0.55,0)</f>
        <v>4387863504</v>
      </c>
      <c r="AC207" s="3">
        <f t="shared" si="105"/>
        <v>142</v>
      </c>
      <c r="AD207" s="10" t="n">
        <f>ROUND($J207*1.637*1.75*2.1*2.3*2.6*3.2*4.2*2.4*2.5*2.8*0.55,0)</f>
        <v>12286017811</v>
      </c>
      <c r="AE207" s="5">
        <f t="shared" si="106"/>
        <v>145</v>
      </c>
      <c r="AF207" s="9" t="n">
        <f>ROUND($J207*1.637*1.75*2.1*2.3*2.6*3.2*4.2*2.4*2.5*2.8*3.2*0.55,0)</f>
        <v>39315256996</v>
      </c>
      <c r="AG207" s="3">
        <f t="shared" si="107"/>
        <v>148</v>
      </c>
      <c r="AH207" s="10" t="n">
        <f>ROUND($J207*1.637*1.75*2.1*2.3*2.6*3.2*4.2*2.4*2.5*2.8*3.2*3.8*0.55,0)</f>
        <v>149397976585</v>
      </c>
    </row>
    <row r="208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 t="n">
        <f>ROUND($J208*1.637*1,0)</f>
        <v>4878260</v>
      </c>
      <c r="M208" s="3">
        <f t="shared" si="97"/>
        <v>123</v>
      </c>
      <c r="N208" s="10" t="n">
        <f>ROUND($J208*1.637*1.75*1,0)</f>
        <v>8536955</v>
      </c>
      <c r="O208" s="5">
        <f t="shared" si="98"/>
        <v>125</v>
      </c>
      <c r="P208" s="9" t="n">
        <f>ROUND($J208*1.637*1.75*2.1*1,0)</f>
        <v>17927606</v>
      </c>
      <c r="Q208" s="3">
        <f t="shared" si="99"/>
        <v>127</v>
      </c>
      <c r="R208" s="10" t="n">
        <f>ROUND($J208*1.637*1.75*2.1*2.3*1,0)</f>
        <v>41233493</v>
      </c>
      <c r="S208" s="5">
        <f t="shared" si="100"/>
        <v>129</v>
      </c>
      <c r="T208" s="9" t="n">
        <f>ROUND($J208*1.637*1.75*2.1*2.3*2.6*1,0)</f>
        <v>107207081</v>
      </c>
      <c r="U208" s="3">
        <f t="shared" si="101"/>
        <v>132</v>
      </c>
      <c r="V208" s="10" t="n">
        <f>ROUND($J208*1.637*1.75*2.1*2.3*2.6*3.2*1,0)</f>
        <v>343062659</v>
      </c>
      <c r="W208" s="5">
        <f t="shared" si="102"/>
        <v>136</v>
      </c>
      <c r="X208" s="9" t="n">
        <f>ROUND($J208*1.637*1.75*2.1*2.3*2.6*3.2*4.2*1,0)</f>
        <v>1440863167</v>
      </c>
      <c r="Y208" s="3">
        <f t="shared" si="103"/>
        <v>138</v>
      </c>
      <c r="Z208" s="10" t="n">
        <f>ROUND($J208*1.637*1.75*2.1*2.3*2.6*3.2*4.2*2.4*1,0)</f>
        <v>3458071601</v>
      </c>
      <c r="AA208" s="5">
        <f t="shared" si="104"/>
        <v>140</v>
      </c>
      <c r="AB208" s="9" t="n">
        <f>ROUND($J208*1.637*1.75*2.1*2.3*2.6*3.2*4.2*2.4*2.5*1,0)</f>
        <v>8645179003</v>
      </c>
      <c r="AC208" s="3">
        <f t="shared" si="105"/>
        <v>142</v>
      </c>
      <c r="AD208" s="10" t="n">
        <f>ROUND($J208*1.637*1.75*2.1*2.3*2.6*3.2*4.2*2.4*2.5*2.8*1,0)</f>
        <v>24206501208</v>
      </c>
      <c r="AE208" s="5">
        <f t="shared" si="106"/>
        <v>145</v>
      </c>
      <c r="AF208" s="9" t="n">
        <f>ROUND($J208*1.637*1.75*2.1*2.3*2.6*3.2*4.2*2.4*2.5*2.8*3.2*1,0)</f>
        <v>77460803867</v>
      </c>
      <c r="AG208" s="3">
        <f t="shared" si="107"/>
        <v>148</v>
      </c>
      <c r="AH208" s="10" t="n">
        <f>ROUND($J208*1.637*1.75*2.1*2.3*2.6*3.2*4.2*2.4*2.5*2.8*3.2*3.8*1,0)</f>
        <v>294351054693</v>
      </c>
    </row>
    <row r="209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 t="n">
        <f>ROUND($J209*1.637*0.8,0)</f>
        <v>3129944</v>
      </c>
      <c r="M209" s="3">
        <f t="shared" si="97"/>
        <v>123</v>
      </c>
      <c r="N209" s="10" t="n">
        <f>ROUND($J209*1.637*1.75*0.8,0)</f>
        <v>5477402</v>
      </c>
      <c r="O209" s="5">
        <f t="shared" si="98"/>
        <v>125</v>
      </c>
      <c r="P209" s="9" t="n">
        <f>ROUND($J209*1.637*1.75*2.1*0.8,0)</f>
        <v>11502544</v>
      </c>
      <c r="Q209" s="3">
        <f t="shared" si="99"/>
        <v>127</v>
      </c>
      <c r="R209" s="10" t="n">
        <f>ROUND($J209*1.637*1.75*2.1*2.3*0.542035092435954,0)</f>
        <v>17925000</v>
      </c>
      <c r="S209" s="5">
        <f t="shared" si="100"/>
        <v>129</v>
      </c>
      <c r="T209" s="9" t="n">
        <f>ROUND($J209*1.637*1.75*2.1*2.3*2.6*0.544690061623969,0)</f>
        <v>46833278</v>
      </c>
      <c r="U209" s="3">
        <f t="shared" si="101"/>
        <v>132</v>
      </c>
      <c r="V209" s="10" t="n">
        <f>ROUND($J209*1.637*1.75*2.1*2.3*2.6*3.2*0.547345030811984,0)</f>
        <v>150596981</v>
      </c>
      <c r="W209" s="5">
        <f t="shared" si="102"/>
        <v>136</v>
      </c>
      <c r="X209" s="9" t="n">
        <f>ROUND($J209*1.637*1.75*2.1*2.3*2.6*3.2*4.2*0.55,0)</f>
        <v>635575380</v>
      </c>
      <c r="Y209" s="3">
        <f t="shared" si="103"/>
        <v>138</v>
      </c>
      <c r="Z209" s="10" t="n">
        <f>ROUND($J209*1.637*1.75*2.1*2.3*2.6*3.2*4.2*2.4*0.55,0)</f>
        <v>1525380913</v>
      </c>
      <c r="AA209" s="5">
        <f t="shared" si="104"/>
        <v>140</v>
      </c>
      <c r="AB209" s="9" t="n">
        <f>ROUND($J209*1.637*1.75*2.1*2.3*2.6*3.2*4.2*2.4*2.5*0.55,0)</f>
        <v>3813452282</v>
      </c>
      <c r="AC209" s="3">
        <f t="shared" si="105"/>
        <v>142</v>
      </c>
      <c r="AD209" s="10" t="n">
        <f>ROUND($J209*1.637*1.75*2.1*2.3*2.6*3.2*4.2*2.4*2.5*2.8*0.55,0)</f>
        <v>10677666389</v>
      </c>
      <c r="AE209" s="5">
        <f t="shared" si="106"/>
        <v>145</v>
      </c>
      <c r="AF209" s="9" t="n">
        <f>ROUND($J209*1.637*1.75*2.1*2.3*2.6*3.2*4.2*2.4*2.5*2.8*3.2*0.55,0)</f>
        <v>34168532444</v>
      </c>
      <c r="AG209" s="3">
        <f t="shared" si="107"/>
        <v>148</v>
      </c>
      <c r="AH209" s="10" t="n">
        <f>ROUND($J209*1.637*1.75*2.1*2.3*2.6*3.2*4.2*2.4*2.5*2.8*3.2*3.8*0.55,0)</f>
        <v>129840423287</v>
      </c>
    </row>
    <row r="210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 t="n">
        <f>ROUND($J210*1.637*1,0)</f>
        <v>7513830</v>
      </c>
      <c r="M210" s="3">
        <f t="shared" si="97"/>
        <v>123</v>
      </c>
      <c r="N210" s="10" t="n">
        <f>ROUND($J210*1.637*1.75*1,0)</f>
        <v>13149203</v>
      </c>
      <c r="O210" s="5">
        <f t="shared" si="98"/>
        <v>125</v>
      </c>
      <c r="P210" s="9" t="n">
        <f>ROUND($J210*1.637*1.75*2.1*1,0)</f>
        <v>27613325</v>
      </c>
      <c r="Q210" s="3">
        <f t="shared" si="99"/>
        <v>127</v>
      </c>
      <c r="R210" s="10" t="n">
        <f>ROUND($J210*1.637*1.75*2.1*2.3*1,0)</f>
        <v>63510648</v>
      </c>
      <c r="S210" s="5">
        <f t="shared" si="100"/>
        <v>129</v>
      </c>
      <c r="T210" s="9" t="n">
        <f>ROUND($J210*1.637*1.75*2.1*2.3*2.6*1,0)</f>
        <v>165127685</v>
      </c>
      <c r="U210" s="3">
        <f t="shared" si="101"/>
        <v>132</v>
      </c>
      <c r="V210" s="10" t="n">
        <f>ROUND($J210*1.637*1.75*2.1*2.3*2.6*3.2*1,0)</f>
        <v>528408592</v>
      </c>
      <c r="W210" s="5">
        <f t="shared" si="102"/>
        <v>136</v>
      </c>
      <c r="X210" s="9" t="n">
        <f>ROUND($J210*1.637*1.75*2.1*2.3*2.6*3.2*4.2*1,0)</f>
        <v>2219316086</v>
      </c>
      <c r="Y210" s="3">
        <f t="shared" si="103"/>
        <v>138</v>
      </c>
      <c r="Z210" s="10" t="n">
        <f>ROUND($J210*1.637*1.75*2.1*2.3*2.6*3.2*4.2*2.4*1,0)</f>
        <v>5326358607</v>
      </c>
      <c r="AA210" s="5">
        <f t="shared" si="104"/>
        <v>140</v>
      </c>
      <c r="AB210" s="9" t="n">
        <f>ROUND($J210*1.637*1.75*2.1*2.3*2.6*3.2*4.2*2.4*2.5*1,0)</f>
        <v>13315896518</v>
      </c>
      <c r="AC210" s="3">
        <f t="shared" si="105"/>
        <v>142</v>
      </c>
      <c r="AD210" s="10" t="n">
        <f>ROUND($J210*1.637*1.75*2.1*2.3*2.6*3.2*4.2*2.4*2.5*2.8*1,0)</f>
        <v>37284510250</v>
      </c>
      <c r="AE210" s="5">
        <f t="shared" si="106"/>
        <v>145</v>
      </c>
      <c r="AF210" s="9" t="n">
        <f>ROUND($J210*1.637*1.75*2.1*2.3*2.6*3.2*4.2*2.4*2.5*2.8*3.2*1,0)</f>
        <v>119310432801</v>
      </c>
      <c r="AG210" s="3">
        <f t="shared" si="107"/>
        <v>148</v>
      </c>
      <c r="AH210" s="10" t="n">
        <f>ROUND($J210*1.637*1.75*2.1*2.3*2.6*3.2*4.2*2.4*2.5*2.8*3.2*3.8*1,0)</f>
        <v>453379644645</v>
      </c>
    </row>
    <row r="21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 t="n">
        <f>ROUND($J211*1.637*0.8,0)</f>
        <v>3601400</v>
      </c>
      <c r="M211" s="3">
        <f t="shared" si="97"/>
        <v>123</v>
      </c>
      <c r="N211" s="10" t="n">
        <f>ROUND($J211*1.637*1.75*0.8,0)</f>
        <v>6302450</v>
      </c>
      <c r="O211" s="5">
        <f t="shared" si="98"/>
        <v>125</v>
      </c>
      <c r="P211" s="9" t="n">
        <f>ROUND($J211*1.637*1.75*2.1*0.8,0)</f>
        <v>13235145</v>
      </c>
      <c r="Q211" s="3">
        <f t="shared" si="99"/>
        <v>127</v>
      </c>
      <c r="R211" s="10" t="n">
        <f>ROUND($J211*1.637*1.75*2.1*2.3*0.542035092435954,0)</f>
        <v>20625000</v>
      </c>
      <c r="S211" s="5">
        <f t="shared" si="100"/>
        <v>129</v>
      </c>
      <c r="T211" s="9" t="n">
        <f>ROUND($J211*1.637*1.75*2.1*2.3*2.6*0.544690061623969,0)</f>
        <v>53887663</v>
      </c>
      <c r="U211" s="3">
        <f t="shared" si="101"/>
        <v>132</v>
      </c>
      <c r="V211" s="10" t="n">
        <f>ROUND($J211*1.637*1.75*2.1*2.3*2.6*3.2*0.547345030811984,0)</f>
        <v>173281045</v>
      </c>
      <c r="W211" s="5">
        <f t="shared" si="102"/>
        <v>136</v>
      </c>
      <c r="X211" s="9" t="n">
        <f>ROUND($J211*1.637*1.75*2.1*2.3*2.6*3.2*4.2*0.55,0)</f>
        <v>731310584</v>
      </c>
      <c r="Y211" s="3">
        <f t="shared" si="103"/>
        <v>138</v>
      </c>
      <c r="Z211" s="10" t="n">
        <f>ROUND($J211*1.637*1.75*2.1*2.3*2.6*3.2*4.2*2.4*0.55,0)</f>
        <v>1755145402</v>
      </c>
      <c r="AA211" s="5">
        <f t="shared" si="104"/>
        <v>140</v>
      </c>
      <c r="AB211" s="9" t="n">
        <f>ROUND($J211*1.637*1.75*2.1*2.3*2.6*3.2*4.2*2.4*2.5*0.55,0)</f>
        <v>4387863504</v>
      </c>
      <c r="AC211" s="3">
        <f t="shared" si="105"/>
        <v>142</v>
      </c>
      <c r="AD211" s="10" t="n">
        <f>ROUND($J211*1.637*1.75*2.1*2.3*2.6*3.2*4.2*2.4*2.5*2.8*0.55,0)</f>
        <v>12286017811</v>
      </c>
      <c r="AE211" s="5">
        <f t="shared" si="106"/>
        <v>145</v>
      </c>
      <c r="AF211" s="9" t="n">
        <f>ROUND($J211*1.637*1.75*2.1*2.3*2.6*3.2*4.2*2.4*2.5*2.8*3.2*0.55,0)</f>
        <v>39315256996</v>
      </c>
      <c r="AG211" s="3">
        <f t="shared" si="107"/>
        <v>148</v>
      </c>
      <c r="AH211" s="10" t="n">
        <f>ROUND($J211*1.637*1.75*2.1*2.3*2.6*3.2*4.2*2.4*2.5*2.8*3.2*3.8*0.55,0)</f>
        <v>149397976585</v>
      </c>
    </row>
    <row r="212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 t="n">
        <f>ROUND($J212*1.637*0.8,0)</f>
        <v>3090656</v>
      </c>
      <c r="M212" s="3">
        <f t="shared" si="97"/>
        <v>123</v>
      </c>
      <c r="N212" s="10" t="n">
        <f>ROUND($J212*1.637*1.75*0.8,0)</f>
        <v>5408648</v>
      </c>
      <c r="O212" s="5">
        <f t="shared" si="98"/>
        <v>125</v>
      </c>
      <c r="P212" s="9" t="n">
        <f>ROUND($J212*1.637*1.75*2.1*0.8,0)</f>
        <v>11358161</v>
      </c>
      <c r="Q212" s="3">
        <f t="shared" si="99"/>
        <v>127</v>
      </c>
      <c r="R212" s="10" t="n">
        <f>ROUND($J212*1.637*1.75*2.1*2.3*0.542035092435954,0)</f>
        <v>17700000</v>
      </c>
      <c r="S212" s="5">
        <f t="shared" si="100"/>
        <v>129</v>
      </c>
      <c r="T212" s="9" t="n">
        <f>ROUND($J212*1.637*1.75*2.1*2.3*2.6*0.544690061623969,0)</f>
        <v>46245413</v>
      </c>
      <c r="U212" s="3">
        <f t="shared" si="101"/>
        <v>132</v>
      </c>
      <c r="V212" s="10" t="n">
        <f>ROUND($J212*1.637*1.75*2.1*2.3*2.6*3.2*0.547345030811984,0)</f>
        <v>148706642</v>
      </c>
      <c r="W212" s="5">
        <f t="shared" si="102"/>
        <v>136</v>
      </c>
      <c r="X212" s="9" t="n">
        <f>ROUND($J212*1.637*1.75*2.1*2.3*2.6*3.2*4.2*0.55,0)</f>
        <v>627597447</v>
      </c>
      <c r="Y212" s="3">
        <f t="shared" si="103"/>
        <v>138</v>
      </c>
      <c r="Z212" s="10" t="n">
        <f>ROUND($J212*1.637*1.75*2.1*2.3*2.6*3.2*4.2*2.4*0.55,0)</f>
        <v>1506233872</v>
      </c>
      <c r="AA212" s="5">
        <f t="shared" si="104"/>
        <v>140</v>
      </c>
      <c r="AB212" s="9" t="n">
        <f>ROUND($J212*1.637*1.75*2.1*2.3*2.6*3.2*4.2*2.4*2.5*0.55,0)</f>
        <v>3765584680</v>
      </c>
      <c r="AC212" s="3">
        <f t="shared" si="105"/>
        <v>142</v>
      </c>
      <c r="AD212" s="10" t="n">
        <f>ROUND($J212*1.637*1.75*2.1*2.3*2.6*3.2*4.2*2.4*2.5*2.8*0.55,0)</f>
        <v>10543637103</v>
      </c>
      <c r="AE212" s="5">
        <f t="shared" si="106"/>
        <v>145</v>
      </c>
      <c r="AF212" s="9" t="n">
        <f>ROUND($J212*1.637*1.75*2.1*2.3*2.6*3.2*4.2*2.4*2.5*2.8*3.2*0.55,0)</f>
        <v>33739638731</v>
      </c>
      <c r="AG212" s="3">
        <f t="shared" si="107"/>
        <v>148</v>
      </c>
      <c r="AH212" s="10" t="n">
        <f>ROUND($J212*1.637*1.75*2.1*2.3*2.6*3.2*4.2*2.4*2.5*2.8*3.2*3.8*0.55,0)</f>
        <v>128210627178</v>
      </c>
    </row>
    <row r="213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 t="n">
        <f>ROUND($J213*1.637*0.8,0)</f>
        <v>3090656</v>
      </c>
      <c r="M213" s="3">
        <f t="shared" si="97"/>
        <v>123</v>
      </c>
      <c r="N213" s="10" t="n">
        <f>ROUND($J213*1.637*1.75*0.8,0)</f>
        <v>5408648</v>
      </c>
      <c r="O213" s="5">
        <f t="shared" si="98"/>
        <v>125</v>
      </c>
      <c r="P213" s="9" t="n">
        <f>ROUND($J213*1.637*1.75*2.1*0.8,0)</f>
        <v>11358161</v>
      </c>
      <c r="Q213" s="3">
        <f t="shared" si="99"/>
        <v>127</v>
      </c>
      <c r="R213" s="10" t="n">
        <f>ROUND($J213*1.637*1.75*2.1*2.3*0.542035092435954,0)</f>
        <v>17700000</v>
      </c>
      <c r="S213" s="5">
        <f t="shared" si="100"/>
        <v>129</v>
      </c>
      <c r="T213" s="9" t="n">
        <f>ROUND($J213*1.637*1.75*2.1*2.3*2.6*0.544690061623969,0)</f>
        <v>46245413</v>
      </c>
      <c r="U213" s="3">
        <f t="shared" si="101"/>
        <v>132</v>
      </c>
      <c r="V213" s="10" t="n">
        <f>ROUND($J213*1.637*1.75*2.1*2.3*2.6*3.2*0.547345030811984,0)</f>
        <v>148706642</v>
      </c>
      <c r="W213" s="5">
        <f t="shared" si="102"/>
        <v>136</v>
      </c>
      <c r="X213" s="9" t="n">
        <f>ROUND($J213*1.637*1.75*2.1*2.3*2.6*3.2*4.2*0.55,0)</f>
        <v>627597447</v>
      </c>
      <c r="Y213" s="3">
        <f t="shared" si="103"/>
        <v>138</v>
      </c>
      <c r="Z213" s="10" t="n">
        <f>ROUND($J213*1.637*1.75*2.1*2.3*2.6*3.2*4.2*2.4*0.55,0)</f>
        <v>1506233872</v>
      </c>
      <c r="AA213" s="5">
        <f t="shared" si="104"/>
        <v>140</v>
      </c>
      <c r="AB213" s="9" t="n">
        <f>ROUND($J213*1.637*1.75*2.1*2.3*2.6*3.2*4.2*2.4*2.5*0.55,0)</f>
        <v>3765584680</v>
      </c>
      <c r="AC213" s="3">
        <f t="shared" si="105"/>
        <v>142</v>
      </c>
      <c r="AD213" s="10" t="n">
        <f>ROUND($J213*1.637*1.75*2.1*2.3*2.6*3.2*4.2*2.4*2.5*2.8*0.55,0)</f>
        <v>10543637103</v>
      </c>
      <c r="AE213" s="5">
        <f t="shared" si="106"/>
        <v>145</v>
      </c>
      <c r="AF213" s="9" t="n">
        <f>ROUND($J213*1.637*1.75*2.1*2.3*2.6*3.2*4.2*2.4*2.5*2.8*3.2*0.55,0)</f>
        <v>33739638731</v>
      </c>
      <c r="AG213" s="3">
        <f t="shared" si="107"/>
        <v>148</v>
      </c>
      <c r="AH213" s="10" t="n">
        <f>ROUND($J213*1.637*1.75*2.1*2.3*2.6*3.2*4.2*2.4*2.5*2.8*3.2*3.8*0.55,0)</f>
        <v>128210627178</v>
      </c>
    </row>
    <row r="214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 t="n">
        <f>ROUND($J214*1.637*1,0)</f>
        <v>4501750</v>
      </c>
      <c r="M214" s="3">
        <f t="shared" si="97"/>
        <v>123</v>
      </c>
      <c r="N214" s="10" t="n">
        <f>ROUND($J214*1.637*1.75*1,0)</f>
        <v>7878063</v>
      </c>
      <c r="O214" s="5">
        <f t="shared" si="98"/>
        <v>125</v>
      </c>
      <c r="P214" s="9" t="n">
        <f>ROUND($J214*1.637*1.75*2.1*1,0)</f>
        <v>16543931</v>
      </c>
      <c r="Q214" s="3">
        <f t="shared" si="99"/>
        <v>127</v>
      </c>
      <c r="R214" s="10" t="n">
        <f>ROUND($J214*1.637*1.75*2.1*2.3*1.25,0)</f>
        <v>47563802</v>
      </c>
      <c r="S214" s="5">
        <f t="shared" si="100"/>
        <v>129</v>
      </c>
      <c r="T214" s="9" t="n">
        <f>ROUND($J214*1.637*1.75*2.1*2.3*2.6*1.25,0)</f>
        <v>123665886</v>
      </c>
      <c r="U214" s="3">
        <f t="shared" si="101"/>
        <v>132</v>
      </c>
      <c r="V214" s="10" t="n">
        <f>ROUND($J214*1.637*1.75*2.1*2.3*2.6*3.2*1.25,0)</f>
        <v>395730836</v>
      </c>
      <c r="W214" s="5">
        <f t="shared" si="102"/>
        <v>136</v>
      </c>
      <c r="X214" s="9" t="n">
        <f>ROUND($J214*1.637*1.75*2.1*2.3*2.6*3.2*4.2*1.25,0)</f>
        <v>1662069509</v>
      </c>
      <c r="Y214" s="3">
        <f t="shared" si="103"/>
        <v>138</v>
      </c>
      <c r="Z214" s="10" t="n">
        <f>ROUND($J214*1.637*1.75*2.1*2.3*2.6*3.2*4.2*2.4*1.25,0)</f>
        <v>3988966822</v>
      </c>
      <c r="AA214" s="5">
        <f t="shared" si="104"/>
        <v>140</v>
      </c>
      <c r="AB214" s="9" t="n">
        <f>ROUND($J214*1.637*1.75*2.1*2.3*2.6*3.2*4.2*2.4*2.5*1.25,0)</f>
        <v>9972417055</v>
      </c>
      <c r="AC214" s="3">
        <f t="shared" si="105"/>
        <v>142</v>
      </c>
      <c r="AD214" s="10" t="n">
        <f>ROUND($J214*1.637*1.75*2.1*2.3*2.6*3.2*4.2*2.4*2.5*2.8*1.25,0)</f>
        <v>27922767753</v>
      </c>
      <c r="AE214" s="5">
        <f t="shared" si="106"/>
        <v>145</v>
      </c>
      <c r="AF214" s="9" t="n">
        <f>ROUND($J214*1.637*1.75*2.1*2.3*2.6*3.2*4.2*2.4*2.5*2.8*3.2*1.25,0)</f>
        <v>89352856809</v>
      </c>
      <c r="AG214" s="3">
        <f t="shared" si="107"/>
        <v>148</v>
      </c>
      <c r="AH214" s="10" t="n">
        <f>ROUND($J214*1.637*1.75*2.1*2.3*2.6*3.2*4.2*2.4*2.5*2.8*3.2*3.8*1.25,0)</f>
        <v>339540855875</v>
      </c>
    </row>
    <row r="215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 t="n">
        <f t="shared" ref="L215:L222" si="108">ROUND($J215*1.637*0.8,0)</f>
        <v>3640688</v>
      </c>
      <c r="M215" s="3">
        <f t="shared" si="97"/>
        <v>123</v>
      </c>
      <c r="N215" s="10" t="n">
        <f t="shared" ref="N215:N222" si="109">ROUND($J215*1.637*1.75*0.8,0)</f>
        <v>6371204</v>
      </c>
      <c r="O215" s="5">
        <f t="shared" si="98"/>
        <v>125</v>
      </c>
      <c r="P215" s="9" t="n">
        <f t="shared" ref="P215:P222" si="110">ROUND($J215*1.637*1.75*2.1*0.8,0)</f>
        <v>13379528</v>
      </c>
      <c r="Q215" s="3">
        <f t="shared" si="99"/>
        <v>127</v>
      </c>
      <c r="R215" s="10" t="n">
        <f t="shared" ref="R215:R222" si="111">ROUND($J215*1.637*1.75*2.1*2.3*0.542035092435954,0)</f>
        <v>20850000</v>
      </c>
      <c r="S215" s="5">
        <f t="shared" si="100"/>
        <v>129</v>
      </c>
      <c r="T215" s="9" t="n">
        <f t="shared" ref="T215:T222" si="112">ROUND($J215*1.637*1.75*2.1*2.3*2.6*0.544690061623969,0)</f>
        <v>54475529</v>
      </c>
      <c r="U215" s="3">
        <f t="shared" si="101"/>
        <v>132</v>
      </c>
      <c r="V215" s="10" t="n">
        <f t="shared" ref="V215:V222" si="113">ROUND($J215*1.637*1.75*2.1*2.3*2.6*3.2*0.547345030811984,0)</f>
        <v>175171384</v>
      </c>
      <c r="W215" s="5">
        <f t="shared" si="102"/>
        <v>136</v>
      </c>
      <c r="X215" s="9" t="n">
        <f t="shared" ref="X215:X222" si="114">ROUND($J215*1.637*1.75*2.1*2.3*2.6*3.2*4.2*0.55,0)</f>
        <v>739288518</v>
      </c>
      <c r="Y215" s="3">
        <f t="shared" si="103"/>
        <v>138</v>
      </c>
      <c r="Z215" s="10" t="n">
        <f t="shared" ref="Z215:Z222" si="115">ROUND($J215*1.637*1.75*2.1*2.3*2.6*3.2*4.2*2.4*0.55,0)</f>
        <v>1774292442</v>
      </c>
      <c r="AA215" s="5">
        <f t="shared" si="104"/>
        <v>140</v>
      </c>
      <c r="AB215" s="9" t="n">
        <f t="shared" ref="AB215:AB222" si="116">ROUND($J215*1.637*1.75*2.1*2.3*2.6*3.2*4.2*2.4*2.5*0.55,0)</f>
        <v>4435731106</v>
      </c>
      <c r="AC215" s="3">
        <f t="shared" si="105"/>
        <v>142</v>
      </c>
      <c r="AD215" s="10" t="n">
        <f t="shared" ref="AD215:AD222" si="117">ROUND($J215*1.637*1.75*2.1*2.3*2.6*3.2*4.2*2.4*2.5*2.8*0.55,0)</f>
        <v>12420047096</v>
      </c>
      <c r="AE215" s="5">
        <f t="shared" si="106"/>
        <v>145</v>
      </c>
      <c r="AF215" s="9" t="n">
        <f t="shared" ref="AF215:AF222" si="118">ROUND($J215*1.637*1.75*2.1*2.3*2.6*3.2*4.2*2.4*2.5*2.8*3.2*0.55,0)</f>
        <v>39744150709</v>
      </c>
      <c r="AG215" s="3">
        <f t="shared" si="107"/>
        <v>148</v>
      </c>
      <c r="AH215" s="10" t="n">
        <f t="shared" ref="AH215:AH222" si="119">ROUND($J215*1.637*1.75*2.1*2.3*2.6*3.2*4.2*2.4*2.5*2.8*3.2*3.8*0.55,0)</f>
        <v>151027772693</v>
      </c>
    </row>
    <row r="216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 t="n">
        <f>ROUND($J223*1.637*1,0)</f>
        <v>4501750</v>
      </c>
      <c r="M223" s="3">
        <f t="shared" si="97"/>
        <v>123</v>
      </c>
      <c r="N223" s="10" t="n">
        <f>ROUND($J223*1.637*1.75*1,0)</f>
        <v>7878063</v>
      </c>
      <c r="O223" s="5">
        <f t="shared" si="98"/>
        <v>125</v>
      </c>
      <c r="P223" s="9" t="n">
        <f>ROUND($J223*1.637*1.75*2.1*1,0)</f>
        <v>16543931</v>
      </c>
      <c r="Q223" s="3">
        <f t="shared" si="99"/>
        <v>127</v>
      </c>
      <c r="R223" s="10" t="n">
        <f>ROUND($J223*1.637*1.75*2.1*2.3*1,0)</f>
        <v>38051042</v>
      </c>
      <c r="S223" s="5">
        <f t="shared" si="100"/>
        <v>129</v>
      </c>
      <c r="T223" s="9" t="n">
        <f>ROUND($J223*1.637*1.75*2.1*2.3*2.6*1,0)</f>
        <v>98932709</v>
      </c>
      <c r="U223" s="3">
        <f t="shared" si="101"/>
        <v>132</v>
      </c>
      <c r="V223" s="10" t="n">
        <f>ROUND($J223*1.637*1.75*2.1*2.3*2.6*3.2*1,0)</f>
        <v>316584668</v>
      </c>
      <c r="W223" s="5">
        <f t="shared" si="102"/>
        <v>136</v>
      </c>
      <c r="X223" s="9" t="n">
        <f>ROUND($J223*1.637*1.75*2.1*2.3*2.6*3.2*4.2*1,0)</f>
        <v>1329655607</v>
      </c>
      <c r="Y223" s="3">
        <f t="shared" si="103"/>
        <v>138</v>
      </c>
      <c r="Z223" s="10" t="n">
        <f>ROUND($J223*1.637*1.75*2.1*2.3*2.6*3.2*4.2*2.4*1,0)</f>
        <v>3191173457</v>
      </c>
      <c r="AA223" s="5">
        <f t="shared" si="104"/>
        <v>140</v>
      </c>
      <c r="AB223" s="9" t="n">
        <f>ROUND($J223*1.637*1.75*2.1*2.3*2.6*3.2*4.2*2.4*2.5*1,0)</f>
        <v>7977933644</v>
      </c>
      <c r="AC223" s="3">
        <f t="shared" si="105"/>
        <v>142</v>
      </c>
      <c r="AD223" s="10" t="n">
        <f>ROUND($J223*1.637*1.75*2.1*2.3*2.6*3.2*4.2*2.4*2.5*2.8*1,0)</f>
        <v>22338214202</v>
      </c>
      <c r="AE223" s="5">
        <f t="shared" si="106"/>
        <v>145</v>
      </c>
      <c r="AF223" s="9" t="n">
        <f>ROUND($J223*1.637*1.75*2.1*2.3*2.6*3.2*4.2*2.4*2.5*2.8*3.2*1,0)</f>
        <v>71482285447</v>
      </c>
      <c r="AG223" s="3">
        <f t="shared" si="107"/>
        <v>148</v>
      </c>
      <c r="AH223" s="10" t="n">
        <f>ROUND($J223*1.637*1.75*2.1*2.3*2.6*3.2*4.2*2.4*2.5*2.8*3.2*3.8*1,0)</f>
        <v>271632684700</v>
      </c>
    </row>
    <row r="224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 t="n">
        <f>ROUND($J224*1.637*1,0)</f>
        <v>4534490</v>
      </c>
      <c r="M224" s="3">
        <f t="shared" si="97"/>
        <v>123</v>
      </c>
      <c r="N224" s="10" t="n">
        <f>ROUND($J224*1.637*1.75*1,0)</f>
        <v>7935358</v>
      </c>
      <c r="O224" s="5">
        <f t="shared" si="98"/>
        <v>125</v>
      </c>
      <c r="P224" s="9" t="n">
        <f>ROUND($J224*1.637*1.75*2.1*1,0)</f>
        <v>16664251</v>
      </c>
      <c r="Q224" s="3">
        <f t="shared" si="99"/>
        <v>127</v>
      </c>
      <c r="R224" s="10" t="n">
        <f>ROUND($J224*1.637*1.75*2.1*2.3*1,0)</f>
        <v>38327777</v>
      </c>
      <c r="S224" s="5">
        <f t="shared" si="100"/>
        <v>129</v>
      </c>
      <c r="T224" s="9" t="n">
        <f>ROUND($J224*1.637*1.75*2.1*2.3*2.6*1,0)</f>
        <v>99652219</v>
      </c>
      <c r="U224" s="3">
        <f t="shared" si="101"/>
        <v>132</v>
      </c>
      <c r="V224" s="10" t="n">
        <f>ROUND($J224*1.637*1.75*2.1*2.3*2.6*3.2*1,0)</f>
        <v>318887102</v>
      </c>
      <c r="W224" s="5">
        <f t="shared" si="102"/>
        <v>136</v>
      </c>
      <c r="X224" s="9" t="n">
        <f>ROUND($J224*1.637*1.75*2.1*2.3*2.6*3.2*4.2*1,0)</f>
        <v>1339325830</v>
      </c>
      <c r="Y224" s="3">
        <f t="shared" si="103"/>
        <v>138</v>
      </c>
      <c r="Z224" s="10" t="n">
        <f>ROUND($J224*1.637*1.75*2.1*2.3*2.6*3.2*4.2*2.4*1,0)</f>
        <v>3214381992</v>
      </c>
      <c r="AA224" s="5">
        <f t="shared" si="104"/>
        <v>140</v>
      </c>
      <c r="AB224" s="9" t="n">
        <f>ROUND($J224*1.637*1.75*2.1*2.3*2.6*3.2*4.2*2.4*2.5*1,0)</f>
        <v>8035954979</v>
      </c>
      <c r="AC224" s="3">
        <f t="shared" si="105"/>
        <v>142</v>
      </c>
      <c r="AD224" s="10" t="n">
        <f>ROUND($J224*1.637*1.75*2.1*2.3*2.6*3.2*4.2*2.4*2.5*2.8*1,0)</f>
        <v>22500673942</v>
      </c>
      <c r="AE224" s="5">
        <f t="shared" si="106"/>
        <v>145</v>
      </c>
      <c r="AF224" s="9" t="n">
        <f>ROUND($J224*1.637*1.75*2.1*2.3*2.6*3.2*4.2*2.4*2.5*2.8*3.2*1,0)</f>
        <v>72002156614</v>
      </c>
      <c r="AG224" s="3">
        <f t="shared" si="107"/>
        <v>148</v>
      </c>
      <c r="AH224" s="10" t="n">
        <f>ROUND($J224*1.637*1.75*2.1*2.3*2.6*3.2*4.2*2.4*2.5*2.8*3.2*3.8*1,0)</f>
        <v>273608195134</v>
      </c>
    </row>
    <row r="225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 t="n">
        <f>ROUND($J225*1.637*0.8,0)</f>
        <v>3824032</v>
      </c>
      <c r="M225" s="3">
        <f t="shared" si="97"/>
        <v>123</v>
      </c>
      <c r="N225" s="10" t="n">
        <f>ROUND($J225*1.637*1.75*0.8,0)</f>
        <v>6692056</v>
      </c>
      <c r="O225" s="5">
        <f t="shared" si="98"/>
        <v>125</v>
      </c>
      <c r="P225" s="9" t="n">
        <f>ROUND($J225*1.637*1.75*2.1*0.8,0)</f>
        <v>14053318</v>
      </c>
      <c r="Q225" s="3">
        <f t="shared" si="99"/>
        <v>127</v>
      </c>
      <c r="R225" s="10" t="n">
        <f>ROUND($J225*1.637*1.75*2.1*2.3*0.542035092435954,0)</f>
        <v>21900000</v>
      </c>
      <c r="S225" s="5">
        <f t="shared" si="100"/>
        <v>129</v>
      </c>
      <c r="T225" s="9" t="n">
        <f>ROUND($J225*1.637*1.75*2.1*2.3*2.6*0.544690061623969,0)</f>
        <v>57218901</v>
      </c>
      <c r="U225" s="3">
        <f t="shared" si="101"/>
        <v>132</v>
      </c>
      <c r="V225" s="10" t="n">
        <f>ROUND($J225*1.637*1.75*2.1*2.3*2.6*3.2*0.547345030811984,0)</f>
        <v>183992964</v>
      </c>
      <c r="W225" s="5">
        <f t="shared" si="102"/>
        <v>136</v>
      </c>
      <c r="X225" s="9" t="n">
        <f>ROUND($J225*1.637*1.75*2.1*2.3*2.6*3.2*4.2*0.55,0)</f>
        <v>776518875</v>
      </c>
      <c r="Y225" s="3">
        <f t="shared" si="103"/>
        <v>138</v>
      </c>
      <c r="Z225" s="10" t="n">
        <f>ROUND($J225*1.637*1.75*2.1*2.3*2.6*3.2*4.2*2.4*0.55,0)</f>
        <v>1863645299</v>
      </c>
      <c r="AA225" s="5">
        <f t="shared" si="104"/>
        <v>140</v>
      </c>
      <c r="AB225" s="9" t="n">
        <f>ROUND($J225*1.637*1.75*2.1*2.3*2.6*3.2*4.2*2.4*2.5*0.55,0)</f>
        <v>4659113248</v>
      </c>
      <c r="AC225" s="3">
        <f t="shared" si="105"/>
        <v>142</v>
      </c>
      <c r="AD225" s="10" t="n">
        <f>ROUND($J225*1.637*1.75*2.1*2.3*2.6*3.2*4.2*2.4*2.5*2.8*0.55,0)</f>
        <v>13045517094</v>
      </c>
      <c r="AE225" s="5">
        <f t="shared" si="106"/>
        <v>145</v>
      </c>
      <c r="AF225" s="9" t="n">
        <f>ROUND($J225*1.637*1.75*2.1*2.3*2.6*3.2*4.2*2.4*2.5*2.8*3.2*0.55,0)</f>
        <v>41745654701</v>
      </c>
      <c r="AG225" s="3">
        <f t="shared" si="107"/>
        <v>148</v>
      </c>
      <c r="AH225" s="10" t="n">
        <f>ROUND($J225*1.637*1.75*2.1*2.3*2.6*3.2*4.2*2.4*2.5*2.8*3.2*3.8*0.55,0)</f>
        <v>158633487865</v>
      </c>
    </row>
    <row r="226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 t="n">
        <f>ROUND($J226*1.637*0.8,0)</f>
        <v>3051368</v>
      </c>
      <c r="M226" s="3">
        <f t="shared" si="97"/>
        <v>123</v>
      </c>
      <c r="N226" s="10" t="n">
        <f>ROUND($J226*1.637*1.75*0.8,0)</f>
        <v>5339894</v>
      </c>
      <c r="O226" s="5">
        <f t="shared" si="98"/>
        <v>125</v>
      </c>
      <c r="P226" s="9" t="n">
        <f>ROUND($J226*1.637*1.75*2.1*0.8,0)</f>
        <v>11213777</v>
      </c>
      <c r="Q226" s="3">
        <f t="shared" si="99"/>
        <v>127</v>
      </c>
      <c r="R226" s="10" t="n">
        <f>ROUND($J226*1.637*1.75*2.1*2.3*0.542035092435954,0)</f>
        <v>17475000</v>
      </c>
      <c r="S226" s="5">
        <f t="shared" si="100"/>
        <v>129</v>
      </c>
      <c r="T226" s="9" t="n">
        <f>ROUND($J226*1.637*1.75*2.1*2.3*2.6*0.544690061623969,0)</f>
        <v>45657547</v>
      </c>
      <c r="U226" s="3">
        <f t="shared" si="101"/>
        <v>132</v>
      </c>
      <c r="V226" s="10" t="n">
        <f>ROUND($J226*1.637*1.75*2.1*2.3*2.6*3.2*0.547345030811984,0)</f>
        <v>146816304</v>
      </c>
      <c r="W226" s="5">
        <f t="shared" si="102"/>
        <v>136</v>
      </c>
      <c r="X226" s="9" t="n">
        <f>ROUND($J226*1.637*1.75*2.1*2.3*2.6*3.2*4.2*0.55,0)</f>
        <v>619619513</v>
      </c>
      <c r="Y226" s="3">
        <f t="shared" si="103"/>
        <v>138</v>
      </c>
      <c r="Z226" s="10" t="n">
        <f>ROUND($J226*1.637*1.75*2.1*2.3*2.6*3.2*4.2*2.4*0.55,0)</f>
        <v>1487086831</v>
      </c>
      <c r="AA226" s="5">
        <f t="shared" si="104"/>
        <v>140</v>
      </c>
      <c r="AB226" s="9" t="n">
        <f>ROUND($J226*1.637*1.75*2.1*2.3*2.6*3.2*4.2*2.4*2.5*0.55,0)</f>
        <v>3717717078</v>
      </c>
      <c r="AC226" s="3">
        <f t="shared" si="105"/>
        <v>142</v>
      </c>
      <c r="AD226" s="10" t="n">
        <f>ROUND($J226*1.637*1.75*2.1*2.3*2.6*3.2*4.2*2.4*2.5*2.8*0.55,0)</f>
        <v>10409607818</v>
      </c>
      <c r="AE226" s="5">
        <f t="shared" si="106"/>
        <v>145</v>
      </c>
      <c r="AF226" s="9" t="n">
        <f>ROUND($J226*1.637*1.75*2.1*2.3*2.6*3.2*4.2*2.4*2.5*2.8*3.2*0.55,0)</f>
        <v>33310745018</v>
      </c>
      <c r="AG226" s="3">
        <f t="shared" si="107"/>
        <v>148</v>
      </c>
      <c r="AH226" s="10" t="n">
        <f>ROUND($J226*1.637*1.75*2.1*2.3*2.6*3.2*4.2*2.4*2.5*2.8*3.2*3.8*0.55,0)</f>
        <v>126580831070</v>
      </c>
    </row>
    <row r="227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 t="n">
        <f>ROUND($J227*1.637*1,0)</f>
        <v>4518120</v>
      </c>
      <c r="M227" s="3">
        <f t="shared" si="97"/>
        <v>123</v>
      </c>
      <c r="N227" s="10" t="n">
        <f>ROUND($J227*1.637*1.75*1,0)</f>
        <v>7906710</v>
      </c>
      <c r="O227" s="5">
        <f t="shared" si="98"/>
        <v>125</v>
      </c>
      <c r="P227" s="9" t="n">
        <f>ROUND($J227*1.637*1.75*2.1*1,0)</f>
        <v>16604091</v>
      </c>
      <c r="Q227" s="3">
        <f t="shared" si="99"/>
        <v>127</v>
      </c>
      <c r="R227" s="10" t="n">
        <f>ROUND($J227*1.637*1.75*2.1*2.3*1,0)</f>
        <v>38189409</v>
      </c>
      <c r="S227" s="5">
        <f t="shared" si="100"/>
        <v>129</v>
      </c>
      <c r="T227" s="9" t="n">
        <f>ROUND($J227*1.637*1.75*2.1*2.3*2.6*1,0)</f>
        <v>99292464</v>
      </c>
      <c r="U227" s="3">
        <f t="shared" si="101"/>
        <v>132</v>
      </c>
      <c r="V227" s="10" t="n">
        <f>ROUND($J227*1.637*1.75*2.1*2.3*2.6*3.2*1,0)</f>
        <v>317735885</v>
      </c>
      <c r="W227" s="5">
        <f t="shared" si="102"/>
        <v>136</v>
      </c>
      <c r="X227" s="9" t="n">
        <f>ROUND($J227*1.637*1.75*2.1*2.3*2.6*3.2*4.2*1,0)</f>
        <v>1334490719</v>
      </c>
      <c r="Y227" s="3">
        <f t="shared" si="103"/>
        <v>138</v>
      </c>
      <c r="Z227" s="10" t="n">
        <f>ROUND($J227*1.637*1.75*2.1*2.3*2.6*3.2*4.2*2.4*1,0)</f>
        <v>3202777725</v>
      </c>
      <c r="AA227" s="5">
        <f t="shared" si="104"/>
        <v>140</v>
      </c>
      <c r="AB227" s="9" t="n">
        <f>ROUND($J227*1.637*1.75*2.1*2.3*2.6*3.2*4.2*2.4*2.5*1,0)</f>
        <v>8006944311</v>
      </c>
      <c r="AC227" s="3">
        <f t="shared" si="105"/>
        <v>142</v>
      </c>
      <c r="AD227" s="10" t="n">
        <f>ROUND($J227*1.637*1.75*2.1*2.3*2.6*3.2*4.2*2.4*2.5*2.8*1,0)</f>
        <v>22419444072</v>
      </c>
      <c r="AE227" s="5">
        <f t="shared" si="106"/>
        <v>145</v>
      </c>
      <c r="AF227" s="9" t="n">
        <f>ROUND($J227*1.637*1.75*2.1*2.3*2.6*3.2*4.2*2.4*2.5*2.8*3.2*1,0)</f>
        <v>71742221031</v>
      </c>
      <c r="AG227" s="3">
        <f t="shared" si="107"/>
        <v>148</v>
      </c>
      <c r="AH227" s="10" t="n">
        <f>ROUND($J227*1.637*1.75*2.1*2.3*2.6*3.2*4.2*2.4*2.5*2.8*3.2*3.8*1,0)</f>
        <v>272620439917</v>
      </c>
    </row>
    <row r="228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 t="n">
        <f>ROUND($J228*1.637*1,0)</f>
        <v>4583600</v>
      </c>
      <c r="M228" s="3">
        <f t="shared" si="97"/>
        <v>123</v>
      </c>
      <c r="N228" s="10" t="n">
        <f>ROUND($J228*1.637*1.75*1,0)</f>
        <v>8021300</v>
      </c>
      <c r="O228" s="5">
        <f t="shared" si="98"/>
        <v>125</v>
      </c>
      <c r="P228" s="9" t="n">
        <f>ROUND($J228*1.637*1.75*2.1*1,0)</f>
        <v>16844730</v>
      </c>
      <c r="Q228" s="3">
        <f t="shared" si="99"/>
        <v>127</v>
      </c>
      <c r="R228" s="10" t="n">
        <f>ROUND($J228*1.637*1.75*2.1*2.3*1.25,0)</f>
        <v>48428599</v>
      </c>
      <c r="S228" s="5">
        <f t="shared" si="100"/>
        <v>129</v>
      </c>
      <c r="T228" s="9" t="n">
        <f>ROUND($J228*1.637*1.75*2.1*2.3*2.6*1.25,0)</f>
        <v>125914357</v>
      </c>
      <c r="U228" s="3">
        <f t="shared" si="101"/>
        <v>132</v>
      </c>
      <c r="V228" s="10" t="n">
        <f>ROUND($J228*1.637*1.75*2.1*2.3*2.6*3.2*1.25,0)</f>
        <v>402925942</v>
      </c>
      <c r="W228" s="5">
        <f t="shared" si="102"/>
        <v>136</v>
      </c>
      <c r="X228" s="9" t="n">
        <f>ROUND($J228*1.637*1.75*2.1*2.3*2.6*3.2*4.2*1.25,0)</f>
        <v>1692288955</v>
      </c>
      <c r="Y228" s="3">
        <f t="shared" si="103"/>
        <v>138</v>
      </c>
      <c r="Z228" s="10" t="n">
        <f>ROUND($J228*1.637*1.75*2.1*2.3*2.6*3.2*4.2*2.4*1.25,0)</f>
        <v>4061493491</v>
      </c>
      <c r="AA228" s="5">
        <f t="shared" si="104"/>
        <v>140</v>
      </c>
      <c r="AB228" s="9" t="n">
        <f>ROUND($J228*1.637*1.75*2.1*2.3*2.6*3.2*4.2*2.4*2.5*1.25,0)</f>
        <v>10153733728</v>
      </c>
      <c r="AC228" s="3">
        <f t="shared" si="105"/>
        <v>142</v>
      </c>
      <c r="AD228" s="10" t="n">
        <f>ROUND($J228*1.637*1.75*2.1*2.3*2.6*3.2*4.2*2.4*2.5*2.8*1.25,0)</f>
        <v>28430454439</v>
      </c>
      <c r="AE228" s="5">
        <f t="shared" si="106"/>
        <v>145</v>
      </c>
      <c r="AF228" s="9" t="n">
        <f>ROUND($J228*1.637*1.75*2.1*2.3*2.6*3.2*4.2*2.4*2.5*2.8*3.2*1.25,0)</f>
        <v>90977454206</v>
      </c>
      <c r="AG228" s="3">
        <f t="shared" si="107"/>
        <v>148</v>
      </c>
      <c r="AH228" s="10" t="n">
        <f>ROUND($J228*1.637*1.75*2.1*2.3*2.6*3.2*4.2*2.4*2.5*2.8*3.2*3.8*1.25,0)</f>
        <v>345714325982</v>
      </c>
    </row>
    <row r="229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 t="n">
        <f>ROUND($J229*1.637*0.8,0)</f>
        <v>3653784</v>
      </c>
      <c r="M229" s="3">
        <f t="shared" si="97"/>
        <v>123</v>
      </c>
      <c r="N229" s="10" t="n">
        <f>ROUND($J229*1.637*1.75*0.8,0)</f>
        <v>6394122</v>
      </c>
      <c r="O229" s="5">
        <f t="shared" si="98"/>
        <v>125</v>
      </c>
      <c r="P229" s="9" t="n">
        <f>ROUND($J229*1.637*1.75*2.1*0.8,0)</f>
        <v>13427656</v>
      </c>
      <c r="Q229" s="3">
        <f t="shared" si="99"/>
        <v>127</v>
      </c>
      <c r="R229" s="10" t="n">
        <f>ROUND($J229*1.637*1.75*2.1*2.3*0.542035092435954,0)</f>
        <v>20925000</v>
      </c>
      <c r="S229" s="5">
        <f t="shared" si="100"/>
        <v>129</v>
      </c>
      <c r="T229" s="9" t="n">
        <f>ROUND($J229*1.637*1.75*2.1*2.3*2.6*0.544690061623969,0)</f>
        <v>54671484</v>
      </c>
      <c r="U229" s="3">
        <f t="shared" si="101"/>
        <v>132</v>
      </c>
      <c r="V229" s="10" t="n">
        <f>ROUND($J229*1.637*1.75*2.1*2.3*2.6*3.2*0.547345030811984,0)</f>
        <v>175801497</v>
      </c>
      <c r="W229" s="5">
        <f t="shared" si="102"/>
        <v>136</v>
      </c>
      <c r="X229" s="9" t="n">
        <f>ROUND($J229*1.637*1.75*2.1*2.3*2.6*3.2*4.2*0.55,0)</f>
        <v>741947829</v>
      </c>
      <c r="Y229" s="3">
        <f t="shared" si="103"/>
        <v>138</v>
      </c>
      <c r="Z229" s="10" t="n">
        <f>ROUND($J229*1.637*1.75*2.1*2.3*2.6*3.2*4.2*2.4*0.55,0)</f>
        <v>1780674789</v>
      </c>
      <c r="AA229" s="5">
        <f t="shared" si="104"/>
        <v>140</v>
      </c>
      <c r="AB229" s="9" t="n">
        <f>ROUND($J229*1.637*1.75*2.1*2.3*2.6*3.2*4.2*2.4*2.5*0.55,0)</f>
        <v>4451686973</v>
      </c>
      <c r="AC229" s="3">
        <f t="shared" si="105"/>
        <v>142</v>
      </c>
      <c r="AD229" s="10" t="n">
        <f>ROUND($J229*1.637*1.75*2.1*2.3*2.6*3.2*4.2*2.4*2.5*2.8*0.55,0)</f>
        <v>12464723525</v>
      </c>
      <c r="AE229" s="5">
        <f t="shared" si="106"/>
        <v>145</v>
      </c>
      <c r="AF229" s="9" t="n">
        <f>ROUND($J229*1.637*1.75*2.1*2.3*2.6*3.2*4.2*2.4*2.5*2.8*3.2*0.55,0)</f>
        <v>39887115280</v>
      </c>
      <c r="AG229" s="3">
        <f t="shared" si="107"/>
        <v>148</v>
      </c>
      <c r="AH229" s="10" t="n">
        <f>ROUND($J229*1.637*1.75*2.1*2.3*2.6*3.2*4.2*2.4*2.5*2.8*3.2*3.8*0.55,0)</f>
        <v>151571038063</v>
      </c>
    </row>
    <row r="230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 t="n">
        <f>ROUND($J230*1.637*1,0)</f>
        <v>4829150</v>
      </c>
      <c r="M230" s="3">
        <f t="shared" si="97"/>
        <v>123</v>
      </c>
      <c r="N230" s="10" t="n">
        <f>ROUND($J230*1.637*1.75*1,0)</f>
        <v>8451013</v>
      </c>
      <c r="O230" s="5">
        <f t="shared" si="98"/>
        <v>125</v>
      </c>
      <c r="P230" s="9" t="n">
        <f>ROUND($J230*1.637*1.75*2.1*1,0)</f>
        <v>17747126</v>
      </c>
      <c r="Q230" s="3">
        <f t="shared" si="99"/>
        <v>127</v>
      </c>
      <c r="R230" s="10" t="n">
        <f>ROUND($J230*1.637*1.75*2.1*2.3*1,0)</f>
        <v>40818390</v>
      </c>
      <c r="S230" s="5">
        <f t="shared" si="100"/>
        <v>129</v>
      </c>
      <c r="T230" s="9" t="n">
        <f>ROUND($J230*1.637*1.75*2.1*2.3*2.6*1,0)</f>
        <v>106127815</v>
      </c>
      <c r="U230" s="3">
        <f t="shared" si="101"/>
        <v>132</v>
      </c>
      <c r="V230" s="10" t="n">
        <f>ROUND($J230*1.637*1.75*2.1*2.3*2.6*3.2*1,0)</f>
        <v>339609008</v>
      </c>
      <c r="W230" s="5">
        <f t="shared" si="102"/>
        <v>136</v>
      </c>
      <c r="X230" s="9" t="n">
        <f>ROUND($J230*1.637*1.75*2.1*2.3*2.6*3.2*4.2*1,0)</f>
        <v>1426357833</v>
      </c>
      <c r="Y230" s="3">
        <f t="shared" si="103"/>
        <v>138</v>
      </c>
      <c r="Z230" s="10" t="n">
        <f>ROUND($J230*1.637*1.75*2.1*2.3*2.6*3.2*4.2*2.4*1,0)</f>
        <v>3423258800</v>
      </c>
      <c r="AA230" s="5">
        <f t="shared" si="104"/>
        <v>140</v>
      </c>
      <c r="AB230" s="9" t="n">
        <f>ROUND($J230*1.637*1.75*2.1*2.3*2.6*3.2*4.2*2.4*2.5*1,0)</f>
        <v>8558147000</v>
      </c>
      <c r="AC230" s="3">
        <f t="shared" si="105"/>
        <v>142</v>
      </c>
      <c r="AD230" s="10" t="n">
        <f>ROUND($J230*1.637*1.75*2.1*2.3*2.6*3.2*4.2*2.4*2.5*2.8*1,0)</f>
        <v>23962811599</v>
      </c>
      <c r="AE230" s="5">
        <f t="shared" si="106"/>
        <v>145</v>
      </c>
      <c r="AF230" s="9" t="n">
        <f>ROUND($J230*1.637*1.75*2.1*2.3*2.6*3.2*4.2*2.4*2.5*2.8*3.2*1,0)</f>
        <v>76680997116</v>
      </c>
      <c r="AG230" s="3">
        <f t="shared" si="107"/>
        <v>148</v>
      </c>
      <c r="AH230" s="10" t="n">
        <f>ROUND($J230*1.637*1.75*2.1*2.3*2.6*3.2*4.2*2.4*2.5*2.8*3.2*3.8*1,0)</f>
        <v>291387789042</v>
      </c>
    </row>
    <row r="23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 t="n">
        <f t="shared" ref="L231:L238" si="120">ROUND($J231*1.637*0.8,0)</f>
        <v>3824032</v>
      </c>
      <c r="M231" s="3">
        <f t="shared" si="97"/>
        <v>123</v>
      </c>
      <c r="N231" s="10" t="n">
        <f t="shared" ref="N231:N238" si="121">ROUND($J231*1.637*1.75*0.8,0)</f>
        <v>6692056</v>
      </c>
      <c r="O231" s="5">
        <f t="shared" si="98"/>
        <v>125</v>
      </c>
      <c r="P231" s="9" t="n">
        <f t="shared" ref="P231:P238" si="122">ROUND($J231*1.637*1.75*2.1*0.8,0)</f>
        <v>14053318</v>
      </c>
      <c r="Q231" s="3">
        <f t="shared" si="99"/>
        <v>127</v>
      </c>
      <c r="R231" s="10" t="n">
        <f t="shared" ref="R231:R238" si="123">ROUND($J231*1.637*1.75*2.1*2.3*0.542035092435954,0)</f>
        <v>21900000</v>
      </c>
      <c r="S231" s="5">
        <f t="shared" si="100"/>
        <v>129</v>
      </c>
      <c r="T231" s="9" t="n">
        <f t="shared" ref="T231:T238" si="124">ROUND($J231*1.637*1.75*2.1*2.3*2.6*0.544690061623969,0)</f>
        <v>57218901</v>
      </c>
      <c r="U231" s="3">
        <f t="shared" si="101"/>
        <v>132</v>
      </c>
      <c r="V231" s="10" t="n">
        <f t="shared" ref="V231:V238" si="125">ROUND($J231*1.637*1.75*2.1*2.3*2.6*3.2*0.547345030811984,0)</f>
        <v>183992964</v>
      </c>
      <c r="W231" s="5">
        <f t="shared" si="102"/>
        <v>136</v>
      </c>
      <c r="X231" s="9" t="n">
        <f t="shared" ref="X231:X238" si="126">ROUND($J231*1.637*1.75*2.1*2.3*2.6*3.2*4.2*0.55,0)</f>
        <v>776518875</v>
      </c>
      <c r="Y231" s="3">
        <f t="shared" si="103"/>
        <v>138</v>
      </c>
      <c r="Z231" s="10" t="n">
        <f t="shared" ref="Z231:Z238" si="127">ROUND($J231*1.637*1.75*2.1*2.3*2.6*3.2*4.2*2.4*0.55,0)</f>
        <v>1863645299</v>
      </c>
      <c r="AA231" s="5">
        <f t="shared" si="104"/>
        <v>140</v>
      </c>
      <c r="AB231" s="9" t="n">
        <f t="shared" ref="AB231:AB238" si="128">ROUND($J231*1.637*1.75*2.1*2.3*2.6*3.2*4.2*2.4*2.5*0.55,0)</f>
        <v>4659113248</v>
      </c>
      <c r="AC231" s="3">
        <f t="shared" si="105"/>
        <v>142</v>
      </c>
      <c r="AD231" s="10" t="n">
        <f t="shared" ref="AD231:AD238" si="129">ROUND($J231*1.637*1.75*2.1*2.3*2.6*3.2*4.2*2.4*2.5*2.8*0.55,0)</f>
        <v>13045517094</v>
      </c>
      <c r="AE231" s="5">
        <f t="shared" si="106"/>
        <v>145</v>
      </c>
      <c r="AF231" s="9" t="n">
        <f t="shared" ref="AF231:AF238" si="130">ROUND($J231*1.637*1.75*2.1*2.3*2.6*3.2*4.2*2.4*2.5*2.8*3.2*0.55,0)</f>
        <v>41745654701</v>
      </c>
      <c r="AG231" s="3">
        <f t="shared" si="107"/>
        <v>148</v>
      </c>
      <c r="AH231" s="10" t="n">
        <f t="shared" ref="AH231:AH238" si="131">ROUND($J231*1.637*1.75*2.1*2.3*2.6*3.2*4.2*2.4*2.5*2.8*3.2*3.8*0.55,0)</f>
        <v>158633487865</v>
      </c>
    </row>
    <row r="232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 t="n">
        <f>ROUND($J239*1.637*1,0)</f>
        <v>5893200</v>
      </c>
      <c r="M239" s="3">
        <f t="shared" si="97"/>
        <v>123</v>
      </c>
      <c r="N239" s="10" t="n">
        <f>ROUND($J239*1.637*1.75*1,0)</f>
        <v>10313100</v>
      </c>
      <c r="O239" s="5">
        <f t="shared" si="98"/>
        <v>125</v>
      </c>
      <c r="P239" s="9" t="n">
        <f>ROUND($J239*1.637*1.75*2.1*1,0)</f>
        <v>21657510</v>
      </c>
      <c r="Q239" s="3">
        <f t="shared" si="99"/>
        <v>127</v>
      </c>
      <c r="R239" s="10" t="n">
        <f>ROUND($J239*1.637*1.75*2.1*2.3*1,0)</f>
        <v>49812273</v>
      </c>
      <c r="S239" s="5">
        <f t="shared" si="100"/>
        <v>129</v>
      </c>
      <c r="T239" s="9" t="n">
        <f>ROUND($J239*1.637*1.75*2.1*2.3*2.6*1,0)</f>
        <v>129511910</v>
      </c>
      <c r="U239" s="3">
        <f t="shared" si="101"/>
        <v>132</v>
      </c>
      <c r="V239" s="10" t="n">
        <f>ROUND($J239*1.637*1.75*2.1*2.3*2.6*3.2*1,0)</f>
        <v>414438111</v>
      </c>
      <c r="W239" s="5">
        <f t="shared" si="102"/>
        <v>136</v>
      </c>
      <c r="X239" s="9" t="n">
        <f>ROUND($J239*1.637*1.75*2.1*2.3*2.6*3.2*4.2*1,0)</f>
        <v>1740640068</v>
      </c>
      <c r="Y239" s="3">
        <f t="shared" si="103"/>
        <v>138</v>
      </c>
      <c r="Z239" s="10" t="n">
        <f>ROUND($J239*1.637*1.75*2.1*2.3*2.6*3.2*4.2*2.4*1,0)</f>
        <v>4177536163</v>
      </c>
      <c r="AA239" s="5">
        <f t="shared" si="104"/>
        <v>140</v>
      </c>
      <c r="AB239" s="9" t="n">
        <f>ROUND($J239*1.637*1.75*2.1*2.3*2.6*3.2*4.2*2.4*2.5*1,0)</f>
        <v>10443840406</v>
      </c>
      <c r="AC239" s="3">
        <f t="shared" si="105"/>
        <v>142</v>
      </c>
      <c r="AD239" s="10" t="n">
        <f>ROUND($J239*1.637*1.75*2.1*2.3*2.6*3.2*4.2*2.4*2.5*2.8*1,0)</f>
        <v>29242753138</v>
      </c>
      <c r="AE239" s="5">
        <f t="shared" si="106"/>
        <v>145</v>
      </c>
      <c r="AF239" s="9" t="n">
        <f>ROUND($J239*1.637*1.75*2.1*2.3*2.6*3.2*4.2*2.4*2.5*2.8*3.2*1,0)</f>
        <v>93576810040</v>
      </c>
      <c r="AG239" s="3">
        <f t="shared" si="107"/>
        <v>148</v>
      </c>
      <c r="AH239" s="10" t="n">
        <f>ROUND($J239*1.637*1.75*2.1*2.3*2.6*3.2*4.2*2.4*2.5*2.8*3.2*3.8*1,0)</f>
        <v>355591878153</v>
      </c>
    </row>
    <row r="240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 t="n">
        <f t="shared" ref="L240:L253" si="132">ROUND($J240*1.637*0.8,0)</f>
        <v>3588304</v>
      </c>
      <c r="M240" s="3">
        <f t="shared" si="97"/>
        <v>123</v>
      </c>
      <c r="N240" s="10" t="n">
        <f t="shared" ref="N240:N253" si="133">ROUND($J240*1.637*1.75*0.8,0)</f>
        <v>6279532</v>
      </c>
      <c r="O240" s="5">
        <f t="shared" si="98"/>
        <v>125</v>
      </c>
      <c r="P240" s="9" t="n">
        <f t="shared" ref="P240:P253" si="134">ROUND($J240*1.637*1.75*2.1*0.8,0)</f>
        <v>13187017</v>
      </c>
      <c r="Q240" s="3">
        <f t="shared" si="99"/>
        <v>127</v>
      </c>
      <c r="R240" s="10" t="n">
        <f t="shared" ref="R240:R253" si="135">ROUND($J240*1.637*1.75*2.1*2.3*0.542035092435954,0)</f>
        <v>20550000</v>
      </c>
      <c r="S240" s="5">
        <f t="shared" si="100"/>
        <v>129</v>
      </c>
      <c r="T240" s="9" t="n">
        <f t="shared" ref="T240:T253" si="136">ROUND($J240*1.637*1.75*2.1*2.3*2.6*0.544690061623969,0)</f>
        <v>53691708</v>
      </c>
      <c r="U240" s="3">
        <f t="shared" si="101"/>
        <v>132</v>
      </c>
      <c r="V240" s="10" t="n">
        <f t="shared" ref="V240:V253" si="137">ROUND($J240*1.637*1.75*2.1*2.3*2.6*3.2*0.547345030811984,0)</f>
        <v>172650932</v>
      </c>
      <c r="W240" s="5">
        <f t="shared" si="102"/>
        <v>136</v>
      </c>
      <c r="X240" s="9" t="n">
        <f t="shared" ref="X240:X253" si="138">ROUND($J240*1.637*1.75*2.1*2.3*2.6*3.2*4.2*0.55,0)</f>
        <v>728651273</v>
      </c>
      <c r="Y240" s="3">
        <f t="shared" si="103"/>
        <v>138</v>
      </c>
      <c r="Z240" s="10" t="n">
        <f t="shared" ref="Z240:Z253" si="139">ROUND($J240*1.637*1.75*2.1*2.3*2.6*3.2*4.2*2.4*0.55,0)</f>
        <v>1748763055</v>
      </c>
      <c r="AA240" s="5">
        <f t="shared" si="104"/>
        <v>140</v>
      </c>
      <c r="AB240" s="9" t="n">
        <f t="shared" ref="AB240:AB253" si="140">ROUND($J240*1.637*1.75*2.1*2.3*2.6*3.2*4.2*2.4*2.5*0.55,0)</f>
        <v>4371907637</v>
      </c>
      <c r="AC240" s="3">
        <f t="shared" si="105"/>
        <v>142</v>
      </c>
      <c r="AD240" s="10" t="n">
        <f t="shared" ref="AD240:AD253" si="141">ROUND($J240*1.637*1.75*2.1*2.3*2.6*3.2*4.2*2.4*2.5*2.8*0.55,0)</f>
        <v>12241341383</v>
      </c>
      <c r="AE240" s="5">
        <f t="shared" si="106"/>
        <v>145</v>
      </c>
      <c r="AF240" s="9" t="n">
        <f t="shared" ref="AF240:AF253" si="142">ROUND($J240*1.637*1.75*2.1*2.3*2.6*3.2*4.2*2.4*2.5*2.8*3.2*0.55,0)</f>
        <v>39172292425</v>
      </c>
      <c r="AG240" s="3">
        <f t="shared" si="107"/>
        <v>148</v>
      </c>
      <c r="AH240" s="10" t="n">
        <f t="shared" ref="AH240:AH253" si="143">ROUND($J240*1.637*1.75*2.1*2.3*2.6*3.2*4.2*2.4*2.5*2.8*3.2*3.8*0.55,0)</f>
        <v>148854711216</v>
      </c>
    </row>
    <row r="24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 t="n">
        <f>ROUND($J254*1.637*1,0)</f>
        <v>4419900</v>
      </c>
      <c r="M254" s="3">
        <f t="shared" si="97"/>
        <v>122</v>
      </c>
      <c r="N254" s="10" t="n">
        <f>ROUND($J254*1.637*1.75*1,0)</f>
        <v>7734825</v>
      </c>
      <c r="O254" s="5">
        <f t="shared" si="98"/>
        <v>124</v>
      </c>
      <c r="P254" s="9" t="n">
        <f>ROUND($J254*1.637*1.75*2.1*1,0)</f>
        <v>16243133</v>
      </c>
      <c r="Q254" s="3">
        <f t="shared" si="99"/>
        <v>126</v>
      </c>
      <c r="R254" s="10" t="n">
        <f>ROUND($J254*1.637*1.75*2.1*2.3*1,0)</f>
        <v>37359205</v>
      </c>
      <c r="S254" s="5">
        <f t="shared" si="100"/>
        <v>128</v>
      </c>
      <c r="T254" s="9" t="n">
        <f>ROUND($J254*1.637*1.75*2.1*2.3*2.6*1,0)</f>
        <v>97133932</v>
      </c>
      <c r="U254" s="3">
        <f t="shared" si="101"/>
        <v>131</v>
      </c>
      <c r="V254" s="10" t="n">
        <f>ROUND($J254*1.637*1.75*2.1*2.3*2.6*3.2*1,0)</f>
        <v>310828584</v>
      </c>
      <c r="W254" s="5">
        <f t="shared" si="102"/>
        <v>135</v>
      </c>
      <c r="X254" s="9" t="n">
        <f>ROUND($J254*1.637*1.75*2.1*2.3*2.6*3.2*4.2*1,0)</f>
        <v>1305480051</v>
      </c>
      <c r="Y254" s="3">
        <f t="shared" si="103"/>
        <v>137</v>
      </c>
      <c r="Z254" s="10" t="n">
        <f>ROUND($J254*1.637*1.75*2.1*2.3*2.6*3.2*4.2*2.4*1,0)</f>
        <v>3133152122</v>
      </c>
      <c r="AA254" s="5">
        <f t="shared" si="104"/>
        <v>139</v>
      </c>
      <c r="AB254" s="9" t="n">
        <f>ROUND($J254*1.637*1.75*2.1*2.3*2.6*3.2*4.2*2.4*2.5*1,0)</f>
        <v>7832880305</v>
      </c>
      <c r="AC254" s="3">
        <f t="shared" si="105"/>
        <v>141</v>
      </c>
      <c r="AD254" s="10" t="n">
        <f>ROUND($J254*1.637*1.75*2.1*2.3*2.6*3.2*4.2*2.4*2.5*2.8*1,0)</f>
        <v>21932064853</v>
      </c>
      <c r="AE254" s="5">
        <f t="shared" si="106"/>
        <v>144</v>
      </c>
      <c r="AF254" s="9" t="n">
        <f>ROUND($J254*1.637*1.75*2.1*2.3*2.6*3.2*4.2*2.4*2.5*2.8*3.2*1,0)</f>
        <v>70182607530</v>
      </c>
      <c r="AG254" s="3">
        <f t="shared" si="107"/>
        <v>147</v>
      </c>
      <c r="AH254" s="10" t="n">
        <f>ROUND($J254*1.637*1.75*2.1*2.3*2.6*3.2*4.2*2.4*2.5*2.8*3.2*3.8*1,0)</f>
        <v>266693908615</v>
      </c>
    </row>
    <row r="255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 t="n">
        <f t="shared" ref="L255:L262" si="144">ROUND($J255*1.637*0.8,0)</f>
        <v>3535920</v>
      </c>
      <c r="M255" s="3">
        <f t="shared" si="97"/>
        <v>122</v>
      </c>
      <c r="N255" s="10" t="n">
        <f t="shared" ref="N255:N262" si="145">ROUND($J255*1.637*1.75*0.8,0)</f>
        <v>6187860</v>
      </c>
      <c r="O255" s="5">
        <f t="shared" si="98"/>
        <v>124</v>
      </c>
      <c r="P255" s="9" t="n">
        <f t="shared" ref="P255:P262" si="146">ROUND($J255*1.637*1.75*2.1*0.8,0)</f>
        <v>12994506</v>
      </c>
      <c r="Q255" s="3">
        <f t="shared" si="99"/>
        <v>126</v>
      </c>
      <c r="R255" s="10" t="n">
        <f t="shared" ref="R255:R262" si="147">ROUND($J255*1.637*1.75*2.1*2.3*0.542035092435954,0)</f>
        <v>20250000</v>
      </c>
      <c r="S255" s="5">
        <f t="shared" si="100"/>
        <v>128</v>
      </c>
      <c r="T255" s="9" t="n">
        <f t="shared" ref="T255:T262" si="148">ROUND($J255*1.637*1.75*2.1*2.3*2.6*0.544690061623969,0)</f>
        <v>52907888</v>
      </c>
      <c r="U255" s="3">
        <f t="shared" si="101"/>
        <v>131</v>
      </c>
      <c r="V255" s="10" t="n">
        <f t="shared" ref="V255:V262" si="149">ROUND($J255*1.637*1.75*2.1*2.3*2.6*3.2*0.547345030811984,0)</f>
        <v>170130481</v>
      </c>
      <c r="W255" s="5">
        <f t="shared" si="102"/>
        <v>135</v>
      </c>
      <c r="X255" s="9" t="n">
        <f t="shared" ref="X255:X262" si="150">ROUND($J255*1.637*1.75*2.1*2.3*2.6*3.2*4.2*0.55,0)</f>
        <v>718014028</v>
      </c>
      <c r="Y255" s="3">
        <f t="shared" si="103"/>
        <v>137</v>
      </c>
      <c r="Z255" s="10" t="n">
        <f t="shared" ref="Z255:Z262" si="151">ROUND($J255*1.637*1.75*2.1*2.3*2.6*3.2*4.2*2.4*0.55,0)</f>
        <v>1723233667</v>
      </c>
      <c r="AA255" s="5">
        <f t="shared" si="104"/>
        <v>139</v>
      </c>
      <c r="AB255" s="9" t="n">
        <f t="shared" ref="AB255:AB262" si="152">ROUND($J255*1.637*1.75*2.1*2.3*2.6*3.2*4.2*2.4*2.5*0.55,0)</f>
        <v>4308084168</v>
      </c>
      <c r="AC255" s="3">
        <f t="shared" si="105"/>
        <v>141</v>
      </c>
      <c r="AD255" s="10" t="n">
        <f t="shared" ref="AD255:AD262" si="153">ROUND($J255*1.637*1.75*2.1*2.3*2.6*3.2*4.2*2.4*2.5*2.8*0.55,0)</f>
        <v>12062635669</v>
      </c>
      <c r="AE255" s="5">
        <f t="shared" si="106"/>
        <v>144</v>
      </c>
      <c r="AF255" s="9" t="n">
        <f t="shared" ref="AF255:AF262" si="154">ROUND($J255*1.637*1.75*2.1*2.3*2.6*3.2*4.2*2.4*2.5*2.8*3.2*0.55,0)</f>
        <v>38600434142</v>
      </c>
      <c r="AG255" s="3">
        <f t="shared" si="107"/>
        <v>147</v>
      </c>
      <c r="AH255" s="10" t="n">
        <f t="shared" ref="AH255:AH262" si="155">ROUND($J255*1.637*1.75*2.1*2.3*2.6*3.2*4.2*2.4*2.5*2.8*3.2*3.8*0.55,0)</f>
        <v>146681649738</v>
      </c>
    </row>
    <row r="256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 t="n">
        <f t="shared" ref="K259:K312" si="156">$E259+1</f>
        <v>121</v>
      </c>
      <c r="L259" s="9">
        <f t="shared" si="144"/>
        <v>3012080</v>
      </c>
      <c r="M259" s="3" t="n">
        <f t="shared" ref="M259:M312" si="157">$E259+2</f>
        <v>122</v>
      </c>
      <c r="N259" s="10">
        <f t="shared" si="145"/>
        <v>5271140</v>
      </c>
      <c r="O259" s="5" t="n">
        <f t="shared" ref="O259:O312" si="158">$E259+4</f>
        <v>124</v>
      </c>
      <c r="P259" s="9">
        <f t="shared" si="146"/>
        <v>11069394</v>
      </c>
      <c r="Q259" s="3" t="n">
        <f t="shared" ref="Q259:Q312" si="159">$E259+6</f>
        <v>126</v>
      </c>
      <c r="R259" s="10">
        <f t="shared" si="147"/>
        <v>17250000</v>
      </c>
      <c r="S259" s="5" t="n">
        <f t="shared" ref="S259:S312" si="160">$E259+8</f>
        <v>128</v>
      </c>
      <c r="T259" s="9">
        <f t="shared" si="148"/>
        <v>45069682</v>
      </c>
      <c r="U259" s="3" t="n">
        <f t="shared" ref="U259:U312" si="161">$E259+11</f>
        <v>131</v>
      </c>
      <c r="V259" s="10">
        <f t="shared" si="149"/>
        <v>144925965</v>
      </c>
      <c r="W259" s="5" t="n">
        <f t="shared" ref="W259:W312" si="162">$E259+15</f>
        <v>135</v>
      </c>
      <c r="X259" s="9">
        <f t="shared" si="150"/>
        <v>611641579</v>
      </c>
      <c r="Y259" s="3" t="n">
        <f t="shared" ref="Y259:Y312" si="163">$E259+17</f>
        <v>137</v>
      </c>
      <c r="Z259" s="10">
        <f t="shared" si="151"/>
        <v>1467939790</v>
      </c>
      <c r="AA259" s="5" t="n">
        <f t="shared" ref="AA259:AA312" si="164">$E259+19</f>
        <v>139</v>
      </c>
      <c r="AB259" s="9">
        <f t="shared" si="152"/>
        <v>3669849476</v>
      </c>
      <c r="AC259" s="3" t="n">
        <f t="shared" ref="AC259:AC312" si="165">$E259+21</f>
        <v>141</v>
      </c>
      <c r="AD259" s="10">
        <f t="shared" si="153"/>
        <v>10275578533</v>
      </c>
      <c r="AE259" s="5" t="n">
        <f t="shared" ref="AE259:AE312" si="166">$E259+24</f>
        <v>144</v>
      </c>
      <c r="AF259" s="9">
        <f t="shared" si="154"/>
        <v>32881851306</v>
      </c>
      <c r="AG259" s="3" t="n">
        <f t="shared" ref="AG259:AG312" si="167">$E259+27</f>
        <v>147</v>
      </c>
      <c r="AH259" s="10">
        <f t="shared" si="155"/>
        <v>124951034962</v>
      </c>
    </row>
    <row r="260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 t="n">
        <f>ROUND($J263*1.637*1,0)</f>
        <v>3274000</v>
      </c>
      <c r="M263" s="3">
        <f t="shared" si="157"/>
        <v>122</v>
      </c>
      <c r="N263" s="10" t="n">
        <f>ROUND($J263*1.637*1.75*1,0)</f>
        <v>5729500</v>
      </c>
      <c r="O263" s="5">
        <f t="shared" si="158"/>
        <v>124</v>
      </c>
      <c r="P263" s="9" t="n">
        <f>ROUND($J263*1.637*1.75*2.1*1,0)</f>
        <v>12031950</v>
      </c>
      <c r="Q263" s="3">
        <f t="shared" si="159"/>
        <v>126</v>
      </c>
      <c r="R263" s="10" t="n">
        <f>ROUND($J263*1.637*1.75*2.1*2.3*1,0)</f>
        <v>27673485</v>
      </c>
      <c r="S263" s="5">
        <f t="shared" si="160"/>
        <v>128</v>
      </c>
      <c r="T263" s="9" t="n">
        <f>ROUND($J263*1.637*1.75*2.1*2.3*2.6*1,0)</f>
        <v>71951061</v>
      </c>
      <c r="U263" s="3">
        <f t="shared" si="161"/>
        <v>131</v>
      </c>
      <c r="V263" s="10" t="n">
        <f>ROUND($J263*1.637*1.75*2.1*2.3*2.6*3.2*1,0)</f>
        <v>230243395</v>
      </c>
      <c r="W263" s="5">
        <f t="shared" si="162"/>
        <v>135</v>
      </c>
      <c r="X263" s="9" t="n">
        <f>ROUND($J263*1.637*1.75*2.1*2.3*2.6*3.2*4.2*1,0)</f>
        <v>967022260</v>
      </c>
      <c r="Y263" s="3">
        <f t="shared" si="163"/>
        <v>137</v>
      </c>
      <c r="Z263" s="10" t="n">
        <f>ROUND($J263*1.637*1.75*2.1*2.3*2.6*3.2*4.2*2.4*1,0)</f>
        <v>2320853424</v>
      </c>
      <c r="AA263" s="5">
        <f t="shared" si="164"/>
        <v>139</v>
      </c>
      <c r="AB263" s="9" t="n">
        <f>ROUND($J263*1.637*1.75*2.1*2.3*2.6*3.2*4.2*2.4*2.5*1,0)</f>
        <v>5802133559</v>
      </c>
      <c r="AC263" s="3">
        <f t="shared" si="165"/>
        <v>141</v>
      </c>
      <c r="AD263" s="10" t="n">
        <f>ROUND($J263*1.637*1.75*2.1*2.3*2.6*3.2*4.2*2.4*2.5*2.8*1,0)</f>
        <v>16245973965</v>
      </c>
      <c r="AE263" s="5">
        <f t="shared" si="166"/>
        <v>144</v>
      </c>
      <c r="AF263" s="9" t="n">
        <f>ROUND($J263*1.637*1.75*2.1*2.3*2.6*3.2*4.2*2.4*2.5*2.8*3.2*1,0)</f>
        <v>51987116689</v>
      </c>
      <c r="AG263" s="3">
        <f t="shared" si="167"/>
        <v>147</v>
      </c>
      <c r="AH263" s="10" t="n">
        <f>ROUND($J263*1.637*1.75*2.1*2.3*2.6*3.2*4.2*2.4*2.5*2.8*3.2*3.8*1,0)</f>
        <v>197551043418</v>
      </c>
    </row>
    <row r="264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 t="n">
        <f>ROUND($J264*1.637*0.8,0)</f>
        <v>2619200</v>
      </c>
      <c r="M264" s="3">
        <f t="shared" si="157"/>
        <v>122</v>
      </c>
      <c r="N264" s="10" t="n">
        <f>ROUND($J264*1.637*1.75*0.8,0)</f>
        <v>4583600</v>
      </c>
      <c r="O264" s="5">
        <f t="shared" si="158"/>
        <v>124</v>
      </c>
      <c r="P264" s="9" t="n">
        <f>ROUND($J264*1.637*1.75*2.1*0.8,0)</f>
        <v>9625560</v>
      </c>
      <c r="Q264" s="3">
        <f t="shared" si="159"/>
        <v>126</v>
      </c>
      <c r="R264" s="10" t="n">
        <f>ROUND($J264*1.637*1.75*2.1*2.3*0.542035092435954,0)</f>
        <v>15000000</v>
      </c>
      <c r="S264" s="5">
        <f t="shared" si="160"/>
        <v>128</v>
      </c>
      <c r="T264" s="9" t="n">
        <f>ROUND($J264*1.637*1.75*2.1*2.3*2.6*0.544690061623969,0)</f>
        <v>39191028</v>
      </c>
      <c r="U264" s="3">
        <f t="shared" si="161"/>
        <v>131</v>
      </c>
      <c r="V264" s="10" t="n">
        <f>ROUND($J264*1.637*1.75*2.1*2.3*2.6*3.2*0.547345030811984,0)</f>
        <v>126022578</v>
      </c>
      <c r="W264" s="5">
        <f t="shared" si="162"/>
        <v>135</v>
      </c>
      <c r="X264" s="9" t="n">
        <f>ROUND($J264*1.637*1.75*2.1*2.3*2.6*3.2*4.2*0.55,0)</f>
        <v>531862243</v>
      </c>
      <c r="Y264" s="3">
        <f t="shared" si="163"/>
        <v>137</v>
      </c>
      <c r="Z264" s="10" t="n">
        <f>ROUND($J264*1.637*1.75*2.1*2.3*2.6*3.2*4.2*2.4*0.55,0)</f>
        <v>1276469383</v>
      </c>
      <c r="AA264" s="5">
        <f t="shared" si="164"/>
        <v>139</v>
      </c>
      <c r="AB264" s="9" t="n">
        <f>ROUND($J264*1.637*1.75*2.1*2.3*2.6*3.2*4.2*2.4*2.5*0.55,0)</f>
        <v>3191173457</v>
      </c>
      <c r="AC264" s="3">
        <f t="shared" si="165"/>
        <v>141</v>
      </c>
      <c r="AD264" s="10" t="n">
        <f>ROUND($J264*1.637*1.75*2.1*2.3*2.6*3.2*4.2*2.4*2.5*2.8*0.55,0)</f>
        <v>8935285681</v>
      </c>
      <c r="AE264" s="5">
        <f t="shared" si="166"/>
        <v>144</v>
      </c>
      <c r="AF264" s="9" t="n">
        <f>ROUND($J264*1.637*1.75*2.1*2.3*2.6*3.2*4.2*2.4*2.5*2.8*3.2*0.55,0)</f>
        <v>28592914179</v>
      </c>
      <c r="AG264" s="3">
        <f t="shared" si="167"/>
        <v>147</v>
      </c>
      <c r="AH264" s="10" t="n">
        <f>ROUND($J264*1.637*1.75*2.1*2.3*2.6*3.2*4.2*2.4*2.5*2.8*3.2*3.8*0.55,0)</f>
        <v>108653073880</v>
      </c>
    </row>
    <row r="265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 t="n">
        <f>ROUND($J265*1.637*1,0)</f>
        <v>3274000</v>
      </c>
      <c r="M265" s="3">
        <f t="shared" si="157"/>
        <v>122</v>
      </c>
      <c r="N265" s="10" t="n">
        <f>ROUND($J265*1.637*1.75*1,0)</f>
        <v>5729500</v>
      </c>
      <c r="O265" s="5">
        <f t="shared" si="158"/>
        <v>124</v>
      </c>
      <c r="P265" s="9" t="n">
        <f>ROUND($J265*1.637*1.75*2.1*1,0)</f>
        <v>12031950</v>
      </c>
      <c r="Q265" s="3">
        <f t="shared" si="159"/>
        <v>126</v>
      </c>
      <c r="R265" s="10" t="n">
        <f>ROUND($J265*1.637*1.75*2.1*2.3*1,0)</f>
        <v>27673485</v>
      </c>
      <c r="S265" s="5">
        <f t="shared" si="160"/>
        <v>128</v>
      </c>
      <c r="T265" s="9" t="n">
        <f>ROUND($J265*1.637*1.75*2.1*2.3*2.6*1,0)</f>
        <v>71951061</v>
      </c>
      <c r="U265" s="3">
        <f t="shared" si="161"/>
        <v>131</v>
      </c>
      <c r="V265" s="10" t="n">
        <f>ROUND($J265*1.637*1.75*2.1*2.3*2.6*3.2*1,0)</f>
        <v>230243395</v>
      </c>
      <c r="W265" s="5">
        <f t="shared" si="162"/>
        <v>135</v>
      </c>
      <c r="X265" s="9" t="n">
        <f>ROUND($J265*1.637*1.75*2.1*2.3*2.6*3.2*4.2*1,0)</f>
        <v>967022260</v>
      </c>
      <c r="Y265" s="3">
        <f t="shared" si="163"/>
        <v>137</v>
      </c>
      <c r="Z265" s="10" t="n">
        <f>ROUND($J265*1.637*1.75*2.1*2.3*2.6*3.2*4.2*2.4*1,0)</f>
        <v>2320853424</v>
      </c>
      <c r="AA265" s="5">
        <f t="shared" si="164"/>
        <v>139</v>
      </c>
      <c r="AB265" s="9" t="n">
        <f>ROUND($J265*1.637*1.75*2.1*2.3*2.6*3.2*4.2*2.4*2.5*1,0)</f>
        <v>5802133559</v>
      </c>
      <c r="AC265" s="3">
        <f t="shared" si="165"/>
        <v>141</v>
      </c>
      <c r="AD265" s="10" t="n">
        <f>ROUND($J265*1.637*1.75*2.1*2.3*2.6*3.2*4.2*2.4*2.5*2.8*1,0)</f>
        <v>16245973965</v>
      </c>
      <c r="AE265" s="5">
        <f t="shared" si="166"/>
        <v>144</v>
      </c>
      <c r="AF265" s="9" t="n">
        <f>ROUND($J265*1.637*1.75*2.1*2.3*2.6*3.2*4.2*2.4*2.5*2.8*3.2*1,0)</f>
        <v>51987116689</v>
      </c>
      <c r="AG265" s="3">
        <f t="shared" si="167"/>
        <v>147</v>
      </c>
      <c r="AH265" s="10" t="n">
        <f>ROUND($J265*1.637*1.75*2.1*2.3*2.6*3.2*4.2*2.4*2.5*2.8*3.2*3.8*1,0)</f>
        <v>197551043418</v>
      </c>
    </row>
    <row r="266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 t="n">
        <f>ROUND($J266*1.637*0.8,0)</f>
        <v>2619200</v>
      </c>
      <c r="M266" s="3">
        <f t="shared" si="157"/>
        <v>122</v>
      </c>
      <c r="N266" s="10" t="n">
        <f>ROUND($J266*1.637*1.75*0.8,0)</f>
        <v>4583600</v>
      </c>
      <c r="O266" s="5">
        <f t="shared" si="158"/>
        <v>124</v>
      </c>
      <c r="P266" s="9" t="n">
        <f>ROUND($J266*1.637*1.75*2.1*0.8,0)</f>
        <v>9625560</v>
      </c>
      <c r="Q266" s="3">
        <f t="shared" si="159"/>
        <v>126</v>
      </c>
      <c r="R266" s="10" t="n">
        <f>ROUND($J266*1.637*1.75*2.1*2.3*0.542035092435954,0)</f>
        <v>15000000</v>
      </c>
      <c r="S266" s="5">
        <f t="shared" si="160"/>
        <v>128</v>
      </c>
      <c r="T266" s="9" t="n">
        <f>ROUND($J266*1.637*1.75*2.1*2.3*2.6*0.544690061623969,0)</f>
        <v>39191028</v>
      </c>
      <c r="U266" s="3">
        <f t="shared" si="161"/>
        <v>131</v>
      </c>
      <c r="V266" s="10" t="n">
        <f>ROUND($J266*1.637*1.75*2.1*2.3*2.6*3.2*0.547345030811984,0)</f>
        <v>126022578</v>
      </c>
      <c r="W266" s="5">
        <f t="shared" si="162"/>
        <v>135</v>
      </c>
      <c r="X266" s="9" t="n">
        <f>ROUND($J266*1.637*1.75*2.1*2.3*2.6*3.2*4.2*0.55,0)</f>
        <v>531862243</v>
      </c>
      <c r="Y266" s="3">
        <f t="shared" si="163"/>
        <v>137</v>
      </c>
      <c r="Z266" s="10" t="n">
        <f>ROUND($J266*1.637*1.75*2.1*2.3*2.6*3.2*4.2*2.4*0.55,0)</f>
        <v>1276469383</v>
      </c>
      <c r="AA266" s="5">
        <f t="shared" si="164"/>
        <v>139</v>
      </c>
      <c r="AB266" s="9" t="n">
        <f>ROUND($J266*1.637*1.75*2.1*2.3*2.6*3.2*4.2*2.4*2.5*0.55,0)</f>
        <v>3191173457</v>
      </c>
      <c r="AC266" s="3">
        <f t="shared" si="165"/>
        <v>141</v>
      </c>
      <c r="AD266" s="10" t="n">
        <f>ROUND($J266*1.637*1.75*2.1*2.3*2.6*3.2*4.2*2.4*2.5*2.8*0.55,0)</f>
        <v>8935285681</v>
      </c>
      <c r="AE266" s="5">
        <f t="shared" si="166"/>
        <v>144</v>
      </c>
      <c r="AF266" s="9" t="n">
        <f>ROUND($J266*1.637*1.75*2.1*2.3*2.6*3.2*4.2*2.4*2.5*2.8*3.2*0.55,0)</f>
        <v>28592914179</v>
      </c>
      <c r="AG266" s="3">
        <f t="shared" si="167"/>
        <v>147</v>
      </c>
      <c r="AH266" s="10" t="n">
        <f>ROUND($J266*1.637*1.75*2.1*2.3*2.6*3.2*4.2*2.4*2.5*2.8*3.2*3.8*0.55,0)</f>
        <v>108653073880</v>
      </c>
    </row>
    <row r="267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 t="n">
        <f>ROUND($J267*1.637*0.8,0)</f>
        <v>2619200</v>
      </c>
      <c r="M267" s="3">
        <f t="shared" si="157"/>
        <v>122</v>
      </c>
      <c r="N267" s="10" t="n">
        <f>ROUND($J267*1.637*1.75*0.8,0)</f>
        <v>4583600</v>
      </c>
      <c r="O267" s="5">
        <f t="shared" si="158"/>
        <v>124</v>
      </c>
      <c r="P267" s="9" t="n">
        <f>ROUND($J267*1.637*1.75*2.1*0.8,0)</f>
        <v>9625560</v>
      </c>
      <c r="Q267" s="3">
        <f t="shared" si="159"/>
        <v>126</v>
      </c>
      <c r="R267" s="10" t="n">
        <f>ROUND($J267*1.637*1.75*2.1*2.3*0.542035092435954,0)</f>
        <v>15000000</v>
      </c>
      <c r="S267" s="5">
        <f t="shared" si="160"/>
        <v>128</v>
      </c>
      <c r="T267" s="9" t="n">
        <f>ROUND($J267*1.637*1.75*2.1*2.3*2.6*0.544690061623969,0)</f>
        <v>39191028</v>
      </c>
      <c r="U267" s="3">
        <f t="shared" si="161"/>
        <v>131</v>
      </c>
      <c r="V267" s="10" t="n">
        <f>ROUND($J267*1.637*1.75*2.1*2.3*2.6*3.2*0.547345030811984,0)</f>
        <v>126022578</v>
      </c>
      <c r="W267" s="5">
        <f t="shared" si="162"/>
        <v>135</v>
      </c>
      <c r="X267" s="9" t="n">
        <f>ROUND($J267*1.637*1.75*2.1*2.3*2.6*3.2*4.2*0.55,0)</f>
        <v>531862243</v>
      </c>
      <c r="Y267" s="3">
        <f t="shared" si="163"/>
        <v>137</v>
      </c>
      <c r="Z267" s="10" t="n">
        <f>ROUND($J267*1.637*1.75*2.1*2.3*2.6*3.2*4.2*2.4*0.55,0)</f>
        <v>1276469383</v>
      </c>
      <c r="AA267" s="5">
        <f t="shared" si="164"/>
        <v>139</v>
      </c>
      <c r="AB267" s="9" t="n">
        <f>ROUND($J267*1.637*1.75*2.1*2.3*2.6*3.2*4.2*2.4*2.5*0.55,0)</f>
        <v>3191173457</v>
      </c>
      <c r="AC267" s="3">
        <f t="shared" si="165"/>
        <v>141</v>
      </c>
      <c r="AD267" s="10" t="n">
        <f>ROUND($J267*1.637*1.75*2.1*2.3*2.6*3.2*4.2*2.4*2.5*2.8*0.55,0)</f>
        <v>8935285681</v>
      </c>
      <c r="AE267" s="5">
        <f t="shared" si="166"/>
        <v>144</v>
      </c>
      <c r="AF267" s="9" t="n">
        <f>ROUND($J267*1.637*1.75*2.1*2.3*2.6*3.2*4.2*2.4*2.5*2.8*3.2*0.55,0)</f>
        <v>28592914179</v>
      </c>
      <c r="AG267" s="3">
        <f t="shared" si="167"/>
        <v>147</v>
      </c>
      <c r="AH267" s="10" t="n">
        <f>ROUND($J267*1.637*1.75*2.1*2.3*2.6*3.2*4.2*2.4*2.5*2.8*3.2*3.8*0.55,0)</f>
        <v>108653073880</v>
      </c>
    </row>
    <row r="268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 t="n">
        <f>ROUND($J268*1.637*0.8,0)</f>
        <v>2619200</v>
      </c>
      <c r="M268" s="3">
        <f t="shared" si="157"/>
        <v>122</v>
      </c>
      <c r="N268" s="10" t="n">
        <f>ROUND($J268*1.637*1.75*0.8,0)</f>
        <v>4583600</v>
      </c>
      <c r="O268" s="5">
        <f t="shared" si="158"/>
        <v>124</v>
      </c>
      <c r="P268" s="9" t="n">
        <f>ROUND($J268*1.637*1.75*2.1*0.8,0)</f>
        <v>9625560</v>
      </c>
      <c r="Q268" s="3">
        <f t="shared" si="159"/>
        <v>126</v>
      </c>
      <c r="R268" s="10" t="n">
        <f>ROUND($J268*1.637*1.75*2.1*2.3*0.542035092435954,0)</f>
        <v>15000000</v>
      </c>
      <c r="S268" s="5">
        <f t="shared" si="160"/>
        <v>128</v>
      </c>
      <c r="T268" s="9" t="n">
        <f>ROUND($J268*1.637*1.75*2.1*2.3*2.6*0.544690061623969,0)</f>
        <v>39191028</v>
      </c>
      <c r="U268" s="3">
        <f t="shared" si="161"/>
        <v>131</v>
      </c>
      <c r="V268" s="10" t="n">
        <f>ROUND($J268*1.637*1.75*2.1*2.3*2.6*3.2*0.547345030811984,0)</f>
        <v>126022578</v>
      </c>
      <c r="W268" s="5">
        <f t="shared" si="162"/>
        <v>135</v>
      </c>
      <c r="X268" s="9" t="n">
        <f>ROUND($J268*1.637*1.75*2.1*2.3*2.6*3.2*4.2*0.55,0)</f>
        <v>531862243</v>
      </c>
      <c r="Y268" s="3">
        <f t="shared" si="163"/>
        <v>137</v>
      </c>
      <c r="Z268" s="10" t="n">
        <f>ROUND($J268*1.637*1.75*2.1*2.3*2.6*3.2*4.2*2.4*0.55,0)</f>
        <v>1276469383</v>
      </c>
      <c r="AA268" s="5">
        <f t="shared" si="164"/>
        <v>139</v>
      </c>
      <c r="AB268" s="9" t="n">
        <f>ROUND($J268*1.637*1.75*2.1*2.3*2.6*3.2*4.2*2.4*2.5*0.55,0)</f>
        <v>3191173457</v>
      </c>
      <c r="AC268" s="3">
        <f t="shared" si="165"/>
        <v>141</v>
      </c>
      <c r="AD268" s="10" t="n">
        <f>ROUND($J268*1.637*1.75*2.1*2.3*2.6*3.2*4.2*2.4*2.5*2.8*0.55,0)</f>
        <v>8935285681</v>
      </c>
      <c r="AE268" s="5">
        <f t="shared" si="166"/>
        <v>144</v>
      </c>
      <c r="AF268" s="9" t="n">
        <f>ROUND($J268*1.637*1.75*2.1*2.3*2.6*3.2*4.2*2.4*2.5*2.8*3.2*0.55,0)</f>
        <v>28592914179</v>
      </c>
      <c r="AG268" s="3">
        <f t="shared" si="167"/>
        <v>147</v>
      </c>
      <c r="AH268" s="10" t="n">
        <f>ROUND($J268*1.637*1.75*2.1*2.3*2.6*3.2*4.2*2.4*2.5*2.8*3.2*3.8*0.55,0)</f>
        <v>108653073880</v>
      </c>
    </row>
    <row r="269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 t="n">
        <f>ROUND($J269*1.637*0.8,0)</f>
        <v>2619200</v>
      </c>
      <c r="M269" s="3">
        <f t="shared" si="157"/>
        <v>122</v>
      </c>
      <c r="N269" s="10" t="n">
        <f>ROUND($J269*1.637*1.75*0.8,0)</f>
        <v>4583600</v>
      </c>
      <c r="O269" s="5">
        <f t="shared" si="158"/>
        <v>124</v>
      </c>
      <c r="P269" s="9" t="n">
        <f>ROUND($J269*1.637*1.75*2.1*0.8,0)</f>
        <v>9625560</v>
      </c>
      <c r="Q269" s="3">
        <f t="shared" si="159"/>
        <v>126</v>
      </c>
      <c r="R269" s="10" t="n">
        <f>ROUND($J269*1.637*1.75*2.1*2.3*0.542035092435954,0)</f>
        <v>15000000</v>
      </c>
      <c r="S269" s="5">
        <f t="shared" si="160"/>
        <v>128</v>
      </c>
      <c r="T269" s="9" t="n">
        <f>ROUND($J269*1.637*1.75*2.1*2.3*2.6*0.544690061623969,0)</f>
        <v>39191028</v>
      </c>
      <c r="U269" s="3">
        <f t="shared" si="161"/>
        <v>131</v>
      </c>
      <c r="V269" s="10" t="n">
        <f>ROUND($J269*1.637*1.75*2.1*2.3*2.6*3.2*0.547345030811984,0)</f>
        <v>126022578</v>
      </c>
      <c r="W269" s="5">
        <f t="shared" si="162"/>
        <v>135</v>
      </c>
      <c r="X269" s="9" t="n">
        <f>ROUND($J269*1.637*1.75*2.1*2.3*2.6*3.2*4.2*0.55,0)</f>
        <v>531862243</v>
      </c>
      <c r="Y269" s="3">
        <f t="shared" si="163"/>
        <v>137</v>
      </c>
      <c r="Z269" s="10" t="n">
        <f>ROUND($J269*1.637*1.75*2.1*2.3*2.6*3.2*4.2*2.4*0.55,0)</f>
        <v>1276469383</v>
      </c>
      <c r="AA269" s="5">
        <f t="shared" si="164"/>
        <v>139</v>
      </c>
      <c r="AB269" s="9" t="n">
        <f>ROUND($J269*1.637*1.75*2.1*2.3*2.6*3.2*4.2*2.4*2.5*0.55,0)</f>
        <v>3191173457</v>
      </c>
      <c r="AC269" s="3">
        <f t="shared" si="165"/>
        <v>141</v>
      </c>
      <c r="AD269" s="10" t="n">
        <f>ROUND($J269*1.637*1.75*2.1*2.3*2.6*3.2*4.2*2.4*2.5*2.8*0.55,0)</f>
        <v>8935285681</v>
      </c>
      <c r="AE269" s="5">
        <f t="shared" si="166"/>
        <v>144</v>
      </c>
      <c r="AF269" s="9" t="n">
        <f>ROUND($J269*1.637*1.75*2.1*2.3*2.6*3.2*4.2*2.4*2.5*2.8*3.2*0.55,0)</f>
        <v>28592914179</v>
      </c>
      <c r="AG269" s="3">
        <f t="shared" si="167"/>
        <v>147</v>
      </c>
      <c r="AH269" s="10" t="n">
        <f>ROUND($J269*1.637*1.75*2.1*2.3*2.6*3.2*4.2*2.4*2.5*2.8*3.2*3.8*0.55,0)</f>
        <v>108653073880</v>
      </c>
    </row>
    <row r="270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 t="n">
        <f>ROUND($J270*1.637*0.8,0)</f>
        <v>2619200</v>
      </c>
      <c r="M270" s="3">
        <f t="shared" si="157"/>
        <v>122</v>
      </c>
      <c r="N270" s="10" t="n">
        <f>ROUND($J270*1.637*1.75*0.8,0)</f>
        <v>4583600</v>
      </c>
      <c r="O270" s="5">
        <f t="shared" si="158"/>
        <v>124</v>
      </c>
      <c r="P270" s="9" t="n">
        <f>ROUND($J270*1.637*1.75*2.1*0.8,0)</f>
        <v>9625560</v>
      </c>
      <c r="Q270" s="3">
        <f t="shared" si="159"/>
        <v>126</v>
      </c>
      <c r="R270" s="10" t="n">
        <f>ROUND($J270*1.637*1.75*2.1*2.3*0.542035092435954,0)</f>
        <v>15000000</v>
      </c>
      <c r="S270" s="5">
        <f t="shared" si="160"/>
        <v>128</v>
      </c>
      <c r="T270" s="9" t="n">
        <f>ROUND($J270*1.637*1.75*2.1*2.3*2.6*0.544690061623969,0)</f>
        <v>39191028</v>
      </c>
      <c r="U270" s="3">
        <f t="shared" si="161"/>
        <v>131</v>
      </c>
      <c r="V270" s="10" t="n">
        <f>ROUND($J270*1.637*1.75*2.1*2.3*2.6*3.2*0.547345030811984,0)</f>
        <v>126022578</v>
      </c>
      <c r="W270" s="5">
        <f t="shared" si="162"/>
        <v>135</v>
      </c>
      <c r="X270" s="9" t="n">
        <f>ROUND($J270*1.637*1.75*2.1*2.3*2.6*3.2*4.2*0.55,0)</f>
        <v>531862243</v>
      </c>
      <c r="Y270" s="3">
        <f t="shared" si="163"/>
        <v>137</v>
      </c>
      <c r="Z270" s="10" t="n">
        <f>ROUND($J270*1.637*1.75*2.1*2.3*2.6*3.2*4.2*2.4*0.55,0)</f>
        <v>1276469383</v>
      </c>
      <c r="AA270" s="5">
        <f t="shared" si="164"/>
        <v>139</v>
      </c>
      <c r="AB270" s="9" t="n">
        <f>ROUND($J270*1.637*1.75*2.1*2.3*2.6*3.2*4.2*2.4*2.5*0.55,0)</f>
        <v>3191173457</v>
      </c>
      <c r="AC270" s="3">
        <f t="shared" si="165"/>
        <v>141</v>
      </c>
      <c r="AD270" s="10" t="n">
        <f>ROUND($J270*1.637*1.75*2.1*2.3*2.6*3.2*4.2*2.4*2.5*2.8*0.55,0)</f>
        <v>8935285681</v>
      </c>
      <c r="AE270" s="5">
        <f t="shared" si="166"/>
        <v>144</v>
      </c>
      <c r="AF270" s="9" t="n">
        <f>ROUND($J270*1.637*1.75*2.1*2.3*2.6*3.2*4.2*2.4*2.5*2.8*3.2*0.55,0)</f>
        <v>28592914179</v>
      </c>
      <c r="AG270" s="3">
        <f t="shared" si="167"/>
        <v>147</v>
      </c>
      <c r="AH270" s="10" t="n">
        <f>ROUND($J270*1.637*1.75*2.1*2.3*2.6*3.2*4.2*2.4*2.5*2.8*3.2*3.8*0.55,0)</f>
        <v>108653073880</v>
      </c>
    </row>
    <row r="27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 t="n">
        <f>ROUND($J271*1.637*1,0)</f>
        <v>3274000</v>
      </c>
      <c r="M271" s="3">
        <f t="shared" si="157"/>
        <v>122</v>
      </c>
      <c r="N271" s="10" t="n">
        <f>ROUND($J271*1.637*1.75*1,0)</f>
        <v>5729500</v>
      </c>
      <c r="O271" s="5">
        <f t="shared" si="158"/>
        <v>124</v>
      </c>
      <c r="P271" s="9" t="n">
        <f>ROUND($J271*1.637*1.75*2.1*1,0)</f>
        <v>12031950</v>
      </c>
      <c r="Q271" s="3">
        <f t="shared" si="159"/>
        <v>126</v>
      </c>
      <c r="R271" s="10" t="n">
        <f>ROUND($J271*1.637*1.75*2.1*2.3*1,0)</f>
        <v>27673485</v>
      </c>
      <c r="S271" s="5">
        <f t="shared" si="160"/>
        <v>128</v>
      </c>
      <c r="T271" s="9" t="n">
        <f>ROUND($J271*1.637*1.75*2.1*2.3*2.6*1,0)</f>
        <v>71951061</v>
      </c>
      <c r="U271" s="3">
        <f t="shared" si="161"/>
        <v>131</v>
      </c>
      <c r="V271" s="10" t="n">
        <f>ROUND($J271*1.637*1.75*2.1*2.3*2.6*3.2*1,0)</f>
        <v>230243395</v>
      </c>
      <c r="W271" s="5">
        <f t="shared" si="162"/>
        <v>135</v>
      </c>
      <c r="X271" s="9" t="n">
        <f>ROUND($J271*1.637*1.75*2.1*2.3*2.6*3.2*4.2*1,0)</f>
        <v>967022260</v>
      </c>
      <c r="Y271" s="3">
        <f t="shared" si="163"/>
        <v>137</v>
      </c>
      <c r="Z271" s="10" t="n">
        <f>ROUND($J271*1.637*1.75*2.1*2.3*2.6*3.2*4.2*2.4*1,0)</f>
        <v>2320853424</v>
      </c>
      <c r="AA271" s="5">
        <f t="shared" si="164"/>
        <v>139</v>
      </c>
      <c r="AB271" s="9" t="n">
        <f>ROUND($J271*1.637*1.75*2.1*2.3*2.6*3.2*4.2*2.4*2.5*1,0)</f>
        <v>5802133559</v>
      </c>
      <c r="AC271" s="3">
        <f t="shared" si="165"/>
        <v>141</v>
      </c>
      <c r="AD271" s="10" t="n">
        <f>ROUND($J271*1.637*1.75*2.1*2.3*2.6*3.2*4.2*2.4*2.5*2.8*1,0)</f>
        <v>16245973965</v>
      </c>
      <c r="AE271" s="5">
        <f t="shared" si="166"/>
        <v>144</v>
      </c>
      <c r="AF271" s="9" t="n">
        <f>ROUND($J271*1.637*1.75*2.1*2.3*2.6*3.2*4.2*2.4*2.5*2.8*3.2*1,0)</f>
        <v>51987116689</v>
      </c>
      <c r="AG271" s="3">
        <f t="shared" si="167"/>
        <v>147</v>
      </c>
      <c r="AH271" s="10" t="n">
        <f>ROUND($J271*1.637*1.75*2.1*2.3*2.6*3.2*4.2*2.4*2.5*2.8*3.2*3.8*1,0)</f>
        <v>197551043418</v>
      </c>
    </row>
    <row r="272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 t="n">
        <f t="shared" ref="L272:L288" si="168">ROUND($J272*1.637*0.8,0)</f>
        <v>3797840</v>
      </c>
      <c r="M272" s="3">
        <f t="shared" si="157"/>
        <v>121</v>
      </c>
      <c r="N272" s="10" t="n">
        <f t="shared" ref="N272:N288" si="169">ROUND($J272*1.637*1.75*0.8,0)</f>
        <v>6646220</v>
      </c>
      <c r="O272" s="5">
        <f t="shared" si="158"/>
        <v>123</v>
      </c>
      <c r="P272" s="9" t="n">
        <f t="shared" ref="P272:P288" si="170">ROUND($J272*1.637*1.75*2.1*0.8,0)</f>
        <v>13957062</v>
      </c>
      <c r="Q272" s="3">
        <f t="shared" si="159"/>
        <v>125</v>
      </c>
      <c r="R272" s="10" t="n">
        <f t="shared" ref="R272:R288" si="171">ROUND($J272*1.637*1.75*2.1*2.3*0.542035092435954,0)</f>
        <v>21750000</v>
      </c>
      <c r="S272" s="5">
        <f t="shared" si="160"/>
        <v>127</v>
      </c>
      <c r="T272" s="9" t="n">
        <f t="shared" ref="T272:T288" si="172">ROUND($J272*1.637*1.75*2.1*2.3*2.6*0.544690061623969,0)</f>
        <v>56826990</v>
      </c>
      <c r="U272" s="3">
        <f t="shared" si="161"/>
        <v>130</v>
      </c>
      <c r="V272" s="10" t="n">
        <f t="shared" ref="V272:V288" si="173">ROUND($J272*1.637*1.75*2.1*2.3*2.6*3.2*0.547345030811984,0)</f>
        <v>182732738</v>
      </c>
      <c r="W272" s="5">
        <f t="shared" si="162"/>
        <v>134</v>
      </c>
      <c r="X272" s="9" t="n">
        <f t="shared" ref="X272:X288" si="174">ROUND($J272*1.637*1.75*2.1*2.3*2.6*3.2*4.2*0.55,0)</f>
        <v>771200252</v>
      </c>
      <c r="Y272" s="3">
        <f t="shared" si="163"/>
        <v>136</v>
      </c>
      <c r="Z272" s="10" t="n">
        <f t="shared" ref="Z272:Z288" si="175">ROUND($J272*1.637*1.75*2.1*2.3*2.6*3.2*4.2*2.4*0.55,0)</f>
        <v>1850880605</v>
      </c>
      <c r="AA272" s="5">
        <f t="shared" si="164"/>
        <v>138</v>
      </c>
      <c r="AB272" s="9" t="n">
        <f t="shared" ref="AB272:AB288" si="176">ROUND($J272*1.637*1.75*2.1*2.3*2.6*3.2*4.2*2.4*2.5*0.55,0)</f>
        <v>4627201513</v>
      </c>
      <c r="AC272" s="3">
        <f t="shared" si="165"/>
        <v>140</v>
      </c>
      <c r="AD272" s="10" t="n">
        <f t="shared" ref="AD272:AD288" si="177">ROUND($J272*1.637*1.75*2.1*2.3*2.6*3.2*4.2*2.4*2.5*2.8*0.55,0)</f>
        <v>12956164237</v>
      </c>
      <c r="AE272" s="5">
        <f t="shared" si="166"/>
        <v>143</v>
      </c>
      <c r="AF272" s="9" t="n">
        <f t="shared" ref="AF272:AF288" si="178">ROUND($J272*1.637*1.75*2.1*2.3*2.6*3.2*4.2*2.4*2.5*2.8*3.2*0.55,0)</f>
        <v>41459725559</v>
      </c>
      <c r="AG272" s="3">
        <f t="shared" si="167"/>
        <v>146</v>
      </c>
      <c r="AH272" s="10" t="n">
        <f t="shared" ref="AH272:AH288" si="179">ROUND($J272*1.637*1.75*2.1*2.3*2.6*3.2*4.2*2.4*2.5*2.8*3.2*3.8*0.55,0)</f>
        <v>157546957126</v>
      </c>
    </row>
    <row r="273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 t="n">
        <f t="shared" ref="L289:L305" si="180">ROUND($J289*1.637*1,0)</f>
        <v>20953600</v>
      </c>
      <c r="M289" s="3">
        <f t="shared" si="157"/>
        <v>121</v>
      </c>
      <c r="N289" s="10" t="n">
        <f t="shared" ref="N289:N305" si="181">ROUND($J289*1.637*1.75*1,0)</f>
        <v>36668800</v>
      </c>
      <c r="O289" s="5">
        <f t="shared" si="158"/>
        <v>123</v>
      </c>
      <c r="P289" s="9" t="n">
        <f t="shared" ref="P289:P305" si="182">ROUND($J289*1.637*1.75*2.1*1,0)</f>
        <v>77004480</v>
      </c>
      <c r="Q289" s="3">
        <f t="shared" si="159"/>
        <v>125</v>
      </c>
      <c r="R289" s="10" t="n">
        <f>ROUND($J289*1.637*1.75*2.1*2.3*1.25,0)</f>
        <v>221387880</v>
      </c>
      <c r="S289" s="5">
        <f t="shared" si="160"/>
        <v>127</v>
      </c>
      <c r="T289" s="9" t="n">
        <f>ROUND($J289*1.637*1.75*2.1*2.3*2.6*1.25,0)</f>
        <v>575608488</v>
      </c>
      <c r="U289" s="3">
        <f t="shared" si="161"/>
        <v>130</v>
      </c>
      <c r="V289" s="10" t="n">
        <f>ROUND($J289*1.637*1.75*2.1*2.3*2.6*3.2*1.25,0)</f>
        <v>1841947162</v>
      </c>
      <c r="W289" s="5">
        <f t="shared" si="162"/>
        <v>134</v>
      </c>
      <c r="X289" s="9" t="n">
        <f>ROUND($J289*1.637*1.75*2.1*2.3*2.6*3.2*4.2*1.25,0)</f>
        <v>7736178079</v>
      </c>
      <c r="Y289" s="3">
        <f t="shared" si="163"/>
        <v>136</v>
      </c>
      <c r="Z289" s="10" t="n">
        <f>ROUND($J289*1.637*1.75*2.1*2.3*2.6*3.2*4.2*2.4*1.25,0)</f>
        <v>18566827389</v>
      </c>
      <c r="AA289" s="5">
        <f t="shared" si="164"/>
        <v>138</v>
      </c>
      <c r="AB289" s="9" t="n">
        <f>ROUND($J289*1.637*1.75*2.1*2.3*2.6*3.2*4.2*2.4*2.5*1.25,0)</f>
        <v>46417068472</v>
      </c>
      <c r="AC289" s="3">
        <f t="shared" si="165"/>
        <v>140</v>
      </c>
      <c r="AD289" s="10" t="n">
        <f>ROUND($J289*1.637*1.75*2.1*2.3*2.6*3.2*4.2*2.4*2.5*2.8*1.25,0)</f>
        <v>129967791722</v>
      </c>
      <c r="AE289" s="5">
        <f t="shared" si="166"/>
        <v>143</v>
      </c>
      <c r="AF289" s="9" t="n">
        <f>ROUND($J289*1.637*1.75*2.1*2.3*2.6*3.2*4.2*2.4*2.5*2.8*3.2*1.25,0)</f>
        <v>415896933512</v>
      </c>
      <c r="AG289" s="3">
        <f t="shared" si="167"/>
        <v>146</v>
      </c>
      <c r="AH289" s="10" t="n">
        <f>ROUND($J289*1.637*1.75*2.1*2.3*2.6*3.2*4.2*2.4*2.5*2.8*3.2*3.8*1.25,0)</f>
        <v>1580408347346</v>
      </c>
    </row>
    <row r="290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 t="n">
        <f>ROUND($J290*1.637*1.75*2.1*2.3*1.25,0)</f>
        <v>17468887</v>
      </c>
      <c r="S290" s="5">
        <f t="shared" si="160"/>
        <v>126</v>
      </c>
      <c r="T290" s="9" t="n">
        <f>ROUND($J290*1.637*1.75*2.1*2.3*2.6*1.25,0)</f>
        <v>45419107</v>
      </c>
      <c r="U290" s="3">
        <f t="shared" si="161"/>
        <v>129</v>
      </c>
      <c r="V290" s="10" t="n">
        <f>ROUND($J290*1.637*1.75*2.1*2.3*2.6*3.2*1.25,0)</f>
        <v>145341143</v>
      </c>
      <c r="W290" s="5">
        <f t="shared" si="162"/>
        <v>133</v>
      </c>
      <c r="X290" s="9" t="n">
        <f>ROUND($J290*1.637*1.75*2.1*2.3*2.6*3.2*4.2*1.25,0)</f>
        <v>610432802</v>
      </c>
      <c r="Y290" s="3">
        <f t="shared" si="163"/>
        <v>135</v>
      </c>
      <c r="Z290" s="10" t="n">
        <f>ROUND($J290*1.637*1.75*2.1*2.3*2.6*3.2*4.2*2.4*1.25,0)</f>
        <v>1465038724</v>
      </c>
      <c r="AA290" s="5">
        <f t="shared" si="164"/>
        <v>137</v>
      </c>
      <c r="AB290" s="9" t="n">
        <f>ROUND($J290*1.637*1.75*2.1*2.3*2.6*3.2*4.2*2.4*2.5*1.25,0)</f>
        <v>3662596809</v>
      </c>
      <c r="AC290" s="3">
        <f t="shared" si="165"/>
        <v>139</v>
      </c>
      <c r="AD290" s="10" t="n">
        <f>ROUND($J290*1.637*1.75*2.1*2.3*2.6*3.2*4.2*2.4*2.5*2.8*1.25,0)</f>
        <v>10255271066</v>
      </c>
      <c r="AE290" s="5">
        <f t="shared" si="166"/>
        <v>142</v>
      </c>
      <c r="AF290" s="9" t="n">
        <f>ROUND($J290*1.637*1.75*2.1*2.3*2.6*3.2*4.2*2.4*2.5*2.8*3.2*1.25,0)</f>
        <v>32816867410</v>
      </c>
      <c r="AG290" s="3">
        <f t="shared" si="167"/>
        <v>145</v>
      </c>
      <c r="AH290" s="10" t="n">
        <f>ROUND($J290*1.637*1.75*2.1*2.3*2.6*3.2*4.2*2.4*2.5*2.8*3.2*3.8*1.25,0)</f>
        <v>124704096158</v>
      </c>
    </row>
    <row r="29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 t="n">
        <f>ROUND($J291*1.637*1.75*2.1*2.3*1.25,0)</f>
        <v>17122969</v>
      </c>
      <c r="S291" s="5">
        <f t="shared" si="160"/>
        <v>126</v>
      </c>
      <c r="T291" s="9" t="n">
        <f>ROUND($J291*1.637*1.75*2.1*2.3*2.6*1.25,0)</f>
        <v>44519719</v>
      </c>
      <c r="U291" s="3">
        <f t="shared" si="161"/>
        <v>129</v>
      </c>
      <c r="V291" s="10" t="n">
        <f>ROUND($J291*1.637*1.75*2.1*2.3*2.6*3.2*1.25,0)</f>
        <v>142463101</v>
      </c>
      <c r="W291" s="5">
        <f t="shared" si="162"/>
        <v>133</v>
      </c>
      <c r="X291" s="9" t="n">
        <f>ROUND($J291*1.637*1.75*2.1*2.3*2.6*3.2*4.2*1.25,0)</f>
        <v>598345023</v>
      </c>
      <c r="Y291" s="3">
        <f t="shared" si="163"/>
        <v>135</v>
      </c>
      <c r="Z291" s="10" t="n">
        <f>ROUND($J291*1.637*1.75*2.1*2.3*2.6*3.2*4.2*2.4*1.25,0)</f>
        <v>1436028056</v>
      </c>
      <c r="AA291" s="5">
        <f t="shared" si="164"/>
        <v>137</v>
      </c>
      <c r="AB291" s="9" t="n">
        <f>ROUND($J291*1.637*1.75*2.1*2.3*2.6*3.2*4.2*2.4*2.5*1.25,0)</f>
        <v>3590070140</v>
      </c>
      <c r="AC291" s="3">
        <f t="shared" si="165"/>
        <v>139</v>
      </c>
      <c r="AD291" s="10" t="n">
        <f>ROUND($J291*1.637*1.75*2.1*2.3*2.6*3.2*4.2*2.4*2.5*2.8*1.25,0)</f>
        <v>10052196391</v>
      </c>
      <c r="AE291" s="5">
        <f t="shared" si="166"/>
        <v>142</v>
      </c>
      <c r="AF291" s="9" t="n">
        <f>ROUND($J291*1.637*1.75*2.1*2.3*2.6*3.2*4.2*2.4*2.5*2.8*3.2*1.25,0)</f>
        <v>32167028451</v>
      </c>
      <c r="AG291" s="3">
        <f t="shared" si="167"/>
        <v>145</v>
      </c>
      <c r="AH291" s="10" t="n">
        <f>ROUND($J291*1.637*1.75*2.1*2.3*2.6*3.2*4.2*2.4*2.5*2.8*3.2*3.8*1.25,0)</f>
        <v>122234708115</v>
      </c>
    </row>
    <row r="292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 t="n">
        <f>ROUND($J292*1.637*1.75*2.1*2.3*1.25,0)</f>
        <v>21965829</v>
      </c>
      <c r="S292" s="5">
        <f t="shared" si="160"/>
        <v>126</v>
      </c>
      <c r="T292" s="9" t="n">
        <f>ROUND($J292*1.637*1.75*2.1*2.3*2.6*1.25,0)</f>
        <v>57111155</v>
      </c>
      <c r="U292" s="3">
        <f t="shared" si="161"/>
        <v>129</v>
      </c>
      <c r="V292" s="10" t="n">
        <f>ROUND($J292*1.637*1.75*2.1*2.3*2.6*3.2*1.25,0)</f>
        <v>182755695</v>
      </c>
      <c r="W292" s="5">
        <f t="shared" si="162"/>
        <v>133</v>
      </c>
      <c r="X292" s="9" t="n">
        <f>ROUND($J292*1.637*1.75*2.1*2.3*2.6*3.2*4.2*1.25,0)</f>
        <v>767573919</v>
      </c>
      <c r="Y292" s="3">
        <f t="shared" si="163"/>
        <v>135</v>
      </c>
      <c r="Z292" s="10" t="n">
        <f>ROUND($J292*1.637*1.75*2.1*2.3*2.6*3.2*4.2*2.4*1.25,0)</f>
        <v>1842177405</v>
      </c>
      <c r="AA292" s="5">
        <f t="shared" si="164"/>
        <v>137</v>
      </c>
      <c r="AB292" s="9" t="n">
        <f>ROUND($J292*1.637*1.75*2.1*2.3*2.6*3.2*4.2*2.4*2.5*1.25,0)</f>
        <v>4605443512</v>
      </c>
      <c r="AC292" s="3">
        <f t="shared" si="165"/>
        <v>139</v>
      </c>
      <c r="AD292" s="10" t="n">
        <f>ROUND($J292*1.637*1.75*2.1*2.3*2.6*3.2*4.2*2.4*2.5*2.8*1.25,0)</f>
        <v>12895241835</v>
      </c>
      <c r="AE292" s="5">
        <f t="shared" si="166"/>
        <v>142</v>
      </c>
      <c r="AF292" s="9" t="n">
        <f>ROUND($J292*1.637*1.75*2.1*2.3*2.6*3.2*4.2*2.4*2.5*2.8*3.2*1.25,0)</f>
        <v>41264773872</v>
      </c>
      <c r="AG292" s="3">
        <f t="shared" si="167"/>
        <v>145</v>
      </c>
      <c r="AH292" s="10" t="n">
        <f>ROUND($J292*1.637*1.75*2.1*2.3*2.6*3.2*4.2*2.4*2.5*2.8*3.2*3.8*1.25,0)</f>
        <v>156806140713</v>
      </c>
    </row>
    <row r="293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 t="n">
        <f>ROUND($J293*1.637*1.75*2.1*2.3*1,0)</f>
        <v>13048048</v>
      </c>
      <c r="S293" s="5">
        <f t="shared" si="160"/>
        <v>125</v>
      </c>
      <c r="T293" s="9" t="n">
        <f>ROUND($J293*1.637*1.75*2.1*2.3*2.6*1,0)</f>
        <v>33924925</v>
      </c>
      <c r="U293" s="3">
        <f t="shared" si="161"/>
        <v>128</v>
      </c>
      <c r="V293" s="10" t="n">
        <f>ROUND($J293*1.637*1.75*2.1*2.3*2.6*3.2*1,0)</f>
        <v>108559761</v>
      </c>
      <c r="W293" s="5">
        <f t="shared" si="162"/>
        <v>132</v>
      </c>
      <c r="X293" s="9" t="n">
        <f>ROUND($J293*1.637*1.75*2.1*2.3*2.6*3.2*4.2*1,0)</f>
        <v>455950996</v>
      </c>
      <c r="Y293" s="3">
        <f t="shared" si="163"/>
        <v>134</v>
      </c>
      <c r="Z293" s="10" t="n">
        <f>ROUND($J293*1.637*1.75*2.1*2.3*2.6*3.2*4.2*2.4*1,0)</f>
        <v>1094282389</v>
      </c>
      <c r="AA293" s="5">
        <f t="shared" si="164"/>
        <v>136</v>
      </c>
      <c r="AB293" s="9" t="n">
        <f>ROUND($J293*1.637*1.75*2.1*2.3*2.6*3.2*4.2*2.4*2.5*1,0)</f>
        <v>2735705973</v>
      </c>
      <c r="AC293" s="3">
        <f t="shared" si="165"/>
        <v>138</v>
      </c>
      <c r="AD293" s="10" t="n">
        <f>ROUND($J293*1.637*1.75*2.1*2.3*2.6*3.2*4.2*2.4*2.5*2.8*1,0)</f>
        <v>7659976725</v>
      </c>
      <c r="AE293" s="5">
        <f t="shared" si="166"/>
        <v>141</v>
      </c>
      <c r="AF293" s="9" t="n">
        <f>ROUND($J293*1.637*1.75*2.1*2.3*2.6*3.2*4.2*2.4*2.5*2.8*3.2*1,0)</f>
        <v>24511925519</v>
      </c>
      <c r="AG293" s="3">
        <f t="shared" si="167"/>
        <v>144</v>
      </c>
      <c r="AH293" s="10" t="n">
        <f>ROUND($J293*1.637*1.75*2.1*2.3*2.6*3.2*4.2*2.4*2.5*2.8*3.2*3.8*1,0)</f>
        <v>93145316972</v>
      </c>
    </row>
    <row r="294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 t="n">
        <f>ROUND($J294*1.637*1.75*2.1*2.3*1.25,0)</f>
        <v>17244040</v>
      </c>
      <c r="S294" s="5">
        <f t="shared" si="160"/>
        <v>125</v>
      </c>
      <c r="T294" s="9" t="n">
        <f>ROUND($J294*1.637*1.75*2.1*2.3*2.6*1.25,0)</f>
        <v>44834505</v>
      </c>
      <c r="U294" s="3">
        <f t="shared" si="161"/>
        <v>128</v>
      </c>
      <c r="V294" s="10" t="n">
        <f>ROUND($J294*1.637*1.75*2.1*2.3*2.6*3.2*1.25,0)</f>
        <v>143470416</v>
      </c>
      <c r="W294" s="5">
        <f t="shared" si="162"/>
        <v>132</v>
      </c>
      <c r="X294" s="9" t="n">
        <f>ROUND($J294*1.637*1.75*2.1*2.3*2.6*3.2*4.2*1.25,0)</f>
        <v>602575746</v>
      </c>
      <c r="Y294" s="3">
        <f t="shared" si="163"/>
        <v>134</v>
      </c>
      <c r="Z294" s="10" t="n">
        <f>ROUND($J294*1.637*1.75*2.1*2.3*2.6*3.2*4.2*2.4*1.25,0)</f>
        <v>1446181790</v>
      </c>
      <c r="AA294" s="5">
        <f t="shared" si="164"/>
        <v>136</v>
      </c>
      <c r="AB294" s="9" t="n">
        <f>ROUND($J294*1.637*1.75*2.1*2.3*2.6*3.2*4.2*2.4*2.5*1.25,0)</f>
        <v>3615454474</v>
      </c>
      <c r="AC294" s="3">
        <f t="shared" si="165"/>
        <v>138</v>
      </c>
      <c r="AD294" s="10" t="n">
        <f>ROUND($J294*1.637*1.75*2.1*2.3*2.6*3.2*4.2*2.4*2.5*2.8*1.25,0)</f>
        <v>10123272527</v>
      </c>
      <c r="AE294" s="5">
        <f t="shared" si="166"/>
        <v>141</v>
      </c>
      <c r="AF294" s="9" t="n">
        <f>ROUND($J294*1.637*1.75*2.1*2.3*2.6*3.2*4.2*2.4*2.5*2.8*3.2*1.25,0)</f>
        <v>32394472087</v>
      </c>
      <c r="AG294" s="3">
        <f t="shared" si="167"/>
        <v>144</v>
      </c>
      <c r="AH294" s="10" t="n">
        <f>ROUND($J294*1.637*1.75*2.1*2.3*2.6*3.2*4.2*2.4*2.5*2.8*3.2*3.8*1.25,0)</f>
        <v>123098993930</v>
      </c>
    </row>
    <row r="295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 t="n">
        <f>ROUND($J295*1.637*1.75*2.1*2.3*1.25,0)</f>
        <v>16707867</v>
      </c>
      <c r="S295" s="5">
        <f t="shared" si="160"/>
        <v>125</v>
      </c>
      <c r="T295" s="9" t="n">
        <f>ROUND($J295*1.637*1.75*2.1*2.3*2.6*1.25,0)</f>
        <v>43440453</v>
      </c>
      <c r="U295" s="3">
        <f t="shared" si="161"/>
        <v>128</v>
      </c>
      <c r="V295" s="10" t="n">
        <f>ROUND($J295*1.637*1.75*2.1*2.3*2.6*3.2*1.25,0)</f>
        <v>139009450</v>
      </c>
      <c r="W295" s="5">
        <f t="shared" si="162"/>
        <v>132</v>
      </c>
      <c r="X295" s="9" t="n">
        <f>ROUND($J295*1.637*1.75*2.1*2.3*2.6*3.2*4.2*1.25,0)</f>
        <v>583839689</v>
      </c>
      <c r="Y295" s="3">
        <f t="shared" si="163"/>
        <v>134</v>
      </c>
      <c r="Z295" s="10" t="n">
        <f>ROUND($J295*1.637*1.75*2.1*2.3*2.6*3.2*4.2*2.4*1.25,0)</f>
        <v>1401215255</v>
      </c>
      <c r="AA295" s="5">
        <f t="shared" si="164"/>
        <v>136</v>
      </c>
      <c r="AB295" s="9" t="n">
        <f>ROUND($J295*1.637*1.75*2.1*2.3*2.6*3.2*4.2*2.4*2.5*1.25,0)</f>
        <v>3503038136</v>
      </c>
      <c r="AC295" s="3">
        <f t="shared" si="165"/>
        <v>138</v>
      </c>
      <c r="AD295" s="10" t="n">
        <f>ROUND($J295*1.637*1.75*2.1*2.3*2.6*3.2*4.2*2.4*2.5*2.8*1.25,0)</f>
        <v>9808506782</v>
      </c>
      <c r="AE295" s="5">
        <f t="shared" si="166"/>
        <v>141</v>
      </c>
      <c r="AF295" s="9" t="n">
        <f>ROUND($J295*1.637*1.75*2.1*2.3*2.6*3.2*4.2*2.4*2.5*2.8*3.2*1.25,0)</f>
        <v>31387221701</v>
      </c>
      <c r="AG295" s="3">
        <f t="shared" si="167"/>
        <v>144</v>
      </c>
      <c r="AH295" s="10" t="n">
        <f>ROUND($J295*1.637*1.75*2.1*2.3*2.6*3.2*4.2*2.4*2.5*2.8*3.2*3.8*1.25,0)</f>
        <v>119271442464</v>
      </c>
    </row>
    <row r="296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 t="n">
        <f>ROUND($J296*1.637*1.75*2.1*2.3*1,0)</f>
        <v>13338620</v>
      </c>
      <c r="S296" s="5">
        <f t="shared" si="160"/>
        <v>125</v>
      </c>
      <c r="T296" s="9" t="n">
        <f>ROUND($J296*1.637*1.75*2.1*2.3*2.6*1,0)</f>
        <v>34680411</v>
      </c>
      <c r="U296" s="3">
        <f t="shared" si="161"/>
        <v>128</v>
      </c>
      <c r="V296" s="10" t="n">
        <f>ROUND($J296*1.637*1.75*2.1*2.3*2.6*3.2*1,0)</f>
        <v>110977316</v>
      </c>
      <c r="W296" s="5">
        <f t="shared" si="162"/>
        <v>132</v>
      </c>
      <c r="X296" s="9" t="n">
        <f>ROUND($J296*1.637*1.75*2.1*2.3*2.6*3.2*4.2*1,0)</f>
        <v>466104729</v>
      </c>
      <c r="Y296" s="3">
        <f t="shared" si="163"/>
        <v>134</v>
      </c>
      <c r="Z296" s="10" t="n">
        <f>ROUND($J296*1.637*1.75*2.1*2.3*2.6*3.2*4.2*2.4*1,0)</f>
        <v>1118651350</v>
      </c>
      <c r="AA296" s="5">
        <f t="shared" si="164"/>
        <v>136</v>
      </c>
      <c r="AB296" s="9" t="n">
        <f>ROUND($J296*1.637*1.75*2.1*2.3*2.6*3.2*4.2*2.4*2.5*1,0)</f>
        <v>2796628375</v>
      </c>
      <c r="AC296" s="3">
        <f t="shared" si="165"/>
        <v>138</v>
      </c>
      <c r="AD296" s="10" t="n">
        <f>ROUND($J296*1.637*1.75*2.1*2.3*2.6*3.2*4.2*2.4*2.5*2.8*1,0)</f>
        <v>7830559451</v>
      </c>
      <c r="AE296" s="5">
        <f t="shared" si="166"/>
        <v>141</v>
      </c>
      <c r="AF296" s="9" t="n">
        <f>ROUND($J296*1.637*1.75*2.1*2.3*2.6*3.2*4.2*2.4*2.5*2.8*3.2*1,0)</f>
        <v>25057790244</v>
      </c>
      <c r="AG296" s="3">
        <f t="shared" si="167"/>
        <v>144</v>
      </c>
      <c r="AH296" s="10" t="n">
        <f>ROUND($J296*1.637*1.75*2.1*2.3*2.6*3.2*4.2*2.4*2.5*2.8*3.2*3.8*1,0)</f>
        <v>95219602928</v>
      </c>
    </row>
    <row r="297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 t="n">
        <f>ROUND($J297*1.637*1.75*2.1*2.3*1.25,0)</f>
        <v>13006538</v>
      </c>
      <c r="S297" s="5">
        <f t="shared" si="160"/>
        <v>125</v>
      </c>
      <c r="T297" s="9" t="n">
        <f>ROUND($J297*1.637*1.75*2.1*2.3*2.6*1.25,0)</f>
        <v>33816999</v>
      </c>
      <c r="U297" s="3">
        <f t="shared" si="161"/>
        <v>128</v>
      </c>
      <c r="V297" s="10" t="n">
        <f>ROUND($J297*1.637*1.75*2.1*2.3*2.6*3.2*1.25,0)</f>
        <v>108214396</v>
      </c>
      <c r="W297" s="5">
        <f t="shared" si="162"/>
        <v>132</v>
      </c>
      <c r="X297" s="9" t="n">
        <f>ROUND($J297*1.637*1.75*2.1*2.3*2.6*3.2*4.2*1.25,0)</f>
        <v>454500462</v>
      </c>
      <c r="Y297" s="3">
        <f t="shared" si="163"/>
        <v>134</v>
      </c>
      <c r="Z297" s="10" t="n">
        <f>ROUND($J297*1.637*1.75*2.1*2.3*2.6*3.2*4.2*2.4*1.25,0)</f>
        <v>1090801109</v>
      </c>
      <c r="AA297" s="5">
        <f t="shared" si="164"/>
        <v>136</v>
      </c>
      <c r="AB297" s="9" t="n">
        <f>ROUND($J297*1.637*1.75*2.1*2.3*2.6*3.2*4.2*2.4*2.5*1.25,0)</f>
        <v>2727002773</v>
      </c>
      <c r="AC297" s="3">
        <f t="shared" si="165"/>
        <v>138</v>
      </c>
      <c r="AD297" s="10" t="n">
        <f>ROUND($J297*1.637*1.75*2.1*2.3*2.6*3.2*4.2*2.4*2.5*2.8*1.25,0)</f>
        <v>7635607764</v>
      </c>
      <c r="AE297" s="5">
        <f t="shared" si="166"/>
        <v>141</v>
      </c>
      <c r="AF297" s="9" t="n">
        <f>ROUND($J297*1.637*1.75*2.1*2.3*2.6*3.2*4.2*2.4*2.5*2.8*3.2*1.25,0)</f>
        <v>24433944844</v>
      </c>
      <c r="AG297" s="3">
        <f t="shared" si="167"/>
        <v>144</v>
      </c>
      <c r="AH297" s="10" t="n">
        <f>ROUND($J297*1.637*1.75*2.1*2.3*2.6*3.2*4.2*2.4*2.5*2.8*3.2*3.8*1.25,0)</f>
        <v>92848990407</v>
      </c>
    </row>
    <row r="298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 t="n">
        <f>ROUND($J298*1.637*1.75*2.1*2.3*1,0)</f>
        <v>13435477</v>
      </c>
      <c r="S298" s="5">
        <f t="shared" si="160"/>
        <v>125</v>
      </c>
      <c r="T298" s="9" t="n">
        <f>ROUND($J298*1.637*1.75*2.1*2.3*2.6*1,0)</f>
        <v>34932240</v>
      </c>
      <c r="U298" s="3">
        <f t="shared" si="161"/>
        <v>128</v>
      </c>
      <c r="V298" s="10" t="n">
        <f>ROUND($J298*1.637*1.75*2.1*2.3*2.6*3.2*1,0)</f>
        <v>111783168</v>
      </c>
      <c r="W298" s="5">
        <f t="shared" si="162"/>
        <v>132</v>
      </c>
      <c r="X298" s="9" t="n">
        <f>ROUND($J298*1.637*1.75*2.1*2.3*2.6*3.2*4.2*1,0)</f>
        <v>469489307</v>
      </c>
      <c r="Y298" s="3">
        <f t="shared" si="163"/>
        <v>134</v>
      </c>
      <c r="Z298" s="10" t="n">
        <f>ROUND($J298*1.637*1.75*2.1*2.3*2.6*3.2*4.2*2.4*1,0)</f>
        <v>1126774337</v>
      </c>
      <c r="AA298" s="5">
        <f t="shared" si="164"/>
        <v>136</v>
      </c>
      <c r="AB298" s="9" t="n">
        <f>ROUND($J298*1.637*1.75*2.1*2.3*2.6*3.2*4.2*2.4*2.5*1,0)</f>
        <v>2816935843</v>
      </c>
      <c r="AC298" s="3">
        <f t="shared" si="165"/>
        <v>138</v>
      </c>
      <c r="AD298" s="10" t="n">
        <f>ROUND($J298*1.637*1.75*2.1*2.3*2.6*3.2*4.2*2.4*2.5*2.8*1,0)</f>
        <v>7887420360</v>
      </c>
      <c r="AE298" s="5">
        <f t="shared" si="166"/>
        <v>141</v>
      </c>
      <c r="AF298" s="9" t="n">
        <f>ROUND($J298*1.637*1.75*2.1*2.3*2.6*3.2*4.2*2.4*2.5*2.8*3.2*1,0)</f>
        <v>25239745153</v>
      </c>
      <c r="AG298" s="3">
        <f t="shared" si="167"/>
        <v>144</v>
      </c>
      <c r="AH298" s="10" t="n">
        <f>ROUND($J298*1.637*1.75*2.1*2.3*2.6*3.2*4.2*2.4*2.5*2.8*3.2*3.8*1,0)</f>
        <v>95911031580</v>
      </c>
    </row>
    <row r="299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 t="n">
        <f>ROUND($J299*1.637*1.75*2.1*2.3*1.25,0)</f>
        <v>13784855</v>
      </c>
      <c r="S299" s="5">
        <f t="shared" si="160"/>
        <v>125</v>
      </c>
      <c r="T299" s="9" t="n">
        <f>ROUND($J299*1.637*1.75*2.1*2.3*2.6*1.25,0)</f>
        <v>35840622</v>
      </c>
      <c r="U299" s="3">
        <f t="shared" si="161"/>
        <v>128</v>
      </c>
      <c r="V299" s="10" t="n">
        <f>ROUND($J299*1.637*1.75*2.1*2.3*2.6*3.2*1.25,0)</f>
        <v>114689991</v>
      </c>
      <c r="W299" s="5">
        <f t="shared" si="162"/>
        <v>132</v>
      </c>
      <c r="X299" s="9" t="n">
        <f>ROUND($J299*1.637*1.75*2.1*2.3*2.6*3.2*4.2*1.25,0)</f>
        <v>481697963</v>
      </c>
      <c r="Y299" s="3">
        <f t="shared" si="163"/>
        <v>134</v>
      </c>
      <c r="Z299" s="10" t="n">
        <f>ROUND($J299*1.637*1.75*2.1*2.3*2.6*3.2*4.2*2.4*1.25,0)</f>
        <v>1156075112</v>
      </c>
      <c r="AA299" s="5">
        <f t="shared" si="164"/>
        <v>136</v>
      </c>
      <c r="AB299" s="9" t="n">
        <f>ROUND($J299*1.637*1.75*2.1*2.3*2.6*3.2*4.2*2.4*2.5*1.25,0)</f>
        <v>2890187779</v>
      </c>
      <c r="AC299" s="3">
        <f t="shared" si="165"/>
        <v>138</v>
      </c>
      <c r="AD299" s="10" t="n">
        <f>ROUND($J299*1.637*1.75*2.1*2.3*2.6*3.2*4.2*2.4*2.5*2.8*1.25,0)</f>
        <v>8092525781</v>
      </c>
      <c r="AE299" s="5">
        <f t="shared" si="166"/>
        <v>141</v>
      </c>
      <c r="AF299" s="9" t="n">
        <f>ROUND($J299*1.637*1.75*2.1*2.3*2.6*3.2*4.2*2.4*2.5*2.8*3.2*1.25,0)</f>
        <v>25896082501</v>
      </c>
      <c r="AG299" s="3">
        <f t="shared" si="167"/>
        <v>144</v>
      </c>
      <c r="AH299" s="10" t="n">
        <f>ROUND($J299*1.637*1.75*2.1*2.3*2.6*3.2*4.2*2.4*2.5*2.8*3.2*3.8*1.25,0)</f>
        <v>98405113503</v>
      </c>
    </row>
    <row r="300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 t="n">
        <f>ROUND($J300*1.637*1.75*2.1*2.3*1.25,0)</f>
        <v>17157561</v>
      </c>
      <c r="S300" s="5">
        <f t="shared" si="160"/>
        <v>125</v>
      </c>
      <c r="T300" s="9" t="n">
        <f>ROUND($J300*1.637*1.75*2.1*2.3*2.6*1.25,0)</f>
        <v>44609658</v>
      </c>
      <c r="U300" s="3">
        <f t="shared" si="161"/>
        <v>128</v>
      </c>
      <c r="V300" s="10" t="n">
        <f>ROUND($J300*1.637*1.75*2.1*2.3*2.6*3.2*1.25,0)</f>
        <v>142750905</v>
      </c>
      <c r="W300" s="5">
        <f t="shared" si="162"/>
        <v>132</v>
      </c>
      <c r="X300" s="9" t="n">
        <f>ROUND($J300*1.637*1.75*2.1*2.3*2.6*3.2*4.2*1.25,0)</f>
        <v>599553801</v>
      </c>
      <c r="Y300" s="3">
        <f t="shared" si="163"/>
        <v>134</v>
      </c>
      <c r="Z300" s="10" t="n">
        <f>ROUND($J300*1.637*1.75*2.1*2.3*2.6*3.2*4.2*2.4*1.25,0)</f>
        <v>1438929123</v>
      </c>
      <c r="AA300" s="5">
        <f t="shared" si="164"/>
        <v>136</v>
      </c>
      <c r="AB300" s="9" t="n">
        <f>ROUND($J300*1.637*1.75*2.1*2.3*2.6*3.2*4.2*2.4*2.5*1.25,0)</f>
        <v>3597322807</v>
      </c>
      <c r="AC300" s="3">
        <f t="shared" si="165"/>
        <v>138</v>
      </c>
      <c r="AD300" s="10" t="n">
        <f>ROUND($J300*1.637*1.75*2.1*2.3*2.6*3.2*4.2*2.4*2.5*2.8*1.25,0)</f>
        <v>10072503858</v>
      </c>
      <c r="AE300" s="5">
        <f t="shared" si="166"/>
        <v>141</v>
      </c>
      <c r="AF300" s="9" t="n">
        <f>ROUND($J300*1.637*1.75*2.1*2.3*2.6*3.2*4.2*2.4*2.5*2.8*3.2*1.25,0)</f>
        <v>32232012347</v>
      </c>
      <c r="AG300" s="3">
        <f t="shared" si="167"/>
        <v>144</v>
      </c>
      <c r="AH300" s="10" t="n">
        <f>ROUND($J300*1.637*1.75*2.1*2.3*2.6*3.2*4.2*2.4*2.5*2.8*3.2*3.8*1.25,0)</f>
        <v>122481646919</v>
      </c>
    </row>
    <row r="30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 t="n">
        <f>ROUND($J301*1.637*1.75*2.1*2.3*1,0)</f>
        <v>13698375</v>
      </c>
      <c r="S301" s="5">
        <f t="shared" si="160"/>
        <v>125</v>
      </c>
      <c r="T301" s="9" t="n">
        <f>ROUND($J301*1.637*1.75*2.1*2.3*2.6*1,0)</f>
        <v>35615775</v>
      </c>
      <c r="U301" s="3">
        <f t="shared" si="161"/>
        <v>128</v>
      </c>
      <c r="V301" s="10" t="n">
        <f>ROUND($J301*1.637*1.75*2.1*2.3*2.6*3.2*1,0)</f>
        <v>113970481</v>
      </c>
      <c r="W301" s="5">
        <f t="shared" si="162"/>
        <v>132</v>
      </c>
      <c r="X301" s="9" t="n">
        <f>ROUND($J301*1.637*1.75*2.1*2.3*2.6*3.2*4.2*1,0)</f>
        <v>478676019</v>
      </c>
      <c r="Y301" s="3">
        <f t="shared" si="163"/>
        <v>134</v>
      </c>
      <c r="Z301" s="10" t="n">
        <f>ROUND($J301*1.637*1.75*2.1*2.3*2.6*3.2*4.2*2.4*1,0)</f>
        <v>1148822445</v>
      </c>
      <c r="AA301" s="5">
        <f t="shared" si="164"/>
        <v>136</v>
      </c>
      <c r="AB301" s="9" t="n">
        <f>ROUND($J301*1.637*1.75*2.1*2.3*2.6*3.2*4.2*2.4*2.5*1,0)</f>
        <v>2872056112</v>
      </c>
      <c r="AC301" s="3">
        <f t="shared" si="165"/>
        <v>138</v>
      </c>
      <c r="AD301" s="10" t="n">
        <f>ROUND($J301*1.637*1.75*2.1*2.3*2.6*3.2*4.2*2.4*2.5*2.8*1,0)</f>
        <v>8041757113</v>
      </c>
      <c r="AE301" s="5">
        <f t="shared" si="166"/>
        <v>141</v>
      </c>
      <c r="AF301" s="9" t="n">
        <f>ROUND($J301*1.637*1.75*2.1*2.3*2.6*3.2*4.2*2.4*2.5*2.8*3.2*1,0)</f>
        <v>25733622761</v>
      </c>
      <c r="AG301" s="3">
        <f t="shared" si="167"/>
        <v>144</v>
      </c>
      <c r="AH301" s="10" t="n">
        <f>ROUND($J301*1.637*1.75*2.1*2.3*2.6*3.2*4.2*2.4*2.5*2.8*3.2*3.8*1,0)</f>
        <v>97787766492</v>
      </c>
    </row>
    <row r="302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 t="n">
        <f>ROUND($J302*1.637*1.75*2.1*2.3*1,0)</f>
        <v>13905926</v>
      </c>
      <c r="S302" s="5">
        <f t="shared" si="160"/>
        <v>125</v>
      </c>
      <c r="T302" s="9" t="n">
        <f>ROUND($J302*1.637*1.75*2.1*2.3*2.6*1,0)</f>
        <v>36155408</v>
      </c>
      <c r="U302" s="3">
        <f t="shared" si="161"/>
        <v>128</v>
      </c>
      <c r="V302" s="10" t="n">
        <f>ROUND($J302*1.637*1.75*2.1*2.3*2.6*3.2*1,0)</f>
        <v>115697306</v>
      </c>
      <c r="W302" s="5">
        <f t="shared" si="162"/>
        <v>132</v>
      </c>
      <c r="X302" s="9" t="n">
        <f>ROUND($J302*1.637*1.75*2.1*2.3*2.6*3.2*4.2*1,0)</f>
        <v>485928686</v>
      </c>
      <c r="Y302" s="3">
        <f t="shared" si="163"/>
        <v>134</v>
      </c>
      <c r="Z302" s="10" t="n">
        <f>ROUND($J302*1.637*1.75*2.1*2.3*2.6*3.2*4.2*2.4*1,0)</f>
        <v>1166228845</v>
      </c>
      <c r="AA302" s="5">
        <f t="shared" si="164"/>
        <v>136</v>
      </c>
      <c r="AB302" s="9" t="n">
        <f>ROUND($J302*1.637*1.75*2.1*2.3*2.6*3.2*4.2*2.4*2.5*1,0)</f>
        <v>2915572113</v>
      </c>
      <c r="AC302" s="3">
        <f t="shared" si="165"/>
        <v>138</v>
      </c>
      <c r="AD302" s="10" t="n">
        <f>ROUND($J302*1.637*1.75*2.1*2.3*2.6*3.2*4.2*2.4*2.5*2.8*1,0)</f>
        <v>8163601918</v>
      </c>
      <c r="AE302" s="5">
        <f t="shared" si="166"/>
        <v>141</v>
      </c>
      <c r="AF302" s="9" t="n">
        <f>ROUND($J302*1.637*1.75*2.1*2.3*2.6*3.2*4.2*2.4*2.5*2.8*3.2*1,0)</f>
        <v>26123526136</v>
      </c>
      <c r="AG302" s="3">
        <f t="shared" si="167"/>
        <v>144</v>
      </c>
      <c r="AH302" s="10" t="n">
        <f>ROUND($J302*1.637*1.75*2.1*2.3*2.6*3.2*4.2*2.4*2.5*2.8*3.2*3.8*1,0)</f>
        <v>99269399318</v>
      </c>
    </row>
    <row r="303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 t="n">
        <f>ROUND($J303*1.637*1.75*2.1*2.3*1,0)</f>
        <v>13726049</v>
      </c>
      <c r="S303" s="5">
        <f t="shared" si="160"/>
        <v>125</v>
      </c>
      <c r="T303" s="9" t="n">
        <f>ROUND($J303*1.637*1.75*2.1*2.3*2.6*1,0)</f>
        <v>35687726</v>
      </c>
      <c r="U303" s="3">
        <f t="shared" si="161"/>
        <v>128</v>
      </c>
      <c r="V303" s="10" t="n">
        <f>ROUND($J303*1.637*1.75*2.1*2.3*2.6*3.2*1,0)</f>
        <v>114200724</v>
      </c>
      <c r="W303" s="5">
        <f t="shared" si="162"/>
        <v>132</v>
      </c>
      <c r="X303" s="9" t="n">
        <f>ROUND($J303*1.637*1.75*2.1*2.3*2.6*3.2*4.2*1,0)</f>
        <v>479643041</v>
      </c>
      <c r="Y303" s="3">
        <f t="shared" si="163"/>
        <v>134</v>
      </c>
      <c r="Z303" s="10" t="n">
        <f>ROUND($J303*1.637*1.75*2.1*2.3*2.6*3.2*4.2*2.4*1,0)</f>
        <v>1151143298</v>
      </c>
      <c r="AA303" s="5">
        <f t="shared" si="164"/>
        <v>136</v>
      </c>
      <c r="AB303" s="9" t="n">
        <f>ROUND($J303*1.637*1.75*2.1*2.3*2.6*3.2*4.2*2.4*2.5*1,0)</f>
        <v>2877858245</v>
      </c>
      <c r="AC303" s="3">
        <f t="shared" si="165"/>
        <v>138</v>
      </c>
      <c r="AD303" s="10" t="n">
        <f>ROUND($J303*1.637*1.75*2.1*2.3*2.6*3.2*4.2*2.4*2.5*2.8*1,0)</f>
        <v>8058003087</v>
      </c>
      <c r="AE303" s="5">
        <f t="shared" si="166"/>
        <v>141</v>
      </c>
      <c r="AF303" s="9" t="n">
        <f>ROUND($J303*1.637*1.75*2.1*2.3*2.6*3.2*4.2*2.4*2.5*2.8*3.2*1,0)</f>
        <v>25785609878</v>
      </c>
      <c r="AG303" s="3">
        <f t="shared" si="167"/>
        <v>144</v>
      </c>
      <c r="AH303" s="10" t="n">
        <f>ROUND($J303*1.637*1.75*2.1*2.3*2.6*3.2*4.2*2.4*2.5*2.8*3.2*3.8*1,0)</f>
        <v>97985317535</v>
      </c>
    </row>
    <row r="304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 t="n">
        <f>ROUND($J304*1.637*1.75*2.1*2.3*1,0)</f>
        <v>13698375</v>
      </c>
      <c r="S304" s="5">
        <f t="shared" si="160"/>
        <v>125</v>
      </c>
      <c r="T304" s="9" t="n">
        <f>ROUND($J304*1.637*1.75*2.1*2.3*2.6*1,0)</f>
        <v>35615775</v>
      </c>
      <c r="U304" s="3">
        <f t="shared" si="161"/>
        <v>128</v>
      </c>
      <c r="V304" s="10" t="n">
        <f>ROUND($J304*1.637*1.75*2.1*2.3*2.6*3.2*1,0)</f>
        <v>113970481</v>
      </c>
      <c r="W304" s="5">
        <f t="shared" si="162"/>
        <v>132</v>
      </c>
      <c r="X304" s="9" t="n">
        <f>ROUND($J304*1.637*1.75*2.1*2.3*2.6*3.2*4.2*1,0)</f>
        <v>478676019</v>
      </c>
      <c r="Y304" s="3">
        <f t="shared" si="163"/>
        <v>134</v>
      </c>
      <c r="Z304" s="10" t="n">
        <f>ROUND($J304*1.637*1.75*2.1*2.3*2.6*3.2*4.2*2.4*1,0)</f>
        <v>1148822445</v>
      </c>
      <c r="AA304" s="5">
        <f t="shared" si="164"/>
        <v>136</v>
      </c>
      <c r="AB304" s="9" t="n">
        <f>ROUND($J304*1.637*1.75*2.1*2.3*2.6*3.2*4.2*2.4*2.5*1,0)</f>
        <v>2872056112</v>
      </c>
      <c r="AC304" s="3">
        <f t="shared" si="165"/>
        <v>138</v>
      </c>
      <c r="AD304" s="10" t="n">
        <f>ROUND($J304*1.637*1.75*2.1*2.3*2.6*3.2*4.2*2.4*2.5*2.8*1,0)</f>
        <v>8041757113</v>
      </c>
      <c r="AE304" s="5">
        <f t="shared" si="166"/>
        <v>141</v>
      </c>
      <c r="AF304" s="9" t="n">
        <f>ROUND($J304*1.637*1.75*2.1*2.3*2.6*3.2*4.2*2.4*2.5*2.8*3.2*1,0)</f>
        <v>25733622761</v>
      </c>
      <c r="AG304" s="3">
        <f t="shared" si="167"/>
        <v>144</v>
      </c>
      <c r="AH304" s="10" t="n">
        <f>ROUND($J304*1.637*1.75*2.1*2.3*2.6*3.2*4.2*2.4*2.5*2.8*3.2*3.8*1,0)</f>
        <v>97787766492</v>
      </c>
    </row>
    <row r="305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 t="n">
        <f>ROUND($J305*1.637*1.75*2.1*2.3*1.25,0)</f>
        <v>17105673</v>
      </c>
      <c r="S305" s="5">
        <f t="shared" si="160"/>
        <v>125</v>
      </c>
      <c r="T305" s="9" t="n">
        <f>ROUND($J305*1.637*1.75*2.1*2.3*2.6*1.25,0)</f>
        <v>44474750</v>
      </c>
      <c r="U305" s="3">
        <f t="shared" si="161"/>
        <v>128</v>
      </c>
      <c r="V305" s="10" t="n">
        <f>ROUND($J305*1.637*1.75*2.1*2.3*2.6*3.2*1.25,0)</f>
        <v>142319199</v>
      </c>
      <c r="W305" s="5">
        <f t="shared" si="162"/>
        <v>132</v>
      </c>
      <c r="X305" s="9" t="n">
        <f>ROUND($J305*1.637*1.75*2.1*2.3*2.6*3.2*4.2*1.25,0)</f>
        <v>597740634</v>
      </c>
      <c r="Y305" s="3">
        <f t="shared" si="163"/>
        <v>134</v>
      </c>
      <c r="Z305" s="10" t="n">
        <f>ROUND($J305*1.637*1.75*2.1*2.3*2.6*3.2*4.2*2.4*1.25,0)</f>
        <v>1434577522</v>
      </c>
      <c r="AA305" s="5">
        <f t="shared" si="164"/>
        <v>136</v>
      </c>
      <c r="AB305" s="9" t="n">
        <f>ROUND($J305*1.637*1.75*2.1*2.3*2.6*3.2*4.2*2.4*2.5*1.25,0)</f>
        <v>3586443806</v>
      </c>
      <c r="AC305" s="3">
        <f t="shared" si="165"/>
        <v>138</v>
      </c>
      <c r="AD305" s="10" t="n">
        <f>ROUND($J305*1.637*1.75*2.1*2.3*2.6*3.2*4.2*2.4*2.5*2.8*1.25,0)</f>
        <v>10042042657</v>
      </c>
      <c r="AE305" s="5">
        <f t="shared" si="166"/>
        <v>141</v>
      </c>
      <c r="AF305" s="9" t="n">
        <f>ROUND($J305*1.637*1.75*2.1*2.3*2.6*3.2*4.2*2.4*2.5*2.8*3.2*1.25,0)</f>
        <v>32134536503</v>
      </c>
      <c r="AG305" s="3">
        <f t="shared" si="167"/>
        <v>144</v>
      </c>
      <c r="AH305" s="10" t="n">
        <f>ROUND($J305*1.637*1.75*2.1*2.3*2.6*3.2*4.2*2.4*2.5*2.8*3.2*3.8*1.25,0)</f>
        <v>122111238713</v>
      </c>
    </row>
    <row r="306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 t="n">
        <f>ROUND($J306*1.637*0.8,0)</f>
        <v>895766</v>
      </c>
      <c r="M306" s="3">
        <f t="shared" si="157"/>
        <v>118</v>
      </c>
      <c r="N306" s="10" t="n">
        <f>ROUND($J306*1.637*1.75*0.8,0)</f>
        <v>1567591</v>
      </c>
      <c r="O306" s="5">
        <f t="shared" si="158"/>
        <v>120</v>
      </c>
      <c r="P306" s="9" t="n">
        <f>ROUND($J306*1.637*1.75*2.1*0.8,0)</f>
        <v>3291942</v>
      </c>
      <c r="Q306" s="3">
        <f t="shared" si="159"/>
        <v>122</v>
      </c>
      <c r="R306" s="10" t="n">
        <f>ROUND($J306*1.637*1.75*2.1*2.3*0.542035092435954,0)</f>
        <v>5130000</v>
      </c>
      <c r="S306" s="5">
        <f t="shared" si="160"/>
        <v>124</v>
      </c>
      <c r="T306" s="9" t="n">
        <f>ROUND($J306*1.637*1.75*2.1*2.3*2.6*0.544690061623969,0)</f>
        <v>13403332</v>
      </c>
      <c r="U306" s="3">
        <f t="shared" si="161"/>
        <v>127</v>
      </c>
      <c r="V306" s="10" t="n">
        <f>ROUND($J306*1.637*1.75*2.1*2.3*2.6*3.2*0.547345030811984,0)</f>
        <v>43099722</v>
      </c>
      <c r="W306" s="5">
        <f t="shared" si="162"/>
        <v>131</v>
      </c>
      <c r="X306" s="9" t="n">
        <f>ROUND($J306*1.637*1.75*2.1*2.3*2.6*3.2*4.2*0.55,0)</f>
        <v>181896887</v>
      </c>
      <c r="Y306" s="3">
        <f t="shared" si="163"/>
        <v>133</v>
      </c>
      <c r="Z306" s="10" t="n">
        <f>ROUND($J306*1.637*1.75*2.1*2.3*2.6*3.2*4.2*2.4*0.55,0)</f>
        <v>436552529</v>
      </c>
      <c r="AA306" s="5">
        <f t="shared" si="164"/>
        <v>135</v>
      </c>
      <c r="AB306" s="9" t="n">
        <f>ROUND($J306*1.637*1.75*2.1*2.3*2.6*3.2*4.2*2.4*2.5*0.55,0)</f>
        <v>1091381322</v>
      </c>
      <c r="AC306" s="3">
        <f t="shared" si="165"/>
        <v>137</v>
      </c>
      <c r="AD306" s="10" t="n">
        <f>ROUND($J306*1.637*1.75*2.1*2.3*2.6*3.2*4.2*2.4*2.5*2.8*0.55,0)</f>
        <v>3055867703</v>
      </c>
      <c r="AE306" s="5">
        <f t="shared" si="166"/>
        <v>140</v>
      </c>
      <c r="AF306" s="9" t="n">
        <f>ROUND($J306*1.637*1.75*2.1*2.3*2.6*3.2*4.2*2.4*2.5*2.8*3.2*0.55,0)</f>
        <v>9778776649</v>
      </c>
      <c r="AG306" s="3">
        <f t="shared" si="167"/>
        <v>143</v>
      </c>
      <c r="AH306" s="10" t="n">
        <f>ROUND($J306*1.637*1.75*2.1*2.3*2.6*3.2*4.2*2.4*2.5*2.8*3.2*3.8*0.55,0)</f>
        <v>37159351267</v>
      </c>
    </row>
    <row r="307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 t="n">
        <f>ROUND($J307*1.637*1,0)</f>
        <v>1213017</v>
      </c>
      <c r="M307" s="3">
        <f t="shared" si="157"/>
        <v>118</v>
      </c>
      <c r="N307" s="10" t="n">
        <f>ROUND($J307*1.637*1.75*1,0)</f>
        <v>2122780</v>
      </c>
      <c r="O307" s="5">
        <f t="shared" si="158"/>
        <v>120</v>
      </c>
      <c r="P307" s="9" t="n">
        <f>ROUND($J307*1.637*1.75*2.1*1,0)</f>
        <v>4457837</v>
      </c>
      <c r="Q307" s="3">
        <f t="shared" si="159"/>
        <v>122</v>
      </c>
      <c r="R307" s="10" t="n">
        <f>ROUND($J307*1.637*1.75*2.1*2.3*1,0)</f>
        <v>10253026</v>
      </c>
      <c r="S307" s="5">
        <f t="shared" si="160"/>
        <v>124</v>
      </c>
      <c r="T307" s="9" t="n">
        <f>ROUND($J307*1.637*1.75*2.1*2.3*2.6*1,0)</f>
        <v>26657868</v>
      </c>
      <c r="U307" s="3">
        <f t="shared" si="161"/>
        <v>127</v>
      </c>
      <c r="V307" s="10" t="n">
        <f>ROUND($J307*1.637*1.75*2.1*2.3*2.6*3.2*1,0)</f>
        <v>85305178</v>
      </c>
      <c r="W307" s="5">
        <f t="shared" si="162"/>
        <v>131</v>
      </c>
      <c r="X307" s="9" t="n">
        <f>ROUND($J307*1.637*1.75*2.1*2.3*2.6*3.2*4.2*1,0)</f>
        <v>358281747</v>
      </c>
      <c r="Y307" s="3">
        <f t="shared" si="163"/>
        <v>133</v>
      </c>
      <c r="Z307" s="10" t="n">
        <f>ROUND($J307*1.637*1.75*2.1*2.3*2.6*3.2*4.2*2.4*1,0)</f>
        <v>859876193</v>
      </c>
      <c r="AA307" s="5">
        <f t="shared" si="164"/>
        <v>135</v>
      </c>
      <c r="AB307" s="9" t="n">
        <f>ROUND($J307*1.637*1.75*2.1*2.3*2.6*3.2*4.2*2.4*2.5*1,0)</f>
        <v>2149690484</v>
      </c>
      <c r="AC307" s="3">
        <f t="shared" si="165"/>
        <v>137</v>
      </c>
      <c r="AD307" s="10" t="n">
        <f>ROUND($J307*1.637*1.75*2.1*2.3*2.6*3.2*4.2*2.4*2.5*2.8*1,0)</f>
        <v>6019133354</v>
      </c>
      <c r="AE307" s="5">
        <f t="shared" si="166"/>
        <v>140</v>
      </c>
      <c r="AF307" s="9" t="n">
        <f>ROUND($J307*1.637*1.75*2.1*2.3*2.6*3.2*4.2*2.4*2.5*2.8*3.2*1,0)</f>
        <v>19261226733</v>
      </c>
      <c r="AG307" s="3">
        <f t="shared" si="167"/>
        <v>143</v>
      </c>
      <c r="AH307" s="10" t="n">
        <f>ROUND($J307*1.637*1.75*2.1*2.3*2.6*3.2*4.2*2.4*2.5*2.8*3.2*3.8*1,0)</f>
        <v>73192661586</v>
      </c>
    </row>
    <row r="308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 t="n">
        <f>ROUND($J308*1.637*1,0)</f>
        <v>1355436</v>
      </c>
      <c r="M308" s="3">
        <f t="shared" si="157"/>
        <v>118</v>
      </c>
      <c r="N308" s="10" t="n">
        <f>ROUND($J308*1.637*1.75*1,0)</f>
        <v>2372013</v>
      </c>
      <c r="O308" s="5">
        <f t="shared" si="158"/>
        <v>120</v>
      </c>
      <c r="P308" s="9" t="n">
        <f>ROUND($J308*1.637*1.75*2.1*1,0)</f>
        <v>4981227</v>
      </c>
      <c r="Q308" s="3">
        <f t="shared" si="159"/>
        <v>122</v>
      </c>
      <c r="R308" s="10" t="n">
        <f>ROUND($J308*1.637*1.75*2.1*2.3*1,0)</f>
        <v>11456823</v>
      </c>
      <c r="S308" s="5">
        <f t="shared" si="160"/>
        <v>124</v>
      </c>
      <c r="T308" s="9" t="n">
        <f>ROUND($J308*1.637*1.75*2.1*2.3*2.6*1,0)</f>
        <v>29787739</v>
      </c>
      <c r="U308" s="3">
        <f t="shared" si="161"/>
        <v>127</v>
      </c>
      <c r="V308" s="10" t="n">
        <f>ROUND($J308*1.637*1.75*2.1*2.3*2.6*3.2*1,0)</f>
        <v>95320766</v>
      </c>
      <c r="W308" s="5">
        <f t="shared" si="162"/>
        <v>131</v>
      </c>
      <c r="X308" s="9" t="n">
        <f>ROUND($J308*1.637*1.75*2.1*2.3*2.6*3.2*4.2*1,0)</f>
        <v>400347216</v>
      </c>
      <c r="Y308" s="3">
        <f t="shared" si="163"/>
        <v>133</v>
      </c>
      <c r="Z308" s="10" t="n">
        <f>ROUND($J308*1.637*1.75*2.1*2.3*2.6*3.2*4.2*2.4*1,0)</f>
        <v>960833317</v>
      </c>
      <c r="AA308" s="5">
        <f t="shared" si="164"/>
        <v>135</v>
      </c>
      <c r="AB308" s="9" t="n">
        <f>ROUND($J308*1.637*1.75*2.1*2.3*2.6*3.2*4.2*2.4*2.5*1,0)</f>
        <v>2402083293</v>
      </c>
      <c r="AC308" s="3">
        <f t="shared" si="165"/>
        <v>137</v>
      </c>
      <c r="AD308" s="10" t="n">
        <f>ROUND($J308*1.637*1.75*2.1*2.3*2.6*3.2*4.2*2.4*2.5*2.8*1,0)</f>
        <v>6725833222</v>
      </c>
      <c r="AE308" s="5">
        <f t="shared" si="166"/>
        <v>140</v>
      </c>
      <c r="AF308" s="9" t="n">
        <f>ROUND($J308*1.637*1.75*2.1*2.3*2.6*3.2*4.2*2.4*2.5*2.8*3.2*1,0)</f>
        <v>21522666309</v>
      </c>
      <c r="AG308" s="3">
        <f t="shared" si="167"/>
        <v>143</v>
      </c>
      <c r="AH308" s="10" t="n">
        <f>ROUND($J308*1.637*1.75*2.1*2.3*2.6*3.2*4.2*2.4*2.5*2.8*3.2*3.8*1,0)</f>
        <v>81786131975</v>
      </c>
    </row>
    <row r="309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 t="n">
        <f>ROUND($J309*1.637*0.8,0)</f>
        <v>1110541</v>
      </c>
      <c r="M309" s="3">
        <f t="shared" si="157"/>
        <v>118</v>
      </c>
      <c r="N309" s="10" t="n">
        <f>ROUND($J309*1.637*1.75*0.8,0)</f>
        <v>1943446</v>
      </c>
      <c r="O309" s="5">
        <f t="shared" si="158"/>
        <v>120</v>
      </c>
      <c r="P309" s="9" t="n">
        <f>ROUND($J309*1.637*1.75*2.1*0.8,0)</f>
        <v>4081237</v>
      </c>
      <c r="Q309" s="3">
        <f t="shared" si="159"/>
        <v>122</v>
      </c>
      <c r="R309" s="10" t="n">
        <f>ROUND($J309*1.637*1.75*2.1*2.3*0.542035092435954,0)</f>
        <v>6360000</v>
      </c>
      <c r="S309" s="5">
        <f t="shared" si="160"/>
        <v>124</v>
      </c>
      <c r="T309" s="9" t="n">
        <f>ROUND($J309*1.637*1.75*2.1*2.3*2.6*0.544690061623969,0)</f>
        <v>16616996</v>
      </c>
      <c r="U309" s="3">
        <f t="shared" si="161"/>
        <v>127</v>
      </c>
      <c r="V309" s="10" t="n">
        <f>ROUND($J309*1.637*1.75*2.1*2.3*2.6*3.2*0.547345030811984,0)</f>
        <v>53433573</v>
      </c>
      <c r="W309" s="5">
        <f t="shared" si="162"/>
        <v>131</v>
      </c>
      <c r="X309" s="9" t="n">
        <f>ROUND($J309*1.637*1.75*2.1*2.3*2.6*3.2*4.2*0.55,0)</f>
        <v>225509591</v>
      </c>
      <c r="Y309" s="3">
        <f t="shared" si="163"/>
        <v>133</v>
      </c>
      <c r="Z309" s="10" t="n">
        <f>ROUND($J309*1.637*1.75*2.1*2.3*2.6*3.2*4.2*2.4*0.55,0)</f>
        <v>541223018</v>
      </c>
      <c r="AA309" s="5">
        <f t="shared" si="164"/>
        <v>135</v>
      </c>
      <c r="AB309" s="9" t="n">
        <f>ROUND($J309*1.637*1.75*2.1*2.3*2.6*3.2*4.2*2.4*2.5*0.55,0)</f>
        <v>1353057546</v>
      </c>
      <c r="AC309" s="3">
        <f t="shared" si="165"/>
        <v>137</v>
      </c>
      <c r="AD309" s="10" t="n">
        <f>ROUND($J309*1.637*1.75*2.1*2.3*2.6*3.2*4.2*2.4*2.5*2.8*0.55,0)</f>
        <v>3788561129</v>
      </c>
      <c r="AE309" s="5">
        <f t="shared" si="166"/>
        <v>140</v>
      </c>
      <c r="AF309" s="9" t="n">
        <f>ROUND($J309*1.637*1.75*2.1*2.3*2.6*3.2*4.2*2.4*2.5*2.8*3.2*0.55,0)</f>
        <v>12123395612</v>
      </c>
      <c r="AG309" s="3">
        <f t="shared" si="167"/>
        <v>143</v>
      </c>
      <c r="AH309" s="10" t="n">
        <f>ROUND($J309*1.637*1.75*2.1*2.3*2.6*3.2*4.2*2.4*2.5*2.8*3.2*3.8*0.55,0)</f>
        <v>46068903325</v>
      </c>
    </row>
    <row r="310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 t="n">
        <f>ROUND($J310*1.637*0.8,0)</f>
        <v>1169473</v>
      </c>
      <c r="M310" s="3">
        <f t="shared" si="157"/>
        <v>117</v>
      </c>
      <c r="N310" s="10" t="n">
        <f>ROUND($J310*1.637*1.75*0.8,0)</f>
        <v>2046577</v>
      </c>
      <c r="O310" s="5">
        <f t="shared" si="158"/>
        <v>119</v>
      </c>
      <c r="P310" s="9" t="n">
        <f>ROUND($J310*1.637*1.75*2.1*0.8,0)</f>
        <v>4297813</v>
      </c>
      <c r="Q310" s="3">
        <f t="shared" si="159"/>
        <v>121</v>
      </c>
      <c r="R310" s="10" t="n">
        <f>ROUND($J310*1.637*1.75*2.1*2.3*0.542035092435954,0)</f>
        <v>6697500</v>
      </c>
      <c r="S310" s="5">
        <f t="shared" si="160"/>
        <v>123</v>
      </c>
      <c r="T310" s="9" t="n">
        <f>ROUND($J310*1.637*1.75*2.1*2.3*2.6*0.544690061623969,0)</f>
        <v>17498794</v>
      </c>
      <c r="U310" s="3">
        <f t="shared" si="161"/>
        <v>126</v>
      </c>
      <c r="V310" s="10" t="n">
        <f>ROUND($J310*1.637*1.75*2.1*2.3*2.6*3.2*0.547345030811984,0)</f>
        <v>56269081</v>
      </c>
      <c r="W310" s="5">
        <f t="shared" si="162"/>
        <v>130</v>
      </c>
      <c r="X310" s="9" t="n">
        <f>ROUND($J310*1.637*1.75*2.1*2.3*2.6*3.2*4.2*0.55,0)</f>
        <v>237476491</v>
      </c>
      <c r="Y310" s="3">
        <f t="shared" si="163"/>
        <v>132</v>
      </c>
      <c r="Z310" s="10" t="n">
        <f>ROUND($J310*1.637*1.75*2.1*2.3*2.6*3.2*4.2*2.4*0.55,0)</f>
        <v>569943580</v>
      </c>
      <c r="AA310" s="5">
        <f t="shared" si="164"/>
        <v>134</v>
      </c>
      <c r="AB310" s="9" t="n">
        <f>ROUND($J310*1.637*1.75*2.1*2.3*2.6*3.2*4.2*2.4*2.5*0.55,0)</f>
        <v>1424858949</v>
      </c>
      <c r="AC310" s="3">
        <f t="shared" si="165"/>
        <v>136</v>
      </c>
      <c r="AD310" s="10" t="n">
        <f>ROUND($J310*1.637*1.75*2.1*2.3*2.6*3.2*4.2*2.4*2.5*2.8*0.55,0)</f>
        <v>3989605057</v>
      </c>
      <c r="AE310" s="5">
        <f t="shared" si="166"/>
        <v>139</v>
      </c>
      <c r="AF310" s="9" t="n">
        <f>ROUND($J310*1.637*1.75*2.1*2.3*2.6*3.2*4.2*2.4*2.5*2.8*3.2*0.55,0)</f>
        <v>12766736181</v>
      </c>
      <c r="AG310" s="3">
        <f t="shared" si="167"/>
        <v>142</v>
      </c>
      <c r="AH310" s="10" t="n">
        <f>ROUND($J310*1.637*1.75*2.1*2.3*2.6*3.2*4.2*2.4*2.5*2.8*3.2*3.8*0.55,0)</f>
        <v>48513597487</v>
      </c>
    </row>
    <row r="31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 t="n">
        <f>ROUND($J311*1.637*1,0)</f>
        <v>1252305</v>
      </c>
      <c r="M311" s="3">
        <f t="shared" si="157"/>
        <v>117</v>
      </c>
      <c r="N311" s="10" t="n">
        <f>ROUND($J311*1.637*1.75*1,0)</f>
        <v>2191534</v>
      </c>
      <c r="O311" s="5">
        <f t="shared" si="158"/>
        <v>119</v>
      </c>
      <c r="P311" s="9" t="n">
        <f>ROUND($J311*1.637*1.75*2.1*1,0)</f>
        <v>4602221</v>
      </c>
      <c r="Q311" s="3">
        <f t="shared" si="159"/>
        <v>121</v>
      </c>
      <c r="R311" s="10" t="n">
        <f>ROUND($J311*1.637*1.75*2.1*2.3*1,0)</f>
        <v>10585108</v>
      </c>
      <c r="S311" s="5">
        <f t="shared" si="160"/>
        <v>123</v>
      </c>
      <c r="T311" s="9" t="n">
        <f>ROUND($J311*1.637*1.75*2.1*2.3*2.6*1,0)</f>
        <v>27521281</v>
      </c>
      <c r="U311" s="3">
        <f t="shared" si="161"/>
        <v>126</v>
      </c>
      <c r="V311" s="10" t="n">
        <f>ROUND($J311*1.637*1.75*2.1*2.3*2.6*3.2*1,0)</f>
        <v>88068099</v>
      </c>
      <c r="W311" s="5">
        <f t="shared" si="162"/>
        <v>130</v>
      </c>
      <c r="X311" s="9" t="n">
        <f>ROUND($J311*1.637*1.75*2.1*2.3*2.6*3.2*4.2*1,0)</f>
        <v>369886014</v>
      </c>
      <c r="Y311" s="3">
        <f t="shared" si="163"/>
        <v>132</v>
      </c>
      <c r="Z311" s="10" t="n">
        <f>ROUND($J311*1.637*1.75*2.1*2.3*2.6*3.2*4.2*2.4*1,0)</f>
        <v>887726435</v>
      </c>
      <c r="AA311" s="5">
        <f t="shared" si="164"/>
        <v>134</v>
      </c>
      <c r="AB311" s="9" t="n">
        <f>ROUND($J311*1.637*1.75*2.1*2.3*2.6*3.2*4.2*2.4*2.5*1,0)</f>
        <v>2219316086</v>
      </c>
      <c r="AC311" s="3">
        <f t="shared" si="165"/>
        <v>136</v>
      </c>
      <c r="AD311" s="10" t="n">
        <f>ROUND($J311*1.637*1.75*2.1*2.3*2.6*3.2*4.2*2.4*2.5*2.8*1,0)</f>
        <v>6214085042</v>
      </c>
      <c r="AE311" s="5">
        <f t="shared" si="166"/>
        <v>139</v>
      </c>
      <c r="AF311" s="9" t="n">
        <f>ROUND($J311*1.637*1.75*2.1*2.3*2.6*3.2*4.2*2.4*2.5*2.8*3.2*1,0)</f>
        <v>19885072134</v>
      </c>
      <c r="AG311" s="3">
        <f t="shared" si="167"/>
        <v>142</v>
      </c>
      <c r="AH311" s="10" t="n">
        <f>ROUND($J311*1.637*1.75*2.1*2.3*2.6*3.2*4.2*2.4*2.5*2.8*3.2*3.8*1,0)</f>
        <v>75563274107</v>
      </c>
    </row>
    <row r="312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 t="n">
        <f>ROUND($J312*1.637*0.8,0)</f>
        <v>902314</v>
      </c>
      <c r="M312" s="3">
        <f t="shared" si="157"/>
        <v>117</v>
      </c>
      <c r="N312" s="10" t="n">
        <f>ROUND($J312*1.637*1.75*0.8,0)</f>
        <v>1579050</v>
      </c>
      <c r="O312" s="5">
        <f t="shared" si="158"/>
        <v>119</v>
      </c>
      <c r="P312" s="9" t="n">
        <f>ROUND($J312*1.637*1.75*2.1*0.8,0)</f>
        <v>3316005</v>
      </c>
      <c r="Q312" s="3">
        <f t="shared" si="159"/>
        <v>121</v>
      </c>
      <c r="R312" s="10" t="n">
        <f>ROUND($J312*1.637*1.75*2.1*2.3*0.542035092435954,0)</f>
        <v>5167500</v>
      </c>
      <c r="S312" s="5">
        <f t="shared" si="160"/>
        <v>123</v>
      </c>
      <c r="T312" s="9" t="n">
        <f>ROUND($J312*1.637*1.75*2.1*2.3*2.6*0.544690061623969,0)</f>
        <v>13501309</v>
      </c>
      <c r="U312" s="3">
        <f t="shared" si="161"/>
        <v>126</v>
      </c>
      <c r="V312" s="10" t="n">
        <f>ROUND($J312*1.637*1.75*2.1*2.3*2.6*3.2*0.547345030811984,0)</f>
        <v>43414778</v>
      </c>
      <c r="W312" s="5">
        <f t="shared" si="162"/>
        <v>130</v>
      </c>
      <c r="X312" s="9" t="n">
        <f>ROUND($J312*1.637*1.75*2.1*2.3*2.6*3.2*4.2*0.55,0)</f>
        <v>183226543</v>
      </c>
      <c r="Y312" s="3">
        <f t="shared" si="163"/>
        <v>132</v>
      </c>
      <c r="Z312" s="10" t="n">
        <f>ROUND($J312*1.637*1.75*2.1*2.3*2.6*3.2*4.2*2.4*0.55,0)</f>
        <v>439743702</v>
      </c>
      <c r="AA312" s="5">
        <f t="shared" si="164"/>
        <v>134</v>
      </c>
      <c r="AB312" s="9" t="n">
        <f>ROUND($J312*1.637*1.75*2.1*2.3*2.6*3.2*4.2*2.4*2.5*0.55,0)</f>
        <v>1099359256</v>
      </c>
      <c r="AC312" s="3">
        <f t="shared" si="165"/>
        <v>136</v>
      </c>
      <c r="AD312" s="10" t="n">
        <f>ROUND($J312*1.637*1.75*2.1*2.3*2.6*3.2*4.2*2.4*2.5*2.8*0.55,0)</f>
        <v>3078205917</v>
      </c>
      <c r="AE312" s="5">
        <f t="shared" si="166"/>
        <v>139</v>
      </c>
      <c r="AF312" s="9" t="n">
        <f>ROUND($J312*1.637*1.75*2.1*2.3*2.6*3.2*4.2*2.4*2.5*2.8*3.2*0.55,0)</f>
        <v>9850258935</v>
      </c>
      <c r="AG312" s="3">
        <f t="shared" si="167"/>
        <v>142</v>
      </c>
      <c r="AH312" s="10" t="n">
        <f>ROUND($J312*1.637*1.75*2.1*2.3*2.6*3.2*4.2*2.4*2.5*2.8*3.2*3.8*0.55,0)</f>
        <v>37430983952</v>
      </c>
    </row>
    <row r="313" ht="28" customHeight="1">
      <c r="A313" s="2" t="n">
        <v>323</v>
      </c>
      <c r="B313" s="2" t="str">
        <v>Đỗ Hùng Dũng</v>
      </c>
      <c r="C313" s="15" t="str">
        <v>INFINITE PRIME</v>
      </c>
      <c r="D313" s="2" t="str">
        <v>CM</v>
      </c>
      <c r="E313" s="2" t="n">
        <v>124</v>
      </c>
      <c r="F313" s="2" t="str">
        <v>Việt Nam</v>
      </c>
      <c r="G313" s="2" t="str">
        <v>Việt Nam</v>
      </c>
      <c r="H313" s="2" t="n">
        <v>29</v>
      </c>
      <c r="I313" s="3" t="n">
        <f>$E313+0</f>
        <v>124</v>
      </c>
      <c r="J313" s="16"/>
      <c r="K313" s="5" t="n">
        <f>$E313+1</f>
        <v>125</v>
      </c>
      <c r="L313" s="16"/>
      <c r="M313" s="3" t="n">
        <f>$E313+2</f>
        <v>126</v>
      </c>
      <c r="N313" s="16"/>
      <c r="O313" s="5" t="n">
        <f>$E313+4</f>
        <v>128</v>
      </c>
      <c r="P313" s="16"/>
      <c r="Q313" s="3" t="n">
        <f>$E313+6</f>
        <v>130</v>
      </c>
      <c r="R313" s="16"/>
      <c r="S313" s="5" t="n">
        <f>$E313+8</f>
        <v>132</v>
      </c>
      <c r="T313" s="16"/>
      <c r="U313" s="3" t="n">
        <f>$E313+11</f>
        <v>135</v>
      </c>
      <c r="V313" s="16"/>
      <c r="W313" s="5" t="n">
        <f>$E313+15</f>
        <v>139</v>
      </c>
      <c r="X313" s="16"/>
      <c r="Y313" s="3" t="n">
        <f>$E313+17</f>
        <v>141</v>
      </c>
      <c r="Z313" s="16"/>
      <c r="AA313" s="5" t="n">
        <f>$E313+19</f>
        <v>143</v>
      </c>
      <c r="AB313" s="16"/>
      <c r="AC313" s="3" t="n">
        <f>$E313+21</f>
        <v>145</v>
      </c>
      <c r="AD313" s="16"/>
      <c r="AE313" s="5" t="n">
        <f>$E313+24</f>
        <v>148</v>
      </c>
      <c r="AF313" s="16"/>
      <c r="AG313" s="3" t="n">
        <f>$E313+27</f>
        <v>151</v>
      </c>
      <c r="AH313" s="16"/>
    </row>
    <row r="314" ht="28" customHeight="1">
      <c r="A314" s="2" t="n">
        <v>324</v>
      </c>
      <c r="B314" s="2" t="str">
        <v>Nguyễn Quang Hải</v>
      </c>
      <c r="C314" s="15" t="str">
        <v>INFINITE PRIME</v>
      </c>
      <c r="D314" s="2" t="str">
        <v>CAM</v>
      </c>
      <c r="E314" s="2" t="n">
        <v>124</v>
      </c>
      <c r="F314" s="2" t="str">
        <v>Việt Nam</v>
      </c>
      <c r="G314" s="2" t="str">
        <v>Việt Nam</v>
      </c>
      <c r="H314" s="2" t="n">
        <v>30</v>
      </c>
      <c r="I314" s="3" t="n">
        <f>$E314+0</f>
        <v>124</v>
      </c>
      <c r="J314" s="16"/>
      <c r="K314" s="5" t="n">
        <f>$E314+1</f>
        <v>125</v>
      </c>
      <c r="L314" s="16"/>
      <c r="M314" s="3" t="n">
        <f>$E314+2</f>
        <v>126</v>
      </c>
      <c r="N314" s="16"/>
      <c r="O314" s="5" t="n">
        <f>$E314+4</f>
        <v>128</v>
      </c>
      <c r="P314" s="16"/>
      <c r="Q314" s="3" t="n">
        <f>$E314+6</f>
        <v>130</v>
      </c>
      <c r="R314" s="16"/>
      <c r="S314" s="5" t="n">
        <f>$E314+8</f>
        <v>132</v>
      </c>
      <c r="T314" s="16"/>
      <c r="U314" s="3" t="n">
        <f>$E314+11</f>
        <v>135</v>
      </c>
      <c r="V314" s="16"/>
      <c r="W314" s="5" t="n">
        <f>$E314+15</f>
        <v>139</v>
      </c>
      <c r="X314" s="16"/>
      <c r="Y314" s="3" t="n">
        <f>$E314+17</f>
        <v>141</v>
      </c>
      <c r="Z314" s="16"/>
      <c r="AA314" s="5" t="n">
        <f>$E314+19</f>
        <v>143</v>
      </c>
      <c r="AB314" s="16"/>
      <c r="AC314" s="3" t="n">
        <f>$E314+21</f>
        <v>145</v>
      </c>
      <c r="AD314" s="16"/>
      <c r="AE314" s="5" t="n">
        <f>$E314+24</f>
        <v>148</v>
      </c>
      <c r="AF314" s="16"/>
      <c r="AG314" s="3" t="n">
        <f>$E314+27</f>
        <v>151</v>
      </c>
      <c r="AH314" s="16"/>
    </row>
    <row r="315" ht="28" customHeight="1">
      <c r="A315" s="2" t="n">
        <v>325</v>
      </c>
      <c r="B315" s="2" t="str">
        <v>P. Čech</v>
      </c>
      <c r="C315" s="15" t="str">
        <v>INFINITE PRIME</v>
      </c>
      <c r="D315" s="2" t="str">
        <v>GK</v>
      </c>
      <c r="E315" s="2" t="n">
        <v>130</v>
      </c>
      <c r="F315" s="2" t="str">
        <v>CH Séc</v>
      </c>
      <c r="G315" s="2" t="str">
        <v>CH Séc</v>
      </c>
      <c r="H315" s="2" t="n">
        <v>30</v>
      </c>
      <c r="I315" s="3" t="n">
        <f>$E315+0</f>
        <v>130</v>
      </c>
      <c r="J315" s="16"/>
      <c r="K315" s="5" t="n">
        <f>$E315+1</f>
        <v>131</v>
      </c>
      <c r="L315" s="16"/>
      <c r="M315" s="3" t="n">
        <f>$E315+2</f>
        <v>132</v>
      </c>
      <c r="N315" s="16"/>
      <c r="O315" s="5" t="n">
        <f>$E315+4</f>
        <v>134</v>
      </c>
      <c r="P315" s="16"/>
      <c r="Q315" s="3" t="n">
        <f>$E315+6</f>
        <v>136</v>
      </c>
      <c r="R315" s="16"/>
      <c r="S315" s="5" t="n">
        <f>$E315+8</f>
        <v>138</v>
      </c>
      <c r="T315" s="16"/>
      <c r="U315" s="3" t="n">
        <f>$E315+11</f>
        <v>141</v>
      </c>
      <c r="V315" s="16"/>
      <c r="W315" s="5" t="n">
        <f>$E315+15</f>
        <v>145</v>
      </c>
      <c r="X315" s="16"/>
      <c r="Y315" s="3" t="n">
        <f>$E315+17</f>
        <v>147</v>
      </c>
      <c r="Z315" s="16"/>
      <c r="AA315" s="5" t="n">
        <f>$E315+19</f>
        <v>149</v>
      </c>
      <c r="AB315" s="16"/>
      <c r="AC315" s="3" t="n">
        <f>$E315+21</f>
        <v>151</v>
      </c>
      <c r="AD315" s="16"/>
      <c r="AE315" s="5" t="n">
        <f>$E315+24</f>
        <v>154</v>
      </c>
      <c r="AF315" s="16"/>
      <c r="AG315" s="3" t="n">
        <f>$E315+27</f>
        <v>157</v>
      </c>
      <c r="AH315" s="16"/>
    </row>
    <row r="316" ht="28" customHeight="1">
      <c r="A316" s="2" t="n">
        <v>326</v>
      </c>
      <c r="B316" s="2" t="str">
        <v>E. van der Sar</v>
      </c>
      <c r="C316" s="15" t="str">
        <v>INFINITE PRIME</v>
      </c>
      <c r="D316" s="2" t="str">
        <v>GK</v>
      </c>
      <c r="E316" s="2" t="n">
        <v>133</v>
      </c>
      <c r="F316" s="2" t="str">
        <v>Hà Lan</v>
      </c>
      <c r="G316" s="2" t="str">
        <v>Hà Lan</v>
      </c>
      <c r="H316" s="2" t="n">
        <v>32</v>
      </c>
      <c r="I316" s="3" t="n">
        <f>$E316+0</f>
        <v>133</v>
      </c>
      <c r="J316" s="16"/>
      <c r="K316" s="5" t="n">
        <f>$E316+1</f>
        <v>134</v>
      </c>
      <c r="L316" s="16"/>
      <c r="M316" s="3" t="n">
        <f>$E316+2</f>
        <v>135</v>
      </c>
      <c r="N316" s="16"/>
      <c r="O316" s="5" t="n">
        <f>$E316+4</f>
        <v>137</v>
      </c>
      <c r="P316" s="16"/>
      <c r="Q316" s="3" t="n">
        <f>$E316+6</f>
        <v>139</v>
      </c>
      <c r="R316" s="16"/>
      <c r="S316" s="5" t="n">
        <f>$E316+8</f>
        <v>141</v>
      </c>
      <c r="T316" s="16"/>
      <c r="U316" s="3" t="n">
        <f>$E316+11</f>
        <v>144</v>
      </c>
      <c r="V316" s="16"/>
      <c r="W316" s="5" t="n">
        <f>$E316+15</f>
        <v>148</v>
      </c>
      <c r="X316" s="16"/>
      <c r="Y316" s="3" t="n">
        <f>$E316+17</f>
        <v>150</v>
      </c>
      <c r="Z316" s="16"/>
      <c r="AA316" s="5" t="n">
        <f>$E316+19</f>
        <v>152</v>
      </c>
      <c r="AB316" s="16"/>
      <c r="AC316" s="3" t="n">
        <f>$E316+21</f>
        <v>154</v>
      </c>
      <c r="AD316" s="16"/>
      <c r="AE316" s="5" t="n">
        <f>$E316+24</f>
        <v>157</v>
      </c>
      <c r="AF316" s="16"/>
      <c r="AG316" s="3" t="n">
        <f>$E316+27</f>
        <v>160</v>
      </c>
      <c r="AH316" s="16"/>
    </row>
    <row r="317" ht="28" customHeight="1">
      <c r="A317" s="2" t="n">
        <v>327</v>
      </c>
      <c r="B317" s="2" t="str">
        <v>G. Buffon</v>
      </c>
      <c r="C317" s="15" t="str">
        <v>INFINITE PRIME</v>
      </c>
      <c r="D317" s="2" t="str">
        <v>GK</v>
      </c>
      <c r="E317" s="2" t="n">
        <v>136</v>
      </c>
      <c r="F317" s="2" t="str">
        <v>Ý</v>
      </c>
      <c r="G317" s="2" t="str">
        <v>Ý</v>
      </c>
      <c r="H317" s="2" t="n">
        <v>33</v>
      </c>
      <c r="I317" s="3" t="n">
        <f>$E317+0</f>
        <v>136</v>
      </c>
      <c r="J317" s="16"/>
      <c r="K317" s="5" t="n">
        <f>$E317+1</f>
        <v>137</v>
      </c>
      <c r="L317" s="16"/>
      <c r="M317" s="3" t="n">
        <f>$E317+2</f>
        <v>138</v>
      </c>
      <c r="N317" s="16"/>
      <c r="O317" s="5" t="n">
        <f>$E317+4</f>
        <v>140</v>
      </c>
      <c r="P317" s="16"/>
      <c r="Q317" s="3" t="n">
        <f>$E317+6</f>
        <v>142</v>
      </c>
      <c r="R317" s="16"/>
      <c r="S317" s="5" t="n">
        <f>$E317+8</f>
        <v>144</v>
      </c>
      <c r="T317" s="16"/>
      <c r="U317" s="3" t="n">
        <f>$E317+11</f>
        <v>147</v>
      </c>
      <c r="V317" s="16"/>
      <c r="W317" s="5" t="n">
        <f>$E317+15</f>
        <v>151</v>
      </c>
      <c r="X317" s="16"/>
      <c r="Y317" s="3" t="n">
        <f>$E317+17</f>
        <v>153</v>
      </c>
      <c r="Z317" s="16"/>
      <c r="AA317" s="5" t="n">
        <f>$E317+19</f>
        <v>155</v>
      </c>
      <c r="AB317" s="16"/>
      <c r="AC317" s="3" t="n">
        <f>$E317+21</f>
        <v>157</v>
      </c>
      <c r="AD317" s="16"/>
      <c r="AE317" s="5" t="n">
        <f>$E317+24</f>
        <v>160</v>
      </c>
      <c r="AF317" s="16"/>
      <c r="AG317" s="3" t="n">
        <f>$E317+27</f>
        <v>163</v>
      </c>
      <c r="AH317" s="16"/>
    </row>
    <row r="318" ht="28" customHeight="1">
      <c r="A318" s="2" t="n">
        <v>328</v>
      </c>
      <c r="B318" s="2" t="str">
        <v>G. Zambrotta</v>
      </c>
      <c r="C318" s="15" t="str">
        <v>INFINITE PRIME</v>
      </c>
      <c r="D318" s="2" t="str">
        <v>RB</v>
      </c>
      <c r="E318" s="2" t="n">
        <v>132</v>
      </c>
      <c r="F318" s="2" t="str">
        <v>Ý</v>
      </c>
      <c r="G318" s="2" t="str">
        <v>Ý</v>
      </c>
      <c r="H318" s="2" t="n">
        <v>34</v>
      </c>
      <c r="I318" s="3" t="n">
        <f>$E318+0</f>
        <v>132</v>
      </c>
      <c r="J318" s="16"/>
      <c r="K318" s="5" t="n">
        <f>$E318+1</f>
        <v>133</v>
      </c>
      <c r="L318" s="16"/>
      <c r="M318" s="3" t="n">
        <f>$E318+2</f>
        <v>134</v>
      </c>
      <c r="N318" s="16"/>
      <c r="O318" s="5" t="n">
        <f>$E318+4</f>
        <v>136</v>
      </c>
      <c r="P318" s="16"/>
      <c r="Q318" s="3" t="n">
        <f>$E318+6</f>
        <v>138</v>
      </c>
      <c r="R318" s="16"/>
      <c r="S318" s="5" t="n">
        <f>$E318+8</f>
        <v>140</v>
      </c>
      <c r="T318" s="16"/>
      <c r="U318" s="3" t="n">
        <f>$E318+11</f>
        <v>143</v>
      </c>
      <c r="V318" s="16"/>
      <c r="W318" s="5" t="n">
        <f>$E318+15</f>
        <v>147</v>
      </c>
      <c r="X318" s="16"/>
      <c r="Y318" s="3" t="n">
        <f>$E318+17</f>
        <v>149</v>
      </c>
      <c r="Z318" s="16"/>
      <c r="AA318" s="5" t="n">
        <f>$E318+19</f>
        <v>151</v>
      </c>
      <c r="AB318" s="16"/>
      <c r="AC318" s="3" t="n">
        <f>$E318+21</f>
        <v>153</v>
      </c>
      <c r="AD318" s="16"/>
      <c r="AE318" s="5" t="n">
        <f>$E318+24</f>
        <v>156</v>
      </c>
      <c r="AF318" s="16"/>
      <c r="AG318" s="3" t="n">
        <f>$E318+27</f>
        <v>159</v>
      </c>
      <c r="AH318" s="16"/>
    </row>
    <row r="319" ht="28" customHeight="1">
      <c r="A319" s="2" t="n">
        <v>329</v>
      </c>
      <c r="B319" s="2" t="str">
        <v>Lúcio</v>
      </c>
      <c r="C319" s="15" t="str">
        <v>INFINITE PRIME</v>
      </c>
      <c r="D319" s="2" t="str">
        <v>CB</v>
      </c>
      <c r="E319" s="2" t="n">
        <v>129</v>
      </c>
      <c r="F319" s="2" t="str">
        <v>Brazil</v>
      </c>
      <c r="G319" s="2" t="str">
        <v>Brazil</v>
      </c>
      <c r="H319" s="2" t="n">
        <v>32</v>
      </c>
      <c r="I319" s="3" t="n">
        <f>$E319+0</f>
        <v>129</v>
      </c>
      <c r="J319" s="16"/>
      <c r="K319" s="5" t="n">
        <f>$E319+1</f>
        <v>130</v>
      </c>
      <c r="L319" s="16"/>
      <c r="M319" s="3" t="n">
        <f>$E319+2</f>
        <v>131</v>
      </c>
      <c r="N319" s="16"/>
      <c r="O319" s="5" t="n">
        <f>$E319+4</f>
        <v>133</v>
      </c>
      <c r="P319" s="16"/>
      <c r="Q319" s="3" t="n">
        <f>$E319+6</f>
        <v>135</v>
      </c>
      <c r="R319" s="16"/>
      <c r="S319" s="5" t="n">
        <f>$E319+8</f>
        <v>137</v>
      </c>
      <c r="T319" s="16"/>
      <c r="U319" s="3" t="n">
        <f>$E319+11</f>
        <v>140</v>
      </c>
      <c r="V319" s="16"/>
      <c r="W319" s="5" t="n">
        <f>$E319+15</f>
        <v>144</v>
      </c>
      <c r="X319" s="16"/>
      <c r="Y319" s="3" t="n">
        <f>$E319+17</f>
        <v>146</v>
      </c>
      <c r="Z319" s="16"/>
      <c r="AA319" s="5" t="n">
        <f>$E319+19</f>
        <v>148</v>
      </c>
      <c r="AB319" s="16"/>
      <c r="AC319" s="3" t="n">
        <f>$E319+21</f>
        <v>150</v>
      </c>
      <c r="AD319" s="16"/>
      <c r="AE319" s="5" t="n">
        <f>$E319+24</f>
        <v>153</v>
      </c>
      <c r="AF319" s="16"/>
      <c r="AG319" s="3" t="n">
        <f>$E319+27</f>
        <v>156</v>
      </c>
      <c r="AH319" s="16"/>
    </row>
    <row r="320" ht="28" customHeight="1">
      <c r="A320" s="2" t="n">
        <v>330</v>
      </c>
      <c r="B320" s="2" t="str">
        <v>J. Stam</v>
      </c>
      <c r="C320" s="15" t="str">
        <v>INFINITE PRIME</v>
      </c>
      <c r="D320" s="2" t="str">
        <v>CB</v>
      </c>
      <c r="E320" s="2" t="n">
        <v>132</v>
      </c>
      <c r="F320" s="2" t="str">
        <v>Hà Lan</v>
      </c>
      <c r="G320" s="2" t="str">
        <v>Hà Lan</v>
      </c>
      <c r="H320" s="2" t="n">
        <v>34</v>
      </c>
      <c r="I320" s="3" t="n">
        <f>$E320+0</f>
        <v>132</v>
      </c>
      <c r="J320" s="16"/>
      <c r="K320" s="5" t="n">
        <f>$E320+1</f>
        <v>133</v>
      </c>
      <c r="L320" s="16"/>
      <c r="M320" s="3" t="n">
        <f>$E320+2</f>
        <v>134</v>
      </c>
      <c r="N320" s="16"/>
      <c r="O320" s="5" t="n">
        <f>$E320+4</f>
        <v>136</v>
      </c>
      <c r="P320" s="16"/>
      <c r="Q320" s="3" t="n">
        <f>$E320+6</f>
        <v>138</v>
      </c>
      <c r="R320" s="16"/>
      <c r="S320" s="5" t="n">
        <f>$E320+8</f>
        <v>140</v>
      </c>
      <c r="T320" s="16"/>
      <c r="U320" s="3" t="n">
        <f>$E320+11</f>
        <v>143</v>
      </c>
      <c r="V320" s="16"/>
      <c r="W320" s="5" t="n">
        <f>$E320+15</f>
        <v>147</v>
      </c>
      <c r="X320" s="16"/>
      <c r="Y320" s="3" t="n">
        <f>$E320+17</f>
        <v>149</v>
      </c>
      <c r="Z320" s="16"/>
      <c r="AA320" s="5" t="n">
        <f>$E320+19</f>
        <v>151</v>
      </c>
      <c r="AB320" s="16"/>
      <c r="AC320" s="3" t="n">
        <f>$E320+21</f>
        <v>153</v>
      </c>
      <c r="AD320" s="16"/>
      <c r="AE320" s="5" t="n">
        <f>$E320+24</f>
        <v>156</v>
      </c>
      <c r="AF320" s="16"/>
      <c r="AG320" s="3" t="n">
        <f>$E320+27</f>
        <v>159</v>
      </c>
      <c r="AH320" s="16"/>
    </row>
    <row r="321" ht="28" customHeight="1">
      <c r="A321" s="2" t="n">
        <v>331</v>
      </c>
      <c r="B321" s="2" t="str">
        <v>Marquinhos</v>
      </c>
      <c r="C321" s="15" t="str">
        <v>INFINITE PRIME</v>
      </c>
      <c r="D321" s="2" t="str">
        <v>CB</v>
      </c>
      <c r="E321" s="2" t="n">
        <v>132</v>
      </c>
      <c r="F321" s="2" t="str">
        <v>Brazil</v>
      </c>
      <c r="G321" s="2" t="str">
        <v>Brazil</v>
      </c>
      <c r="H321" s="2" t="n">
        <v>35</v>
      </c>
      <c r="I321" s="3" t="n">
        <f>$E321+0</f>
        <v>132</v>
      </c>
      <c r="J321" s="16"/>
      <c r="K321" s="5" t="n">
        <f>$E321+1</f>
        <v>133</v>
      </c>
      <c r="L321" s="16"/>
      <c r="M321" s="3" t="n">
        <f>$E321+2</f>
        <v>134</v>
      </c>
      <c r="N321" s="16"/>
      <c r="O321" s="5" t="n">
        <f>$E321+4</f>
        <v>136</v>
      </c>
      <c r="P321" s="16"/>
      <c r="Q321" s="3" t="n">
        <f>$E321+6</f>
        <v>138</v>
      </c>
      <c r="R321" s="16"/>
      <c r="S321" s="5" t="n">
        <f>$E321+8</f>
        <v>140</v>
      </c>
      <c r="T321" s="16"/>
      <c r="U321" s="3" t="n">
        <f>$E321+11</f>
        <v>143</v>
      </c>
      <c r="V321" s="16"/>
      <c r="W321" s="5" t="n">
        <f>$E321+15</f>
        <v>147</v>
      </c>
      <c r="X321" s="16"/>
      <c r="Y321" s="3" t="n">
        <f>$E321+17</f>
        <v>149</v>
      </c>
      <c r="Z321" s="16"/>
      <c r="AA321" s="5" t="n">
        <f>$E321+19</f>
        <v>151</v>
      </c>
      <c r="AB321" s="16"/>
      <c r="AC321" s="3" t="n">
        <f>$E321+21</f>
        <v>153</v>
      </c>
      <c r="AD321" s="16"/>
      <c r="AE321" s="5" t="n">
        <f>$E321+24</f>
        <v>156</v>
      </c>
      <c r="AF321" s="16"/>
      <c r="AG321" s="3" t="n">
        <f>$E321+27</f>
        <v>159</v>
      </c>
      <c r="AH321" s="16"/>
    </row>
    <row r="322" ht="28" customHeight="1">
      <c r="A322" s="2" t="n">
        <v>332</v>
      </c>
      <c r="B322" s="2" t="str">
        <v>M. Desailly</v>
      </c>
      <c r="C322" s="15" t="str">
        <v>INFINITE PRIME</v>
      </c>
      <c r="D322" s="2" t="str">
        <v>CB</v>
      </c>
      <c r="E322" s="2" t="n">
        <v>133</v>
      </c>
      <c r="F322" s="2" t="str">
        <v>Pháp</v>
      </c>
      <c r="G322" s="2" t="str">
        <v>Pháp</v>
      </c>
      <c r="H322" s="2" t="n">
        <v>35</v>
      </c>
      <c r="I322" s="3" t="n">
        <f>$E322+0</f>
        <v>133</v>
      </c>
      <c r="J322" s="16"/>
      <c r="K322" s="5" t="n">
        <f>$E322+1</f>
        <v>134</v>
      </c>
      <c r="L322" s="16"/>
      <c r="M322" s="3" t="n">
        <f>$E322+2</f>
        <v>135</v>
      </c>
      <c r="N322" s="16"/>
      <c r="O322" s="5" t="n">
        <f>$E322+4</f>
        <v>137</v>
      </c>
      <c r="P322" s="16"/>
      <c r="Q322" s="3" t="n">
        <f>$E322+6</f>
        <v>139</v>
      </c>
      <c r="R322" s="16"/>
      <c r="S322" s="5" t="n">
        <f>$E322+8</f>
        <v>141</v>
      </c>
      <c r="T322" s="16"/>
      <c r="U322" s="3" t="n">
        <f>$E322+11</f>
        <v>144</v>
      </c>
      <c r="V322" s="16"/>
      <c r="W322" s="5" t="n">
        <f>$E322+15</f>
        <v>148</v>
      </c>
      <c r="X322" s="16"/>
      <c r="Y322" s="3" t="n">
        <f>$E322+17</f>
        <v>150</v>
      </c>
      <c r="Z322" s="16"/>
      <c r="AA322" s="5" t="n">
        <f>$E322+19</f>
        <v>152</v>
      </c>
      <c r="AB322" s="16"/>
      <c r="AC322" s="3" t="n">
        <f>$E322+21</f>
        <v>154</v>
      </c>
      <c r="AD322" s="16"/>
      <c r="AE322" s="5" t="n">
        <f>$E322+24</f>
        <v>157</v>
      </c>
      <c r="AF322" s="16"/>
      <c r="AG322" s="3" t="n">
        <f>$E322+27</f>
        <v>160</v>
      </c>
      <c r="AH322" s="16"/>
    </row>
    <row r="323" ht="28" customHeight="1">
      <c r="A323" s="2" t="n">
        <v>333</v>
      </c>
      <c r="B323" s="2" t="str">
        <v>Fernando Hierro</v>
      </c>
      <c r="C323" s="15" t="str">
        <v>INFINITE PRIME</v>
      </c>
      <c r="D323" s="2" t="str">
        <v>CB</v>
      </c>
      <c r="E323" s="2" t="n">
        <v>133</v>
      </c>
      <c r="F323" s="2" t="str">
        <v>Tây Ban Nha</v>
      </c>
      <c r="G323" s="2" t="str">
        <v>Tây Ban Nha</v>
      </c>
      <c r="H323" s="2" t="n">
        <v>34</v>
      </c>
      <c r="I323" s="3" t="n">
        <f>$E323+0</f>
        <v>133</v>
      </c>
      <c r="J323" s="16"/>
      <c r="K323" s="5" t="n">
        <f>$E323+1</f>
        <v>134</v>
      </c>
      <c r="L323" s="16"/>
      <c r="M323" s="3" t="n">
        <f>$E323+2</f>
        <v>135</v>
      </c>
      <c r="N323" s="16"/>
      <c r="O323" s="5" t="n">
        <f>$E323+4</f>
        <v>137</v>
      </c>
      <c r="P323" s="16"/>
      <c r="Q323" s="3" t="n">
        <f>$E323+6</f>
        <v>139</v>
      </c>
      <c r="R323" s="16"/>
      <c r="S323" s="5" t="n">
        <f>$E323+8</f>
        <v>141</v>
      </c>
      <c r="T323" s="16"/>
      <c r="U323" s="3" t="n">
        <f>$E323+11</f>
        <v>144</v>
      </c>
      <c r="V323" s="16"/>
      <c r="W323" s="5" t="n">
        <f>$E323+15</f>
        <v>148</v>
      </c>
      <c r="X323" s="16"/>
      <c r="Y323" s="3" t="n">
        <f>$E323+17</f>
        <v>150</v>
      </c>
      <c r="Z323" s="16"/>
      <c r="AA323" s="5" t="n">
        <f>$E323+19</f>
        <v>152</v>
      </c>
      <c r="AB323" s="16"/>
      <c r="AC323" s="3" t="n">
        <f>$E323+21</f>
        <v>154</v>
      </c>
      <c r="AD323" s="16"/>
      <c r="AE323" s="5" t="n">
        <f>$E323+24</f>
        <v>157</v>
      </c>
      <c r="AF323" s="16"/>
      <c r="AG323" s="3" t="n">
        <f>$E323+27</f>
        <v>160</v>
      </c>
      <c r="AH323" s="16"/>
    </row>
    <row r="324" ht="28" customHeight="1">
      <c r="A324" s="2" t="n">
        <v>334</v>
      </c>
      <c r="B324" s="2" t="str">
        <v>L. Blanc</v>
      </c>
      <c r="C324" s="15" t="str">
        <v>INFINITE PRIME</v>
      </c>
      <c r="D324" s="2" t="str">
        <v>CB</v>
      </c>
      <c r="E324" s="2" t="n">
        <v>133</v>
      </c>
      <c r="F324" s="2" t="str">
        <v>Pháp</v>
      </c>
      <c r="G324" s="2" t="str">
        <v>Pháp</v>
      </c>
      <c r="H324" s="2" t="n">
        <v>34</v>
      </c>
      <c r="I324" s="3" t="n">
        <f>$E324+0</f>
        <v>133</v>
      </c>
      <c r="J324" s="16"/>
      <c r="K324" s="5" t="n">
        <f>$E324+1</f>
        <v>134</v>
      </c>
      <c r="L324" s="16"/>
      <c r="M324" s="3" t="n">
        <f>$E324+2</f>
        <v>135</v>
      </c>
      <c r="N324" s="16"/>
      <c r="O324" s="5" t="n">
        <f>$E324+4</f>
        <v>137</v>
      </c>
      <c r="P324" s="16"/>
      <c r="Q324" s="3" t="n">
        <f>$E324+6</f>
        <v>139</v>
      </c>
      <c r="R324" s="16"/>
      <c r="S324" s="5" t="n">
        <f>$E324+8</f>
        <v>141</v>
      </c>
      <c r="T324" s="16"/>
      <c r="U324" s="3" t="n">
        <f>$E324+11</f>
        <v>144</v>
      </c>
      <c r="V324" s="16"/>
      <c r="W324" s="5" t="n">
        <f>$E324+15</f>
        <v>148</v>
      </c>
      <c r="X324" s="16"/>
      <c r="Y324" s="3" t="n">
        <f>$E324+17</f>
        <v>150</v>
      </c>
      <c r="Z324" s="16"/>
      <c r="AA324" s="5" t="n">
        <f>$E324+19</f>
        <v>152</v>
      </c>
      <c r="AB324" s="16"/>
      <c r="AC324" s="3" t="n">
        <f>$E324+21</f>
        <v>154</v>
      </c>
      <c r="AD324" s="16"/>
      <c r="AE324" s="5" t="n">
        <f>$E324+24</f>
        <v>157</v>
      </c>
      <c r="AF324" s="16"/>
      <c r="AG324" s="3" t="n">
        <f>$E324+27</f>
        <v>160</v>
      </c>
      <c r="AH324" s="16"/>
    </row>
    <row r="325" ht="28" customHeight="1">
      <c r="A325" s="2" t="n">
        <v>335</v>
      </c>
      <c r="B325" s="2" t="str">
        <v>R. Ferdinand</v>
      </c>
      <c r="C325" s="15" t="str">
        <v>INFINITE PRIME</v>
      </c>
      <c r="D325" s="2" t="str">
        <v>CB</v>
      </c>
      <c r="E325" s="2" t="n">
        <v>135</v>
      </c>
      <c r="F325" s="2" t="str">
        <v>Anh</v>
      </c>
      <c r="G325" s="2" t="str">
        <v>Anh</v>
      </c>
      <c r="H325" s="2" t="n">
        <v>37</v>
      </c>
      <c r="I325" s="3" t="n">
        <f>$E325+0</f>
        <v>135</v>
      </c>
      <c r="J325" s="16"/>
      <c r="K325" s="5" t="n">
        <f>$E325+1</f>
        <v>136</v>
      </c>
      <c r="L325" s="16"/>
      <c r="M325" s="3" t="n">
        <f>$E325+2</f>
        <v>137</v>
      </c>
      <c r="N325" s="16"/>
      <c r="O325" s="5" t="n">
        <f>$E325+4</f>
        <v>139</v>
      </c>
      <c r="P325" s="16"/>
      <c r="Q325" s="3" t="n">
        <f>$E325+6</f>
        <v>141</v>
      </c>
      <c r="R325" s="16"/>
      <c r="S325" s="5" t="n">
        <f>$E325+8</f>
        <v>143</v>
      </c>
      <c r="T325" s="16"/>
      <c r="U325" s="3" t="n">
        <f>$E325+11</f>
        <v>146</v>
      </c>
      <c r="V325" s="16"/>
      <c r="W325" s="5" t="n">
        <f>$E325+15</f>
        <v>150</v>
      </c>
      <c r="X325" s="16"/>
      <c r="Y325" s="3" t="n">
        <f>$E325+17</f>
        <v>152</v>
      </c>
      <c r="Z325" s="16"/>
      <c r="AA325" s="5" t="n">
        <f>$E325+19</f>
        <v>154</v>
      </c>
      <c r="AB325" s="16"/>
      <c r="AC325" s="3" t="n">
        <f>$E325+21</f>
        <v>156</v>
      </c>
      <c r="AD325" s="16"/>
      <c r="AE325" s="5" t="n">
        <f>$E325+24</f>
        <v>159</v>
      </c>
      <c r="AF325" s="16"/>
      <c r="AG325" s="3" t="n">
        <f>$E325+27</f>
        <v>162</v>
      </c>
      <c r="AH325" s="16"/>
    </row>
    <row r="326" ht="28" customHeight="1">
      <c r="A326" s="2" t="n">
        <v>336</v>
      </c>
      <c r="B326" s="2" t="str">
        <v>B. Moore</v>
      </c>
      <c r="C326" s="15" t="str">
        <v>INFINITE PRIME</v>
      </c>
      <c r="D326" s="2" t="str">
        <v>CB</v>
      </c>
      <c r="E326" s="2" t="n">
        <v>135</v>
      </c>
      <c r="F326" s="2" t="str">
        <v>Anh</v>
      </c>
      <c r="G326" s="2" t="str">
        <v>Anh</v>
      </c>
      <c r="H326" s="2" t="n">
        <v>36</v>
      </c>
      <c r="I326" s="3" t="n">
        <f>$E326+0</f>
        <v>135</v>
      </c>
      <c r="J326" s="16"/>
      <c r="K326" s="5" t="n">
        <f>$E326+1</f>
        <v>136</v>
      </c>
      <c r="L326" s="16"/>
      <c r="M326" s="3" t="n">
        <f>$E326+2</f>
        <v>137</v>
      </c>
      <c r="N326" s="16"/>
      <c r="O326" s="5" t="n">
        <f>$E326+4</f>
        <v>139</v>
      </c>
      <c r="P326" s="16"/>
      <c r="Q326" s="3" t="n">
        <f>$E326+6</f>
        <v>141</v>
      </c>
      <c r="R326" s="16"/>
      <c r="S326" s="5" t="n">
        <f>$E326+8</f>
        <v>143</v>
      </c>
      <c r="T326" s="16"/>
      <c r="U326" s="3" t="n">
        <f>$E326+11</f>
        <v>146</v>
      </c>
      <c r="V326" s="16"/>
      <c r="W326" s="5" t="n">
        <f>$E326+15</f>
        <v>150</v>
      </c>
      <c r="X326" s="16"/>
      <c r="Y326" s="3" t="n">
        <f>$E326+17</f>
        <v>152</v>
      </c>
      <c r="Z326" s="16"/>
      <c r="AA326" s="5" t="n">
        <f>$E326+19</f>
        <v>154</v>
      </c>
      <c r="AB326" s="16"/>
      <c r="AC326" s="3" t="n">
        <f>$E326+21</f>
        <v>156</v>
      </c>
      <c r="AD326" s="16"/>
      <c r="AE326" s="5" t="n">
        <f>$E326+24</f>
        <v>159</v>
      </c>
      <c r="AF326" s="16"/>
      <c r="AG326" s="3" t="n">
        <f>$E326+27</f>
        <v>162</v>
      </c>
      <c r="AH326" s="16"/>
    </row>
    <row r="327" ht="28" customHeight="1">
      <c r="A327" s="2" t="n">
        <v>337</v>
      </c>
      <c r="B327" s="2" t="str">
        <v>F. Beckenbauer</v>
      </c>
      <c r="C327" s="15" t="str">
        <v>INFINITE PRIME</v>
      </c>
      <c r="D327" s="2" t="str">
        <v>CB</v>
      </c>
      <c r="E327" s="2" t="n">
        <v>136</v>
      </c>
      <c r="F327" s="2" t="str">
        <v>Đức</v>
      </c>
      <c r="G327" s="2" t="str">
        <v>Đức</v>
      </c>
      <c r="H327" s="2" t="n">
        <v>37</v>
      </c>
      <c r="I327" s="3" t="n">
        <f>$E327+0</f>
        <v>136</v>
      </c>
      <c r="J327" s="16"/>
      <c r="K327" s="5" t="n">
        <f>$E327+1</f>
        <v>137</v>
      </c>
      <c r="L327" s="16"/>
      <c r="M327" s="3" t="n">
        <f>$E327+2</f>
        <v>138</v>
      </c>
      <c r="N327" s="16"/>
      <c r="O327" s="5" t="n">
        <f>$E327+4</f>
        <v>140</v>
      </c>
      <c r="P327" s="16"/>
      <c r="Q327" s="3" t="n">
        <f>$E327+6</f>
        <v>142</v>
      </c>
      <c r="R327" s="16"/>
      <c r="S327" s="5" t="n">
        <f>$E327+8</f>
        <v>144</v>
      </c>
      <c r="T327" s="16"/>
      <c r="U327" s="3" t="n">
        <f>$E327+11</f>
        <v>147</v>
      </c>
      <c r="V327" s="16"/>
      <c r="W327" s="5" t="n">
        <f>$E327+15</f>
        <v>151</v>
      </c>
      <c r="X327" s="16"/>
      <c r="Y327" s="3" t="n">
        <f>$E327+17</f>
        <v>153</v>
      </c>
      <c r="Z327" s="16"/>
      <c r="AA327" s="5" t="n">
        <f>$E327+19</f>
        <v>155</v>
      </c>
      <c r="AB327" s="16"/>
      <c r="AC327" s="3" t="n">
        <f>$E327+21</f>
        <v>157</v>
      </c>
      <c r="AD327" s="16"/>
      <c r="AE327" s="5" t="n">
        <f>$E327+24</f>
        <v>160</v>
      </c>
      <c r="AF327" s="16"/>
      <c r="AG327" s="3" t="n">
        <f>$E327+27</f>
        <v>163</v>
      </c>
      <c r="AH327" s="16"/>
    </row>
    <row r="328" ht="28" customHeight="1">
      <c r="A328" s="2" t="n">
        <v>338</v>
      </c>
      <c r="B328" s="2" t="str">
        <v>Roberto Carlos</v>
      </c>
      <c r="C328" s="15" t="str">
        <v>INFINITE PRIME</v>
      </c>
      <c r="D328" s="2" t="str">
        <v>LB</v>
      </c>
      <c r="E328" s="2" t="n">
        <v>135</v>
      </c>
      <c r="F328" s="2" t="str">
        <v>Brazil</v>
      </c>
      <c r="G328" s="2" t="str">
        <v>Brazil</v>
      </c>
      <c r="H328" s="2" t="n">
        <v>36</v>
      </c>
      <c r="I328" s="3" t="n">
        <f>$E328+0</f>
        <v>135</v>
      </c>
      <c r="J328" s="16"/>
      <c r="K328" s="5" t="n">
        <f>$E328+1</f>
        <v>136</v>
      </c>
      <c r="L328" s="16"/>
      <c r="M328" s="3" t="n">
        <f>$E328+2</f>
        <v>137</v>
      </c>
      <c r="N328" s="16"/>
      <c r="O328" s="5" t="n">
        <f>$E328+4</f>
        <v>139</v>
      </c>
      <c r="P328" s="16"/>
      <c r="Q328" s="3" t="n">
        <f>$E328+6</f>
        <v>141</v>
      </c>
      <c r="R328" s="16"/>
      <c r="S328" s="5" t="n">
        <f>$E328+8</f>
        <v>143</v>
      </c>
      <c r="T328" s="16"/>
      <c r="U328" s="3" t="n">
        <f>$E328+11</f>
        <v>146</v>
      </c>
      <c r="V328" s="16"/>
      <c r="W328" s="5" t="n">
        <f>$E328+15</f>
        <v>150</v>
      </c>
      <c r="X328" s="16"/>
      <c r="Y328" s="3" t="n">
        <f>$E328+17</f>
        <v>152</v>
      </c>
      <c r="Z328" s="16"/>
      <c r="AA328" s="5" t="n">
        <f>$E328+19</f>
        <v>154</v>
      </c>
      <c r="AB328" s="16"/>
      <c r="AC328" s="3" t="n">
        <f>$E328+21</f>
        <v>156</v>
      </c>
      <c r="AD328" s="16"/>
      <c r="AE328" s="5" t="n">
        <f>$E328+24</f>
        <v>159</v>
      </c>
      <c r="AF328" s="16"/>
      <c r="AG328" s="3" t="n">
        <f>$E328+27</f>
        <v>162</v>
      </c>
      <c r="AH328" s="16"/>
    </row>
    <row r="329" ht="28" customHeight="1">
      <c r="A329" s="2" t="n">
        <v>339</v>
      </c>
      <c r="B329" s="2" t="str">
        <v>P. Maldini</v>
      </c>
      <c r="C329" s="15" t="str">
        <v>INFINITE PRIME</v>
      </c>
      <c r="D329" s="2" t="str">
        <v>LB</v>
      </c>
      <c r="E329" s="2" t="n">
        <v>136</v>
      </c>
      <c r="F329" s="2" t="str">
        <v>Ý</v>
      </c>
      <c r="G329" s="2" t="str">
        <v>Ý</v>
      </c>
      <c r="H329" s="2" t="n">
        <v>37</v>
      </c>
      <c r="I329" s="3" t="n">
        <f>$E329+0</f>
        <v>136</v>
      </c>
      <c r="J329" s="16"/>
      <c r="K329" s="5" t="n">
        <f>$E329+1</f>
        <v>137</v>
      </c>
      <c r="L329" s="16"/>
      <c r="M329" s="3" t="n">
        <f>$E329+2</f>
        <v>138</v>
      </c>
      <c r="N329" s="16"/>
      <c r="O329" s="5" t="n">
        <f>$E329+4</f>
        <v>140</v>
      </c>
      <c r="P329" s="16"/>
      <c r="Q329" s="3" t="n">
        <f>$E329+6</f>
        <v>142</v>
      </c>
      <c r="R329" s="16"/>
      <c r="S329" s="5" t="n">
        <f>$E329+8</f>
        <v>144</v>
      </c>
      <c r="T329" s="16"/>
      <c r="U329" s="3" t="n">
        <f>$E329+11</f>
        <v>147</v>
      </c>
      <c r="V329" s="16"/>
      <c r="W329" s="5" t="n">
        <f>$E329+15</f>
        <v>151</v>
      </c>
      <c r="X329" s="16"/>
      <c r="Y329" s="3" t="n">
        <f>$E329+17</f>
        <v>153</v>
      </c>
      <c r="Z329" s="16"/>
      <c r="AA329" s="5" t="n">
        <f>$E329+19</f>
        <v>155</v>
      </c>
      <c r="AB329" s="16"/>
      <c r="AC329" s="3" t="n">
        <f>$E329+21</f>
        <v>157</v>
      </c>
      <c r="AD329" s="16"/>
      <c r="AE329" s="5" t="n">
        <f>$E329+24</f>
        <v>160</v>
      </c>
      <c r="AF329" s="16"/>
      <c r="AG329" s="3" t="n">
        <f>$E329+27</f>
        <v>163</v>
      </c>
      <c r="AH329" s="16"/>
    </row>
    <row r="330" ht="28" customHeight="1">
      <c r="A330" s="2" t="n">
        <v>340</v>
      </c>
      <c r="B330" s="2" t="str">
        <v>M. Essien</v>
      </c>
      <c r="C330" s="15" t="str">
        <v>INFINITE PRIME</v>
      </c>
      <c r="D330" s="2" t="str">
        <v>CDM</v>
      </c>
      <c r="E330" s="2" t="n">
        <v>131</v>
      </c>
      <c r="F330" s="2" t="str">
        <v>Ghana</v>
      </c>
      <c r="G330" s="2" t="str">
        <v>Ghana</v>
      </c>
      <c r="H330" s="2" t="n">
        <v>34</v>
      </c>
      <c r="I330" s="3" t="n">
        <f>$E330+0</f>
        <v>131</v>
      </c>
      <c r="J330" s="16"/>
      <c r="K330" s="5" t="n">
        <f>$E330+1</f>
        <v>132</v>
      </c>
      <c r="L330" s="16"/>
      <c r="M330" s="3" t="n">
        <f>$E330+2</f>
        <v>133</v>
      </c>
      <c r="N330" s="16"/>
      <c r="O330" s="5" t="n">
        <f>$E330+4</f>
        <v>135</v>
      </c>
      <c r="P330" s="16"/>
      <c r="Q330" s="3" t="n">
        <f>$E330+6</f>
        <v>137</v>
      </c>
      <c r="R330" s="16"/>
      <c r="S330" s="5" t="n">
        <f>$E330+8</f>
        <v>139</v>
      </c>
      <c r="T330" s="16"/>
      <c r="U330" s="3" t="n">
        <f>$E330+11</f>
        <v>142</v>
      </c>
      <c r="V330" s="16"/>
      <c r="W330" s="5" t="n">
        <f>$E330+15</f>
        <v>146</v>
      </c>
      <c r="X330" s="16"/>
      <c r="Y330" s="3" t="n">
        <f>$E330+17</f>
        <v>148</v>
      </c>
      <c r="Z330" s="16"/>
      <c r="AA330" s="5" t="n">
        <f>$E330+19</f>
        <v>150</v>
      </c>
      <c r="AB330" s="16"/>
      <c r="AC330" s="3" t="n">
        <f>$E330+21</f>
        <v>152</v>
      </c>
      <c r="AD330" s="16"/>
      <c r="AE330" s="5" t="n">
        <f>$E330+24</f>
        <v>155</v>
      </c>
      <c r="AF330" s="16"/>
      <c r="AG330" s="3" t="n">
        <f>$E330+27</f>
        <v>158</v>
      </c>
      <c r="AH330" s="16"/>
    </row>
    <row r="331" ht="28" customHeight="1">
      <c r="A331" s="2" t="n">
        <v>341</v>
      </c>
      <c r="B331" s="2" t="str">
        <v>G. Gattuso</v>
      </c>
      <c r="C331" s="15" t="str">
        <v>INFINITE PRIME</v>
      </c>
      <c r="D331" s="2" t="str">
        <v>CDM</v>
      </c>
      <c r="E331" s="2" t="n">
        <v>132</v>
      </c>
      <c r="F331" s="2" t="str">
        <v>Ý</v>
      </c>
      <c r="G331" s="2" t="str">
        <v>Ý</v>
      </c>
      <c r="H331" s="2" t="n">
        <v>34</v>
      </c>
      <c r="I331" s="3" t="n">
        <f>$E331+0</f>
        <v>132</v>
      </c>
      <c r="J331" s="16"/>
      <c r="K331" s="5" t="n">
        <f>$E331+1</f>
        <v>133</v>
      </c>
      <c r="L331" s="16"/>
      <c r="M331" s="3" t="n">
        <f>$E331+2</f>
        <v>134</v>
      </c>
      <c r="N331" s="16"/>
      <c r="O331" s="5" t="n">
        <f>$E331+4</f>
        <v>136</v>
      </c>
      <c r="P331" s="16"/>
      <c r="Q331" s="3" t="n">
        <f>$E331+6</f>
        <v>138</v>
      </c>
      <c r="R331" s="16"/>
      <c r="S331" s="5" t="n">
        <f>$E331+8</f>
        <v>140</v>
      </c>
      <c r="T331" s="16"/>
      <c r="U331" s="3" t="n">
        <f>$E331+11</f>
        <v>143</v>
      </c>
      <c r="V331" s="16"/>
      <c r="W331" s="5" t="n">
        <f>$E331+15</f>
        <v>147</v>
      </c>
      <c r="X331" s="16"/>
      <c r="Y331" s="3" t="n">
        <f>$E331+17</f>
        <v>149</v>
      </c>
      <c r="Z331" s="16"/>
      <c r="AA331" s="5" t="n">
        <f>$E331+19</f>
        <v>151</v>
      </c>
      <c r="AB331" s="16"/>
      <c r="AC331" s="3" t="n">
        <f>$E331+21</f>
        <v>153</v>
      </c>
      <c r="AD331" s="16"/>
      <c r="AE331" s="5" t="n">
        <f>$E331+24</f>
        <v>156</v>
      </c>
      <c r="AF331" s="16"/>
      <c r="AG331" s="3" t="n">
        <f>$E331+27</f>
        <v>159</v>
      </c>
      <c r="AH331" s="16"/>
    </row>
    <row r="332" ht="28" customHeight="1">
      <c r="A332" s="2" t="n">
        <v>342</v>
      </c>
      <c r="B332" s="2" t="str">
        <v>Casemiro</v>
      </c>
      <c r="C332" s="15" t="str">
        <v>INFINITE PRIME</v>
      </c>
      <c r="D332" s="2" t="str">
        <v>CDM</v>
      </c>
      <c r="E332" s="2" t="n">
        <v>134</v>
      </c>
      <c r="F332" s="2" t="str">
        <v>Brazil</v>
      </c>
      <c r="G332" s="2" t="str">
        <v>Brazil</v>
      </c>
      <c r="H332" s="2" t="n">
        <v>35</v>
      </c>
      <c r="I332" s="3" t="n">
        <f>$E332+0</f>
        <v>134</v>
      </c>
      <c r="J332" s="16"/>
      <c r="K332" s="5" t="n">
        <f>$E332+1</f>
        <v>135</v>
      </c>
      <c r="L332" s="16"/>
      <c r="M332" s="3" t="n">
        <f>$E332+2</f>
        <v>136</v>
      </c>
      <c r="N332" s="16"/>
      <c r="O332" s="5" t="n">
        <f>$E332+4</f>
        <v>138</v>
      </c>
      <c r="P332" s="16"/>
      <c r="Q332" s="3" t="n">
        <f>$E332+6</f>
        <v>140</v>
      </c>
      <c r="R332" s="16"/>
      <c r="S332" s="5" t="n">
        <f>$E332+8</f>
        <v>142</v>
      </c>
      <c r="T332" s="16"/>
      <c r="U332" s="3" t="n">
        <f>$E332+11</f>
        <v>145</v>
      </c>
      <c r="V332" s="16"/>
      <c r="W332" s="5" t="n">
        <f>$E332+15</f>
        <v>149</v>
      </c>
      <c r="X332" s="16"/>
      <c r="Y332" s="3" t="n">
        <f>$E332+17</f>
        <v>151</v>
      </c>
      <c r="Z332" s="16"/>
      <c r="AA332" s="5" t="n">
        <f>$E332+19</f>
        <v>153</v>
      </c>
      <c r="AB332" s="16"/>
      <c r="AC332" s="3" t="n">
        <f>$E332+21</f>
        <v>155</v>
      </c>
      <c r="AD332" s="16"/>
      <c r="AE332" s="5" t="n">
        <f>$E332+24</f>
        <v>158</v>
      </c>
      <c r="AF332" s="16"/>
      <c r="AG332" s="3" t="n">
        <f>$E332+27</f>
        <v>161</v>
      </c>
      <c r="AH332" s="16"/>
    </row>
    <row r="333" ht="28" customHeight="1">
      <c r="A333" s="2" t="n">
        <v>343</v>
      </c>
      <c r="B333" s="2" t="str">
        <v>P. Vieira</v>
      </c>
      <c r="C333" s="15" t="str">
        <v>INFINITE PRIME</v>
      </c>
      <c r="D333" s="2" t="str">
        <v>CDM</v>
      </c>
      <c r="E333" s="2" t="n">
        <v>135</v>
      </c>
      <c r="F333" s="2" t="str">
        <v>Pháp</v>
      </c>
      <c r="G333" s="2" t="str">
        <v>Pháp</v>
      </c>
      <c r="H333" s="2" t="n">
        <v>36</v>
      </c>
      <c r="I333" s="3" t="n">
        <f>$E333+0</f>
        <v>135</v>
      </c>
      <c r="J333" s="16"/>
      <c r="K333" s="5" t="n">
        <f>$E333+1</f>
        <v>136</v>
      </c>
      <c r="L333" s="16"/>
      <c r="M333" s="3" t="n">
        <f>$E333+2</f>
        <v>137</v>
      </c>
      <c r="N333" s="16"/>
      <c r="O333" s="5" t="n">
        <f>$E333+4</f>
        <v>139</v>
      </c>
      <c r="P333" s="16"/>
      <c r="Q333" s="3" t="n">
        <f>$E333+6</f>
        <v>141</v>
      </c>
      <c r="R333" s="16"/>
      <c r="S333" s="5" t="n">
        <f>$E333+8</f>
        <v>143</v>
      </c>
      <c r="T333" s="16"/>
      <c r="U333" s="3" t="n">
        <f>$E333+11</f>
        <v>146</v>
      </c>
      <c r="V333" s="16"/>
      <c r="W333" s="5" t="n">
        <f>$E333+15</f>
        <v>150</v>
      </c>
      <c r="X333" s="16"/>
      <c r="Y333" s="3" t="n">
        <f>$E333+17</f>
        <v>152</v>
      </c>
      <c r="Z333" s="16"/>
      <c r="AA333" s="5" t="n">
        <f>$E333+19</f>
        <v>154</v>
      </c>
      <c r="AB333" s="16"/>
      <c r="AC333" s="3" t="n">
        <f>$E333+21</f>
        <v>156</v>
      </c>
      <c r="AD333" s="16"/>
      <c r="AE333" s="5" t="n">
        <f>$E333+24</f>
        <v>159</v>
      </c>
      <c r="AF333" s="16"/>
      <c r="AG333" s="3" t="n">
        <f>$E333+27</f>
        <v>162</v>
      </c>
      <c r="AH333" s="16"/>
    </row>
    <row r="334" ht="28" customHeight="1">
      <c r="A334" s="2" t="n">
        <v>344</v>
      </c>
      <c r="B334" s="2" t="str">
        <v>D. Beckham</v>
      </c>
      <c r="C334" s="15" t="str">
        <v>INFINITE PRIME</v>
      </c>
      <c r="D334" s="2" t="str">
        <v>RM</v>
      </c>
      <c r="E334" s="2" t="n">
        <v>135</v>
      </c>
      <c r="F334" s="2" t="str">
        <v>Anh</v>
      </c>
      <c r="G334" s="2" t="str">
        <v>Anh</v>
      </c>
      <c r="H334" s="2" t="n">
        <v>36</v>
      </c>
      <c r="I334" s="3" t="n">
        <f>$E334+0</f>
        <v>135</v>
      </c>
      <c r="J334" s="16"/>
      <c r="K334" s="5" t="n">
        <f>$E334+1</f>
        <v>136</v>
      </c>
      <c r="L334" s="16"/>
      <c r="M334" s="3" t="n">
        <f>$E334+2</f>
        <v>137</v>
      </c>
      <c r="N334" s="16"/>
      <c r="O334" s="5" t="n">
        <f>$E334+4</f>
        <v>139</v>
      </c>
      <c r="P334" s="16"/>
      <c r="Q334" s="3" t="n">
        <f>$E334+6</f>
        <v>141</v>
      </c>
      <c r="R334" s="16"/>
      <c r="S334" s="5" t="n">
        <f>$E334+8</f>
        <v>143</v>
      </c>
      <c r="T334" s="16"/>
      <c r="U334" s="3" t="n">
        <f>$E334+11</f>
        <v>146</v>
      </c>
      <c r="V334" s="16"/>
      <c r="W334" s="5" t="n">
        <f>$E334+15</f>
        <v>150</v>
      </c>
      <c r="X334" s="16"/>
      <c r="Y334" s="3" t="n">
        <f>$E334+17</f>
        <v>152</v>
      </c>
      <c r="Z334" s="16"/>
      <c r="AA334" s="5" t="n">
        <f>$E334+19</f>
        <v>154</v>
      </c>
      <c r="AB334" s="16"/>
      <c r="AC334" s="3" t="n">
        <f>$E334+21</f>
        <v>156</v>
      </c>
      <c r="AD334" s="16"/>
      <c r="AE334" s="5" t="n">
        <f>$E334+24</f>
        <v>159</v>
      </c>
      <c r="AF334" s="16"/>
      <c r="AG334" s="3" t="n">
        <f>$E334+27</f>
        <v>162</v>
      </c>
      <c r="AH334" s="16"/>
    </row>
    <row r="335" ht="28" customHeight="1">
      <c r="A335" s="2" t="n">
        <v>345</v>
      </c>
      <c r="B335" s="2" t="str">
        <v>C. Marchisio</v>
      </c>
      <c r="C335" s="15" t="str">
        <v>INFINITE PRIME</v>
      </c>
      <c r="D335" s="2" t="str">
        <v>CM</v>
      </c>
      <c r="E335" s="2" t="n">
        <v>128</v>
      </c>
      <c r="F335" s="2" t="str">
        <v>Ý</v>
      </c>
      <c r="G335" s="2" t="str">
        <v>Ý</v>
      </c>
      <c r="H335" s="2" t="n">
        <v>31</v>
      </c>
      <c r="I335" s="3" t="n">
        <f>$E335+0</f>
        <v>128</v>
      </c>
      <c r="J335" s="16"/>
      <c r="K335" s="5" t="n">
        <f>$E335+1</f>
        <v>129</v>
      </c>
      <c r="L335" s="16"/>
      <c r="M335" s="3" t="n">
        <f>$E335+2</f>
        <v>130</v>
      </c>
      <c r="N335" s="16"/>
      <c r="O335" s="5" t="n">
        <f>$E335+4</f>
        <v>132</v>
      </c>
      <c r="P335" s="16"/>
      <c r="Q335" s="3" t="n">
        <f>$E335+6</f>
        <v>134</v>
      </c>
      <c r="R335" s="16"/>
      <c r="S335" s="5" t="n">
        <f>$E335+8</f>
        <v>136</v>
      </c>
      <c r="T335" s="16"/>
      <c r="U335" s="3" t="n">
        <f>$E335+11</f>
        <v>139</v>
      </c>
      <c r="V335" s="16"/>
      <c r="W335" s="5" t="n">
        <f>$E335+15</f>
        <v>143</v>
      </c>
      <c r="X335" s="16"/>
      <c r="Y335" s="3" t="n">
        <f>$E335+17</f>
        <v>145</v>
      </c>
      <c r="Z335" s="16"/>
      <c r="AA335" s="5" t="n">
        <f>$E335+19</f>
        <v>147</v>
      </c>
      <c r="AB335" s="16"/>
      <c r="AC335" s="3" t="n">
        <f>$E335+21</f>
        <v>149</v>
      </c>
      <c r="AD335" s="16"/>
      <c r="AE335" s="5" t="n">
        <f>$E335+24</f>
        <v>152</v>
      </c>
      <c r="AF335" s="16"/>
      <c r="AG335" s="3" t="n">
        <f>$E335+27</f>
        <v>155</v>
      </c>
      <c r="AH335" s="16"/>
    </row>
    <row r="336" ht="28" customHeight="1">
      <c r="A336" s="2" t="n">
        <v>346</v>
      </c>
      <c r="B336" s="2" t="str">
        <v>F. Lampard</v>
      </c>
      <c r="C336" s="15" t="str">
        <v>INFINITE PRIME</v>
      </c>
      <c r="D336" s="2" t="str">
        <v>CM</v>
      </c>
      <c r="E336" s="2" t="n">
        <v>134</v>
      </c>
      <c r="F336" s="2" t="str">
        <v>Anh</v>
      </c>
      <c r="G336" s="2" t="str">
        <v>Anh</v>
      </c>
      <c r="H336" s="2" t="n">
        <v>36</v>
      </c>
      <c r="I336" s="3" t="n">
        <f>$E336+0</f>
        <v>134</v>
      </c>
      <c r="J336" s="16"/>
      <c r="K336" s="5" t="n">
        <f>$E336+1</f>
        <v>135</v>
      </c>
      <c r="L336" s="16"/>
      <c r="M336" s="3" t="n">
        <f>$E336+2</f>
        <v>136</v>
      </c>
      <c r="N336" s="16"/>
      <c r="O336" s="5" t="n">
        <f>$E336+4</f>
        <v>138</v>
      </c>
      <c r="P336" s="16"/>
      <c r="Q336" s="3" t="n">
        <f>$E336+6</f>
        <v>140</v>
      </c>
      <c r="R336" s="16"/>
      <c r="S336" s="5" t="n">
        <f>$E336+8</f>
        <v>142</v>
      </c>
      <c r="T336" s="16"/>
      <c r="U336" s="3" t="n">
        <f>$E336+11</f>
        <v>145</v>
      </c>
      <c r="V336" s="16"/>
      <c r="W336" s="5" t="n">
        <f>$E336+15</f>
        <v>149</v>
      </c>
      <c r="X336" s="16"/>
      <c r="Y336" s="3" t="n">
        <f>$E336+17</f>
        <v>151</v>
      </c>
      <c r="Z336" s="16"/>
      <c r="AA336" s="5" t="n">
        <f>$E336+19</f>
        <v>153</v>
      </c>
      <c r="AB336" s="16"/>
      <c r="AC336" s="3" t="n">
        <f>$E336+21</f>
        <v>155</v>
      </c>
      <c r="AD336" s="16"/>
      <c r="AE336" s="5" t="n">
        <f>$E336+24</f>
        <v>158</v>
      </c>
      <c r="AF336" s="16"/>
      <c r="AG336" s="3" t="n">
        <f>$E336+27</f>
        <v>161</v>
      </c>
      <c r="AH336" s="16"/>
    </row>
    <row r="337" ht="28" customHeight="1">
      <c r="A337" s="2" t="n">
        <v>347</v>
      </c>
      <c r="B337" s="2" t="str">
        <v>S. Gerrard</v>
      </c>
      <c r="C337" s="15" t="str">
        <v>INFINITE PRIME</v>
      </c>
      <c r="D337" s="2" t="str">
        <v>CM</v>
      </c>
      <c r="E337" s="2" t="n">
        <v>134</v>
      </c>
      <c r="F337" s="2" t="str">
        <v>Anh</v>
      </c>
      <c r="G337" s="2" t="str">
        <v>Anh</v>
      </c>
      <c r="H337" s="2" t="n">
        <v>36</v>
      </c>
      <c r="I337" s="3" t="n">
        <f>$E337+0</f>
        <v>134</v>
      </c>
      <c r="J337" s="16"/>
      <c r="K337" s="5" t="n">
        <f>$E337+1</f>
        <v>135</v>
      </c>
      <c r="L337" s="16"/>
      <c r="M337" s="3" t="n">
        <f>$E337+2</f>
        <v>136</v>
      </c>
      <c r="N337" s="16"/>
      <c r="O337" s="5" t="n">
        <f>$E337+4</f>
        <v>138</v>
      </c>
      <c r="P337" s="16"/>
      <c r="Q337" s="3" t="n">
        <f>$E337+6</f>
        <v>140</v>
      </c>
      <c r="R337" s="16"/>
      <c r="S337" s="5" t="n">
        <f>$E337+8</f>
        <v>142</v>
      </c>
      <c r="T337" s="16"/>
      <c r="U337" s="3" t="n">
        <f>$E337+11</f>
        <v>145</v>
      </c>
      <c r="V337" s="16"/>
      <c r="W337" s="5" t="n">
        <f>$E337+15</f>
        <v>149</v>
      </c>
      <c r="X337" s="16"/>
      <c r="Y337" s="3" t="n">
        <f>$E337+17</f>
        <v>151</v>
      </c>
      <c r="Z337" s="16"/>
      <c r="AA337" s="5" t="n">
        <f>$E337+19</f>
        <v>153</v>
      </c>
      <c r="AB337" s="16"/>
      <c r="AC337" s="3" t="n">
        <f>$E337+21</f>
        <v>155</v>
      </c>
      <c r="AD337" s="16"/>
      <c r="AE337" s="5" t="n">
        <f>$E337+24</f>
        <v>158</v>
      </c>
      <c r="AF337" s="16"/>
      <c r="AG337" s="3" t="n">
        <f>$E337+27</f>
        <v>161</v>
      </c>
      <c r="AH337" s="16"/>
    </row>
    <row r="338" ht="28" customHeight="1">
      <c r="A338" s="2" t="n">
        <v>348</v>
      </c>
      <c r="B338" s="2" t="str">
        <v>T. Kroos</v>
      </c>
      <c r="C338" s="15" t="str">
        <v>INFINITE PRIME</v>
      </c>
      <c r="D338" s="2" t="str">
        <v>CM</v>
      </c>
      <c r="E338" s="2" t="n">
        <v>134</v>
      </c>
      <c r="F338" s="2" t="str">
        <v>Đức</v>
      </c>
      <c r="G338" s="2" t="str">
        <v>Đức</v>
      </c>
      <c r="H338" s="2" t="n">
        <v>36</v>
      </c>
      <c r="I338" s="3" t="n">
        <f>$E338+0</f>
        <v>134</v>
      </c>
      <c r="J338" s="16"/>
      <c r="K338" s="5" t="n">
        <f>$E338+1</f>
        <v>135</v>
      </c>
      <c r="L338" s="16"/>
      <c r="M338" s="3" t="n">
        <f>$E338+2</f>
        <v>136</v>
      </c>
      <c r="N338" s="16"/>
      <c r="O338" s="5" t="n">
        <f>$E338+4</f>
        <v>138</v>
      </c>
      <c r="P338" s="16"/>
      <c r="Q338" s="3" t="n">
        <f>$E338+6</f>
        <v>140</v>
      </c>
      <c r="R338" s="16"/>
      <c r="S338" s="5" t="n">
        <f>$E338+8</f>
        <v>142</v>
      </c>
      <c r="T338" s="16"/>
      <c r="U338" s="3" t="n">
        <f>$E338+11</f>
        <v>145</v>
      </c>
      <c r="V338" s="16"/>
      <c r="W338" s="5" t="n">
        <f>$E338+15</f>
        <v>149</v>
      </c>
      <c r="X338" s="16"/>
      <c r="Y338" s="3" t="n">
        <f>$E338+17</f>
        <v>151</v>
      </c>
      <c r="Z338" s="16"/>
      <c r="AA338" s="5" t="n">
        <f>$E338+19</f>
        <v>153</v>
      </c>
      <c r="AB338" s="16"/>
      <c r="AC338" s="3" t="n">
        <f>$E338+21</f>
        <v>155</v>
      </c>
      <c r="AD338" s="16"/>
      <c r="AE338" s="5" t="n">
        <f>$E338+24</f>
        <v>158</v>
      </c>
      <c r="AF338" s="16"/>
      <c r="AG338" s="3" t="n">
        <f>$E338+27</f>
        <v>161</v>
      </c>
      <c r="AH338" s="16"/>
    </row>
    <row r="339" ht="28" customHeight="1">
      <c r="A339" s="2" t="n">
        <v>349</v>
      </c>
      <c r="B339" s="2" t="str">
        <v>Xavi</v>
      </c>
      <c r="C339" s="15" t="str">
        <v>INFINITE PRIME</v>
      </c>
      <c r="D339" s="2" t="str">
        <v>CM</v>
      </c>
      <c r="E339" s="2" t="n">
        <v>135</v>
      </c>
      <c r="F339" s="2" t="str">
        <v>Tây Ban Nha</v>
      </c>
      <c r="G339" s="2" t="str">
        <v>Tây Ban Nha</v>
      </c>
      <c r="H339" s="2" t="n">
        <v>35</v>
      </c>
      <c r="I339" s="3" t="n">
        <f>$E339+0</f>
        <v>135</v>
      </c>
      <c r="J339" s="16"/>
      <c r="K339" s="5" t="n">
        <f>$E339+1</f>
        <v>136</v>
      </c>
      <c r="L339" s="16"/>
      <c r="M339" s="3" t="n">
        <f>$E339+2</f>
        <v>137</v>
      </c>
      <c r="N339" s="16"/>
      <c r="O339" s="5" t="n">
        <f>$E339+4</f>
        <v>139</v>
      </c>
      <c r="P339" s="16"/>
      <c r="Q339" s="3" t="n">
        <f>$E339+6</f>
        <v>141</v>
      </c>
      <c r="R339" s="16"/>
      <c r="S339" s="5" t="n">
        <f>$E339+8</f>
        <v>143</v>
      </c>
      <c r="T339" s="16"/>
      <c r="U339" s="3" t="n">
        <f>$E339+11</f>
        <v>146</v>
      </c>
      <c r="V339" s="16"/>
      <c r="W339" s="5" t="n">
        <f>$E339+15</f>
        <v>150</v>
      </c>
      <c r="X339" s="16"/>
      <c r="Y339" s="3" t="n">
        <f>$E339+17</f>
        <v>152</v>
      </c>
      <c r="Z339" s="16"/>
      <c r="AA339" s="5" t="n">
        <f>$E339+19</f>
        <v>154</v>
      </c>
      <c r="AB339" s="16"/>
      <c r="AC339" s="3" t="n">
        <f>$E339+21</f>
        <v>156</v>
      </c>
      <c r="AD339" s="16"/>
      <c r="AE339" s="5" t="n">
        <f>$E339+24</f>
        <v>159</v>
      </c>
      <c r="AF339" s="16"/>
      <c r="AG339" s="3" t="n">
        <f>$E339+27</f>
        <v>162</v>
      </c>
      <c r="AH339" s="16"/>
    </row>
    <row r="340" ht="28" customHeight="1">
      <c r="A340" s="2" t="n">
        <v>350</v>
      </c>
      <c r="B340" s="2" t="str">
        <v>Zé Roberto</v>
      </c>
      <c r="C340" s="15" t="str">
        <v>INFINITE PRIME</v>
      </c>
      <c r="D340" s="2" t="str">
        <v>LM</v>
      </c>
      <c r="E340" s="2" t="n">
        <v>129</v>
      </c>
      <c r="F340" s="2" t="str">
        <v>Brazil</v>
      </c>
      <c r="G340" s="2" t="str">
        <v>Brazil</v>
      </c>
      <c r="H340" s="2" t="n">
        <v>32</v>
      </c>
      <c r="I340" s="3" t="n">
        <f>$E340+0</f>
        <v>129</v>
      </c>
      <c r="J340" s="16"/>
      <c r="K340" s="5" t="n">
        <f>$E340+1</f>
        <v>130</v>
      </c>
      <c r="L340" s="16"/>
      <c r="M340" s="3" t="n">
        <f>$E340+2</f>
        <v>131</v>
      </c>
      <c r="N340" s="16"/>
      <c r="O340" s="5" t="n">
        <f>$E340+4</f>
        <v>133</v>
      </c>
      <c r="P340" s="16"/>
      <c r="Q340" s="3" t="n">
        <f>$E340+6</f>
        <v>135</v>
      </c>
      <c r="R340" s="16"/>
      <c r="S340" s="5" t="n">
        <f>$E340+8</f>
        <v>137</v>
      </c>
      <c r="T340" s="16"/>
      <c r="U340" s="3" t="n">
        <f>$E340+11</f>
        <v>140</v>
      </c>
      <c r="V340" s="16"/>
      <c r="W340" s="5" t="n">
        <f>$E340+15</f>
        <v>144</v>
      </c>
      <c r="X340" s="16"/>
      <c r="Y340" s="3" t="n">
        <f>$E340+17</f>
        <v>146</v>
      </c>
      <c r="Z340" s="16"/>
      <c r="AA340" s="5" t="n">
        <f>$E340+19</f>
        <v>148</v>
      </c>
      <c r="AB340" s="16"/>
      <c r="AC340" s="3" t="n">
        <f>$E340+21</f>
        <v>150</v>
      </c>
      <c r="AD340" s="16"/>
      <c r="AE340" s="5" t="n">
        <f>$E340+24</f>
        <v>153</v>
      </c>
      <c r="AF340" s="16"/>
      <c r="AG340" s="3" t="n">
        <f>$E340+27</f>
        <v>156</v>
      </c>
      <c r="AH340" s="16"/>
    </row>
    <row r="341" ht="28" customHeight="1">
      <c r="A341" s="2" t="n">
        <v>351</v>
      </c>
      <c r="B341" s="2" t="str">
        <v>Park Ji Sung</v>
      </c>
      <c r="C341" s="15" t="str">
        <v>INFINITE PRIME</v>
      </c>
      <c r="D341" s="2" t="str">
        <v>LM</v>
      </c>
      <c r="E341" s="2" t="n">
        <v>130</v>
      </c>
      <c r="F341" s="2" t="str">
        <v>Hàn Quốc</v>
      </c>
      <c r="G341" s="2" t="str">
        <v>Hàn Quốc</v>
      </c>
      <c r="H341" s="2" t="n">
        <v>33</v>
      </c>
      <c r="I341" s="3" t="n">
        <f>$E341+0</f>
        <v>130</v>
      </c>
      <c r="J341" s="16"/>
      <c r="K341" s="5" t="n">
        <f>$E341+1</f>
        <v>131</v>
      </c>
      <c r="L341" s="16"/>
      <c r="M341" s="3" t="n">
        <f>$E341+2</f>
        <v>132</v>
      </c>
      <c r="N341" s="16"/>
      <c r="O341" s="5" t="n">
        <f>$E341+4</f>
        <v>134</v>
      </c>
      <c r="P341" s="16"/>
      <c r="Q341" s="3" t="n">
        <f>$E341+6</f>
        <v>136</v>
      </c>
      <c r="R341" s="16"/>
      <c r="S341" s="5" t="n">
        <f>$E341+8</f>
        <v>138</v>
      </c>
      <c r="T341" s="16"/>
      <c r="U341" s="3" t="n">
        <f>$E341+11</f>
        <v>141</v>
      </c>
      <c r="V341" s="16"/>
      <c r="W341" s="5" t="n">
        <f>$E341+15</f>
        <v>145</v>
      </c>
      <c r="X341" s="16"/>
      <c r="Y341" s="3" t="n">
        <f>$E341+17</f>
        <v>147</v>
      </c>
      <c r="Z341" s="16"/>
      <c r="AA341" s="5" t="n">
        <f>$E341+19</f>
        <v>149</v>
      </c>
      <c r="AB341" s="16"/>
      <c r="AC341" s="3" t="n">
        <f>$E341+21</f>
        <v>151</v>
      </c>
      <c r="AD341" s="16"/>
      <c r="AE341" s="5" t="n">
        <f>$E341+24</f>
        <v>154</v>
      </c>
      <c r="AF341" s="16"/>
      <c r="AG341" s="3" t="n">
        <f>$E341+27</f>
        <v>157</v>
      </c>
      <c r="AH341" s="16"/>
    </row>
    <row r="342" ht="28" customHeight="1">
      <c r="A342" s="2" t="n">
        <v>352</v>
      </c>
      <c r="B342" s="2" t="str">
        <v>R. Pirès</v>
      </c>
      <c r="C342" s="15" t="str">
        <v>INFINITE PRIME</v>
      </c>
      <c r="D342" s="2" t="str">
        <v>LM</v>
      </c>
      <c r="E342" s="2" t="n">
        <v>131</v>
      </c>
      <c r="F342" s="2" t="str">
        <v>Pháp</v>
      </c>
      <c r="G342" s="2" t="str">
        <v>Pháp</v>
      </c>
      <c r="H342" s="2" t="n">
        <v>34</v>
      </c>
      <c r="I342" s="3" t="n">
        <f>$E342+0</f>
        <v>131</v>
      </c>
      <c r="J342" s="16"/>
      <c r="K342" s="5" t="n">
        <f>$E342+1</f>
        <v>132</v>
      </c>
      <c r="L342" s="16"/>
      <c r="M342" s="3" t="n">
        <f>$E342+2</f>
        <v>133</v>
      </c>
      <c r="N342" s="16"/>
      <c r="O342" s="5" t="n">
        <f>$E342+4</f>
        <v>135</v>
      </c>
      <c r="P342" s="16"/>
      <c r="Q342" s="3" t="n">
        <f>$E342+6</f>
        <v>137</v>
      </c>
      <c r="R342" s="16"/>
      <c r="S342" s="5" t="n">
        <f>$E342+8</f>
        <v>139</v>
      </c>
      <c r="T342" s="16"/>
      <c r="U342" s="3" t="n">
        <f>$E342+11</f>
        <v>142</v>
      </c>
      <c r="V342" s="16"/>
      <c r="W342" s="5" t="n">
        <f>$E342+15</f>
        <v>146</v>
      </c>
      <c r="X342" s="16"/>
      <c r="Y342" s="3" t="n">
        <f>$E342+17</f>
        <v>148</v>
      </c>
      <c r="Z342" s="16"/>
      <c r="AA342" s="5" t="n">
        <f>$E342+19</f>
        <v>150</v>
      </c>
      <c r="AB342" s="16"/>
      <c r="AC342" s="3" t="n">
        <f>$E342+21</f>
        <v>152</v>
      </c>
      <c r="AD342" s="16"/>
      <c r="AE342" s="5" t="n">
        <f>$E342+24</f>
        <v>155</v>
      </c>
      <c r="AF342" s="16"/>
      <c r="AG342" s="3" t="n">
        <f>$E342+27</f>
        <v>158</v>
      </c>
      <c r="AH342" s="16"/>
    </row>
    <row r="343" ht="28" customHeight="1">
      <c r="A343" s="2" t="n">
        <v>353</v>
      </c>
      <c r="B343" s="2" t="str">
        <v>J. Litmanen</v>
      </c>
      <c r="C343" s="15" t="str">
        <v>INFINITE PRIME</v>
      </c>
      <c r="D343" s="2" t="str">
        <v>CAM</v>
      </c>
      <c r="E343" s="2" t="n">
        <v>131</v>
      </c>
      <c r="F343" s="2" t="str">
        <v>Phần Lan</v>
      </c>
      <c r="G343" s="2" t="str">
        <v>Phần Lan</v>
      </c>
      <c r="H343" s="2" t="n">
        <v>34</v>
      </c>
      <c r="I343" s="3" t="n">
        <f>$E343+0</f>
        <v>131</v>
      </c>
      <c r="J343" s="16"/>
      <c r="K343" s="5" t="n">
        <f>$E343+1</f>
        <v>132</v>
      </c>
      <c r="L343" s="16"/>
      <c r="M343" s="3" t="n">
        <f>$E343+2</f>
        <v>133</v>
      </c>
      <c r="N343" s="16"/>
      <c r="O343" s="5" t="n">
        <f>$E343+4</f>
        <v>135</v>
      </c>
      <c r="P343" s="16"/>
      <c r="Q343" s="3" t="n">
        <f>$E343+6</f>
        <v>137</v>
      </c>
      <c r="R343" s="16"/>
      <c r="S343" s="5" t="n">
        <f>$E343+8</f>
        <v>139</v>
      </c>
      <c r="T343" s="16"/>
      <c r="U343" s="3" t="n">
        <f>$E343+11</f>
        <v>142</v>
      </c>
      <c r="V343" s="16"/>
      <c r="W343" s="5" t="n">
        <f>$E343+15</f>
        <v>146</v>
      </c>
      <c r="X343" s="16"/>
      <c r="Y343" s="3" t="n">
        <f>$E343+17</f>
        <v>148</v>
      </c>
      <c r="Z343" s="16"/>
      <c r="AA343" s="5" t="n">
        <f>$E343+19</f>
        <v>150</v>
      </c>
      <c r="AB343" s="16"/>
      <c r="AC343" s="3" t="n">
        <f>$E343+21</f>
        <v>152</v>
      </c>
      <c r="AD343" s="16"/>
      <c r="AE343" s="5" t="n">
        <f>$E343+24</f>
        <v>155</v>
      </c>
      <c r="AF343" s="16"/>
      <c r="AG343" s="3" t="n">
        <f>$E343+27</f>
        <v>158</v>
      </c>
      <c r="AH343" s="16"/>
    </row>
    <row r="344" ht="28" customHeight="1">
      <c r="A344" s="2" t="n">
        <v>354</v>
      </c>
      <c r="B344" s="2" t="str">
        <v>Riquelme</v>
      </c>
      <c r="C344" s="15" t="str">
        <v>INFINITE PRIME</v>
      </c>
      <c r="D344" s="2" t="str">
        <v>CAM</v>
      </c>
      <c r="E344" s="2" t="n">
        <v>131</v>
      </c>
      <c r="F344" s="2" t="str">
        <v>Argentina</v>
      </c>
      <c r="G344" s="2" t="str">
        <v>Argentina</v>
      </c>
      <c r="H344" s="2" t="n">
        <v>33</v>
      </c>
      <c r="I344" s="3" t="n">
        <f>$E344+0</f>
        <v>131</v>
      </c>
      <c r="J344" s="16"/>
      <c r="K344" s="5" t="n">
        <f>$E344+1</f>
        <v>132</v>
      </c>
      <c r="L344" s="16"/>
      <c r="M344" s="3" t="n">
        <f>$E344+2</f>
        <v>133</v>
      </c>
      <c r="N344" s="16"/>
      <c r="O344" s="5" t="n">
        <f>$E344+4</f>
        <v>135</v>
      </c>
      <c r="P344" s="16"/>
      <c r="Q344" s="3" t="n">
        <f>$E344+6</f>
        <v>137</v>
      </c>
      <c r="R344" s="16"/>
      <c r="S344" s="5" t="n">
        <f>$E344+8</f>
        <v>139</v>
      </c>
      <c r="T344" s="16"/>
      <c r="U344" s="3" t="n">
        <f>$E344+11</f>
        <v>142</v>
      </c>
      <c r="V344" s="16"/>
      <c r="W344" s="5" t="n">
        <f>$E344+15</f>
        <v>146</v>
      </c>
      <c r="X344" s="16"/>
      <c r="Y344" s="3" t="n">
        <f>$E344+17</f>
        <v>148</v>
      </c>
      <c r="Z344" s="16"/>
      <c r="AA344" s="5" t="n">
        <f>$E344+19</f>
        <v>150</v>
      </c>
      <c r="AB344" s="16"/>
      <c r="AC344" s="3" t="n">
        <f>$E344+21</f>
        <v>152</v>
      </c>
      <c r="AD344" s="16"/>
      <c r="AE344" s="5" t="n">
        <f>$E344+24</f>
        <v>155</v>
      </c>
      <c r="AF344" s="16"/>
      <c r="AG344" s="3" t="n">
        <f>$E344+27</f>
        <v>158</v>
      </c>
      <c r="AH344" s="16"/>
    </row>
    <row r="345" ht="28" customHeight="1">
      <c r="A345" s="2" t="n">
        <v>355</v>
      </c>
      <c r="B345" s="2" t="str">
        <v>G. Hagi</v>
      </c>
      <c r="C345" s="15" t="str">
        <v>INFINITE PRIME</v>
      </c>
      <c r="D345" s="2" t="str">
        <v>CAM</v>
      </c>
      <c r="E345" s="2" t="n">
        <v>133</v>
      </c>
      <c r="F345" s="2" t="str">
        <v>Romania</v>
      </c>
      <c r="G345" s="2" t="str">
        <v>Romania</v>
      </c>
      <c r="H345" s="2" t="n">
        <v>35</v>
      </c>
      <c r="I345" s="3" t="n">
        <f>$E345+0</f>
        <v>133</v>
      </c>
      <c r="J345" s="16"/>
      <c r="K345" s="5" t="n">
        <f>$E345+1</f>
        <v>134</v>
      </c>
      <c r="L345" s="16"/>
      <c r="M345" s="3" t="n">
        <f>$E345+2</f>
        <v>135</v>
      </c>
      <c r="N345" s="16"/>
      <c r="O345" s="5" t="n">
        <f>$E345+4</f>
        <v>137</v>
      </c>
      <c r="P345" s="16"/>
      <c r="Q345" s="3" t="n">
        <f>$E345+6</f>
        <v>139</v>
      </c>
      <c r="R345" s="16"/>
      <c r="S345" s="5" t="n">
        <f>$E345+8</f>
        <v>141</v>
      </c>
      <c r="T345" s="16"/>
      <c r="U345" s="3" t="n">
        <f>$E345+11</f>
        <v>144</v>
      </c>
      <c r="V345" s="16"/>
      <c r="W345" s="5" t="n">
        <f>$E345+15</f>
        <v>148</v>
      </c>
      <c r="X345" s="16"/>
      <c r="Y345" s="3" t="n">
        <f>$E345+17</f>
        <v>150</v>
      </c>
      <c r="Z345" s="16"/>
      <c r="AA345" s="5" t="n">
        <f>$E345+19</f>
        <v>152</v>
      </c>
      <c r="AB345" s="16"/>
      <c r="AC345" s="3" t="n">
        <f>$E345+21</f>
        <v>154</v>
      </c>
      <c r="AD345" s="16"/>
      <c r="AE345" s="5" t="n">
        <f>$E345+24</f>
        <v>157</v>
      </c>
      <c r="AF345" s="16"/>
      <c r="AG345" s="3" t="n">
        <f>$E345+27</f>
        <v>160</v>
      </c>
      <c r="AH345" s="16"/>
    </row>
    <row r="346" ht="28" customHeight="1">
      <c r="A346" s="2" t="n">
        <v>356</v>
      </c>
      <c r="B346" s="2" t="str">
        <v>Rivaldo</v>
      </c>
      <c r="C346" s="15" t="str">
        <v>INFINITE PRIME</v>
      </c>
      <c r="D346" s="2" t="str">
        <v>CAM</v>
      </c>
      <c r="E346" s="2" t="n">
        <v>134</v>
      </c>
      <c r="F346" s="2" t="str">
        <v>Brazil</v>
      </c>
      <c r="G346" s="2" t="str">
        <v>Brazil</v>
      </c>
      <c r="H346" s="2" t="n">
        <v>35</v>
      </c>
      <c r="I346" s="3" t="n">
        <f>$E346+0</f>
        <v>134</v>
      </c>
      <c r="J346" s="16"/>
      <c r="K346" s="5" t="n">
        <f>$E346+1</f>
        <v>135</v>
      </c>
      <c r="L346" s="16"/>
      <c r="M346" s="3" t="n">
        <f>$E346+2</f>
        <v>136</v>
      </c>
      <c r="N346" s="16"/>
      <c r="O346" s="5" t="n">
        <f>$E346+4</f>
        <v>138</v>
      </c>
      <c r="P346" s="16"/>
      <c r="Q346" s="3" t="n">
        <f>$E346+6</f>
        <v>140</v>
      </c>
      <c r="R346" s="16"/>
      <c r="S346" s="5" t="n">
        <f>$E346+8</f>
        <v>142</v>
      </c>
      <c r="T346" s="16"/>
      <c r="U346" s="3" t="n">
        <f>$E346+11</f>
        <v>145</v>
      </c>
      <c r="V346" s="16"/>
      <c r="W346" s="5" t="n">
        <f>$E346+15</f>
        <v>149</v>
      </c>
      <c r="X346" s="16"/>
      <c r="Y346" s="3" t="n">
        <f>$E346+17</f>
        <v>151</v>
      </c>
      <c r="Z346" s="16"/>
      <c r="AA346" s="5" t="n">
        <f>$E346+19</f>
        <v>153</v>
      </c>
      <c r="AB346" s="16"/>
      <c r="AC346" s="3" t="n">
        <f>$E346+21</f>
        <v>155</v>
      </c>
      <c r="AD346" s="16"/>
      <c r="AE346" s="5" t="n">
        <f>$E346+24</f>
        <v>158</v>
      </c>
      <c r="AF346" s="16"/>
      <c r="AG346" s="3" t="n">
        <f>$E346+27</f>
        <v>161</v>
      </c>
      <c r="AH346" s="16"/>
    </row>
    <row r="347" ht="28" customHeight="1">
      <c r="A347" s="2" t="n">
        <v>357</v>
      </c>
      <c r="B347" s="2" t="str">
        <v>Zico</v>
      </c>
      <c r="C347" s="15" t="str">
        <v>INFINITE PRIME</v>
      </c>
      <c r="D347" s="2" t="str">
        <v>CAM</v>
      </c>
      <c r="E347" s="2" t="n">
        <v>136</v>
      </c>
      <c r="F347" s="2" t="str">
        <v>Brazil</v>
      </c>
      <c r="G347" s="2" t="str">
        <v>Brazil</v>
      </c>
      <c r="H347" s="2" t="n">
        <v>36</v>
      </c>
      <c r="I347" s="3" t="n">
        <f>$E347+0</f>
        <v>136</v>
      </c>
      <c r="J347" s="16"/>
      <c r="K347" s="5" t="n">
        <f>$E347+1</f>
        <v>137</v>
      </c>
      <c r="L347" s="16"/>
      <c r="M347" s="3" t="n">
        <f>$E347+2</f>
        <v>138</v>
      </c>
      <c r="N347" s="16"/>
      <c r="O347" s="5" t="n">
        <f>$E347+4</f>
        <v>140</v>
      </c>
      <c r="P347" s="16"/>
      <c r="Q347" s="3" t="n">
        <f>$E347+6</f>
        <v>142</v>
      </c>
      <c r="R347" s="16"/>
      <c r="S347" s="5" t="n">
        <f>$E347+8</f>
        <v>144</v>
      </c>
      <c r="T347" s="16"/>
      <c r="U347" s="3" t="n">
        <f>$E347+11</f>
        <v>147</v>
      </c>
      <c r="V347" s="16"/>
      <c r="W347" s="5" t="n">
        <f>$E347+15</f>
        <v>151</v>
      </c>
      <c r="X347" s="16"/>
      <c r="Y347" s="3" t="n">
        <f>$E347+17</f>
        <v>153</v>
      </c>
      <c r="Z347" s="16"/>
      <c r="AA347" s="5" t="n">
        <f>$E347+19</f>
        <v>155</v>
      </c>
      <c r="AB347" s="16"/>
      <c r="AC347" s="3" t="n">
        <f>$E347+21</f>
        <v>157</v>
      </c>
      <c r="AD347" s="16"/>
      <c r="AE347" s="5" t="n">
        <f>$E347+24</f>
        <v>160</v>
      </c>
      <c r="AF347" s="16"/>
      <c r="AG347" s="3" t="n">
        <f>$E347+27</f>
        <v>163</v>
      </c>
      <c r="AH347" s="16"/>
    </row>
    <row r="348" ht="28" customHeight="1">
      <c r="A348" s="2" t="n">
        <v>358</v>
      </c>
      <c r="B348" s="2" t="str">
        <v>A. Del Piero</v>
      </c>
      <c r="C348" s="15" t="str">
        <v>INFINITE PRIME</v>
      </c>
      <c r="D348" s="2" t="str">
        <v>CF</v>
      </c>
      <c r="E348" s="2" t="n">
        <v>133</v>
      </c>
      <c r="F348" s="2" t="str">
        <v>Ý</v>
      </c>
      <c r="G348" s="2" t="str">
        <v>Ý</v>
      </c>
      <c r="H348" s="2" t="n">
        <v>35</v>
      </c>
      <c r="I348" s="3" t="n">
        <f>$E348+0</f>
        <v>133</v>
      </c>
      <c r="J348" s="16"/>
      <c r="K348" s="5" t="n">
        <f>$E348+1</f>
        <v>134</v>
      </c>
      <c r="L348" s="16"/>
      <c r="M348" s="3" t="n">
        <f>$E348+2</f>
        <v>135</v>
      </c>
      <c r="N348" s="16"/>
      <c r="O348" s="5" t="n">
        <f>$E348+4</f>
        <v>137</v>
      </c>
      <c r="P348" s="16"/>
      <c r="Q348" s="3" t="n">
        <f>$E348+6</f>
        <v>139</v>
      </c>
      <c r="R348" s="16"/>
      <c r="S348" s="5" t="n">
        <f>$E348+8</f>
        <v>141</v>
      </c>
      <c r="T348" s="16"/>
      <c r="U348" s="3" t="n">
        <f>$E348+11</f>
        <v>144</v>
      </c>
      <c r="V348" s="16"/>
      <c r="W348" s="5" t="n">
        <f>$E348+15</f>
        <v>148</v>
      </c>
      <c r="X348" s="16"/>
      <c r="Y348" s="3" t="n">
        <f>$E348+17</f>
        <v>150</v>
      </c>
      <c r="Z348" s="16"/>
      <c r="AA348" s="5" t="n">
        <f>$E348+19</f>
        <v>152</v>
      </c>
      <c r="AB348" s="16"/>
      <c r="AC348" s="3" t="n">
        <f>$E348+21</f>
        <v>154</v>
      </c>
      <c r="AD348" s="16"/>
      <c r="AE348" s="5" t="n">
        <f>$E348+24</f>
        <v>157</v>
      </c>
      <c r="AF348" s="16"/>
      <c r="AG348" s="3" t="n">
        <f>$E348+27</f>
        <v>160</v>
      </c>
      <c r="AH348" s="16"/>
    </row>
    <row r="349" ht="28" customHeight="1">
      <c r="A349" s="2" t="n">
        <v>359</v>
      </c>
      <c r="B349" s="2" t="str">
        <v>J. Cruyff</v>
      </c>
      <c r="C349" s="15" t="str">
        <v>INFINITE PRIME</v>
      </c>
      <c r="D349" s="2" t="str">
        <v>CF</v>
      </c>
      <c r="E349" s="2" t="n">
        <v>136</v>
      </c>
      <c r="F349" s="2" t="str">
        <v>Hà Lan</v>
      </c>
      <c r="G349" s="2" t="str">
        <v>Hà Lan</v>
      </c>
      <c r="H349" s="2" t="n">
        <v>38</v>
      </c>
      <c r="I349" s="3" t="n">
        <f>$E349+0</f>
        <v>136</v>
      </c>
      <c r="J349" s="16"/>
      <c r="K349" s="5" t="n">
        <f>$E349+1</f>
        <v>137</v>
      </c>
      <c r="L349" s="16"/>
      <c r="M349" s="3" t="n">
        <f>$E349+2</f>
        <v>138</v>
      </c>
      <c r="N349" s="16"/>
      <c r="O349" s="5" t="n">
        <f>$E349+4</f>
        <v>140</v>
      </c>
      <c r="P349" s="16"/>
      <c r="Q349" s="3" t="n">
        <f>$E349+6</f>
        <v>142</v>
      </c>
      <c r="R349" s="16"/>
      <c r="S349" s="5" t="n">
        <f>$E349+8</f>
        <v>144</v>
      </c>
      <c r="T349" s="16"/>
      <c r="U349" s="3" t="n">
        <f>$E349+11</f>
        <v>147</v>
      </c>
      <c r="V349" s="16"/>
      <c r="W349" s="5" t="n">
        <f>$E349+15</f>
        <v>151</v>
      </c>
      <c r="X349" s="16"/>
      <c r="Y349" s="3" t="n">
        <f>$E349+17</f>
        <v>153</v>
      </c>
      <c r="Z349" s="16"/>
      <c r="AA349" s="5" t="n">
        <f>$E349+19</f>
        <v>155</v>
      </c>
      <c r="AB349" s="16"/>
      <c r="AC349" s="3" t="n">
        <f>$E349+21</f>
        <v>157</v>
      </c>
      <c r="AD349" s="16"/>
      <c r="AE349" s="5" t="n">
        <f>$E349+24</f>
        <v>160</v>
      </c>
      <c r="AF349" s="16"/>
      <c r="AG349" s="3" t="n">
        <f>$E349+27</f>
        <v>163</v>
      </c>
      <c r="AH349" s="16"/>
    </row>
    <row r="350" ht="28" customHeight="1">
      <c r="A350" s="2" t="n">
        <v>360</v>
      </c>
      <c r="B350" s="2" t="str">
        <v>G. Bale</v>
      </c>
      <c r="C350" s="15" t="str">
        <v>INFINITE PRIME</v>
      </c>
      <c r="D350" s="2" t="str">
        <v>RW</v>
      </c>
      <c r="E350" s="2" t="n">
        <v>133</v>
      </c>
      <c r="F350" s="2" t="str">
        <v>Wales</v>
      </c>
      <c r="G350" s="2" t="str">
        <v>Wales</v>
      </c>
      <c r="H350" s="2" t="n">
        <v>35</v>
      </c>
      <c r="I350" s="3" t="n">
        <f>$E350+0</f>
        <v>133</v>
      </c>
      <c r="J350" s="16"/>
      <c r="K350" s="5" t="n">
        <f>$E350+1</f>
        <v>134</v>
      </c>
      <c r="L350" s="16"/>
      <c r="M350" s="3" t="n">
        <f>$E350+2</f>
        <v>135</v>
      </c>
      <c r="N350" s="16"/>
      <c r="O350" s="5" t="n">
        <f>$E350+4</f>
        <v>137</v>
      </c>
      <c r="P350" s="16"/>
      <c r="Q350" s="3" t="n">
        <f>$E350+6</f>
        <v>139</v>
      </c>
      <c r="R350" s="16"/>
      <c r="S350" s="5" t="n">
        <f>$E350+8</f>
        <v>141</v>
      </c>
      <c r="T350" s="16"/>
      <c r="U350" s="3" t="n">
        <f>$E350+11</f>
        <v>144</v>
      </c>
      <c r="V350" s="16"/>
      <c r="W350" s="5" t="n">
        <f>$E350+15</f>
        <v>148</v>
      </c>
      <c r="X350" s="16"/>
      <c r="Y350" s="3" t="n">
        <f>$E350+17</f>
        <v>150</v>
      </c>
      <c r="Z350" s="16"/>
      <c r="AA350" s="5" t="n">
        <f>$E350+19</f>
        <v>152</v>
      </c>
      <c r="AB350" s="16"/>
      <c r="AC350" s="3" t="n">
        <f>$E350+21</f>
        <v>154</v>
      </c>
      <c r="AD350" s="16"/>
      <c r="AE350" s="5" t="n">
        <f>$E350+24</f>
        <v>157</v>
      </c>
      <c r="AF350" s="16"/>
      <c r="AG350" s="3" t="n">
        <f>$E350+27</f>
        <v>160</v>
      </c>
      <c r="AH350" s="16"/>
    </row>
    <row r="351" ht="28" customHeight="1">
      <c r="A351" s="2" t="n">
        <v>361</v>
      </c>
      <c r="B351" s="2" t="str">
        <v>Luís Figo</v>
      </c>
      <c r="C351" s="15" t="str">
        <v>INFINITE PRIME</v>
      </c>
      <c r="D351" s="2" t="str">
        <v>RW</v>
      </c>
      <c r="E351" s="2" t="n">
        <v>135</v>
      </c>
      <c r="F351" s="2" t="str">
        <v>Bồ Đào Nha</v>
      </c>
      <c r="G351" s="2" t="str">
        <v>Bồ Đào Nha</v>
      </c>
      <c r="H351" s="2" t="n">
        <v>37</v>
      </c>
      <c r="I351" s="3" t="n">
        <f>$E351+0</f>
        <v>135</v>
      </c>
      <c r="J351" s="16"/>
      <c r="K351" s="5" t="n">
        <f>$E351+1</f>
        <v>136</v>
      </c>
      <c r="L351" s="16"/>
      <c r="M351" s="3" t="n">
        <f>$E351+2</f>
        <v>137</v>
      </c>
      <c r="N351" s="16"/>
      <c r="O351" s="5" t="n">
        <f>$E351+4</f>
        <v>139</v>
      </c>
      <c r="P351" s="16"/>
      <c r="Q351" s="3" t="n">
        <f>$E351+6</f>
        <v>141</v>
      </c>
      <c r="R351" s="16"/>
      <c r="S351" s="5" t="n">
        <f>$E351+8</f>
        <v>143</v>
      </c>
      <c r="T351" s="16"/>
      <c r="U351" s="3" t="n">
        <f>$E351+11</f>
        <v>146</v>
      </c>
      <c r="V351" s="16"/>
      <c r="W351" s="5" t="n">
        <f>$E351+15</f>
        <v>150</v>
      </c>
      <c r="X351" s="16"/>
      <c r="Y351" s="3" t="n">
        <f>$E351+17</f>
        <v>152</v>
      </c>
      <c r="Z351" s="16"/>
      <c r="AA351" s="5" t="n">
        <f>$E351+19</f>
        <v>154</v>
      </c>
      <c r="AB351" s="16"/>
      <c r="AC351" s="3" t="n">
        <f>$E351+21</f>
        <v>156</v>
      </c>
      <c r="AD351" s="16"/>
      <c r="AE351" s="5" t="n">
        <f>$E351+24</f>
        <v>159</v>
      </c>
      <c r="AF351" s="16"/>
      <c r="AG351" s="3" t="n">
        <f>$E351+27</f>
        <v>162</v>
      </c>
      <c r="AH351" s="16"/>
    </row>
    <row r="352" ht="28" customHeight="1">
      <c r="A352" s="2" t="n">
        <v>362</v>
      </c>
      <c r="B352" s="2" t="str">
        <v>G. Best</v>
      </c>
      <c r="C352" s="15" t="str">
        <v>INFINITE PRIME</v>
      </c>
      <c r="D352" s="2" t="str">
        <v>RW</v>
      </c>
      <c r="E352" s="2" t="n">
        <v>136</v>
      </c>
      <c r="F352" s="2" t="str">
        <v>Bắc Ireland</v>
      </c>
      <c r="G352" s="2" t="str">
        <v>Bắc Ireland</v>
      </c>
      <c r="H352" s="2" t="n">
        <v>37</v>
      </c>
      <c r="I352" s="3" t="n">
        <f>$E352+0</f>
        <v>136</v>
      </c>
      <c r="J352" s="16"/>
      <c r="K352" s="5" t="n">
        <f>$E352+1</f>
        <v>137</v>
      </c>
      <c r="L352" s="16"/>
      <c r="M352" s="3" t="n">
        <f>$E352+2</f>
        <v>138</v>
      </c>
      <c r="N352" s="16"/>
      <c r="O352" s="5" t="n">
        <f>$E352+4</f>
        <v>140</v>
      </c>
      <c r="P352" s="16"/>
      <c r="Q352" s="3" t="n">
        <f>$E352+6</f>
        <v>142</v>
      </c>
      <c r="R352" s="16"/>
      <c r="S352" s="5" t="n">
        <f>$E352+8</f>
        <v>144</v>
      </c>
      <c r="T352" s="16"/>
      <c r="U352" s="3" t="n">
        <f>$E352+11</f>
        <v>147</v>
      </c>
      <c r="V352" s="16"/>
      <c r="W352" s="5" t="n">
        <f>$E352+15</f>
        <v>151</v>
      </c>
      <c r="X352" s="16"/>
      <c r="Y352" s="3" t="n">
        <f>$E352+17</f>
        <v>153</v>
      </c>
      <c r="Z352" s="16"/>
      <c r="AA352" s="5" t="n">
        <f>$E352+19</f>
        <v>155</v>
      </c>
      <c r="AB352" s="16"/>
      <c r="AC352" s="3" t="n">
        <f>$E352+21</f>
        <v>157</v>
      </c>
      <c r="AD352" s="16"/>
      <c r="AE352" s="5" t="n">
        <f>$E352+24</f>
        <v>160</v>
      </c>
      <c r="AF352" s="16"/>
      <c r="AG352" s="3" t="n">
        <f>$E352+27</f>
        <v>163</v>
      </c>
      <c r="AH352" s="16"/>
    </row>
    <row r="353" ht="28" customHeight="1">
      <c r="A353" s="2" t="n">
        <v>363</v>
      </c>
      <c r="B353" s="2" t="str">
        <v>Roy Makaay</v>
      </c>
      <c r="C353" s="15" t="str">
        <v>INFINITE PRIME</v>
      </c>
      <c r="D353" s="2" t="str">
        <v>ST</v>
      </c>
      <c r="E353" s="2" t="n">
        <v>130</v>
      </c>
      <c r="F353" s="2" t="str">
        <v>Hà Lan</v>
      </c>
      <c r="G353" s="2" t="str">
        <v>Hà Lan</v>
      </c>
      <c r="H353" s="2" t="n">
        <v>33</v>
      </c>
      <c r="I353" s="3" t="n">
        <f>$E353+0</f>
        <v>130</v>
      </c>
      <c r="J353" s="16"/>
      <c r="K353" s="5" t="n">
        <f>$E353+1</f>
        <v>131</v>
      </c>
      <c r="L353" s="16"/>
      <c r="M353" s="3" t="n">
        <f>$E353+2</f>
        <v>132</v>
      </c>
      <c r="N353" s="16"/>
      <c r="O353" s="5" t="n">
        <f>$E353+4</f>
        <v>134</v>
      </c>
      <c r="P353" s="16"/>
      <c r="Q353" s="3" t="n">
        <f>$E353+6</f>
        <v>136</v>
      </c>
      <c r="R353" s="16"/>
      <c r="S353" s="5" t="n">
        <f>$E353+8</f>
        <v>138</v>
      </c>
      <c r="T353" s="16"/>
      <c r="U353" s="3" t="n">
        <f>$E353+11</f>
        <v>141</v>
      </c>
      <c r="V353" s="16"/>
      <c r="W353" s="5" t="n">
        <f>$E353+15</f>
        <v>145</v>
      </c>
      <c r="X353" s="16"/>
      <c r="Y353" s="3" t="n">
        <f>$E353+17</f>
        <v>147</v>
      </c>
      <c r="Z353" s="16"/>
      <c r="AA353" s="5" t="n">
        <f>$E353+19</f>
        <v>149</v>
      </c>
      <c r="AB353" s="16"/>
      <c r="AC353" s="3" t="n">
        <f>$E353+21</f>
        <v>151</v>
      </c>
      <c r="AD353" s="16"/>
      <c r="AE353" s="5" t="n">
        <f>$E353+24</f>
        <v>154</v>
      </c>
      <c r="AF353" s="16"/>
      <c r="AG353" s="3" t="n">
        <f>$E353+27</f>
        <v>157</v>
      </c>
      <c r="AH353" s="16"/>
    </row>
    <row r="354" ht="28" customHeight="1">
      <c r="A354" s="2" t="n">
        <v>364</v>
      </c>
      <c r="B354" s="2" t="str">
        <v>Iván Zamorano</v>
      </c>
      <c r="C354" s="15" t="str">
        <v>INFINITE PRIME</v>
      </c>
      <c r="D354" s="2" t="str">
        <v>ST</v>
      </c>
      <c r="E354" s="2" t="n">
        <v>130</v>
      </c>
      <c r="F354" s="2" t="str">
        <v>Chile</v>
      </c>
      <c r="G354" s="2" t="str">
        <v>Chile</v>
      </c>
      <c r="H354" s="2" t="n">
        <v>33</v>
      </c>
      <c r="I354" s="3" t="n">
        <f>$E354+0</f>
        <v>130</v>
      </c>
      <c r="J354" s="16"/>
      <c r="K354" s="5" t="n">
        <f>$E354+1</f>
        <v>131</v>
      </c>
      <c r="L354" s="16"/>
      <c r="M354" s="3" t="n">
        <f>$E354+2</f>
        <v>132</v>
      </c>
      <c r="N354" s="16"/>
      <c r="O354" s="5" t="n">
        <f>$E354+4</f>
        <v>134</v>
      </c>
      <c r="P354" s="16"/>
      <c r="Q354" s="3" t="n">
        <f>$E354+6</f>
        <v>136</v>
      </c>
      <c r="R354" s="16"/>
      <c r="S354" s="5" t="n">
        <f>$E354+8</f>
        <v>138</v>
      </c>
      <c r="T354" s="16"/>
      <c r="U354" s="3" t="n">
        <f>$E354+11</f>
        <v>141</v>
      </c>
      <c r="V354" s="16"/>
      <c r="W354" s="5" t="n">
        <f>$E354+15</f>
        <v>145</v>
      </c>
      <c r="X354" s="16"/>
      <c r="Y354" s="3" t="n">
        <f>$E354+17</f>
        <v>147</v>
      </c>
      <c r="Z354" s="16"/>
      <c r="AA354" s="5" t="n">
        <f>$E354+19</f>
        <v>149</v>
      </c>
      <c r="AB354" s="16"/>
      <c r="AC354" s="3" t="n">
        <f>$E354+21</f>
        <v>151</v>
      </c>
      <c r="AD354" s="16"/>
      <c r="AE354" s="5" t="n">
        <f>$E354+24</f>
        <v>154</v>
      </c>
      <c r="AF354" s="16"/>
      <c r="AG354" s="3" t="n">
        <f>$E354+27</f>
        <v>157</v>
      </c>
      <c r="AH354" s="16"/>
    </row>
    <row r="355" ht="28" customHeight="1">
      <c r="A355" s="2" t="n">
        <v>365</v>
      </c>
      <c r="B355" s="2" t="str">
        <v>H. Crespo</v>
      </c>
      <c r="C355" s="15" t="str">
        <v>INFINITE PRIME</v>
      </c>
      <c r="D355" s="2" t="str">
        <v>ST</v>
      </c>
      <c r="E355" s="2" t="n">
        <v>131</v>
      </c>
      <c r="F355" s="2" t="str">
        <v>Argentina</v>
      </c>
      <c r="G355" s="2" t="str">
        <v>Argentina</v>
      </c>
      <c r="H355" s="2" t="n">
        <v>34</v>
      </c>
      <c r="I355" s="3" t="n">
        <f>$E355+0</f>
        <v>131</v>
      </c>
      <c r="J355" s="16"/>
      <c r="K355" s="5" t="n">
        <f>$E355+1</f>
        <v>132</v>
      </c>
      <c r="L355" s="16"/>
      <c r="M355" s="3" t="n">
        <f>$E355+2</f>
        <v>133</v>
      </c>
      <c r="N355" s="16"/>
      <c r="O355" s="5" t="n">
        <f>$E355+4</f>
        <v>135</v>
      </c>
      <c r="P355" s="16"/>
      <c r="Q355" s="3" t="n">
        <f>$E355+6</f>
        <v>137</v>
      </c>
      <c r="R355" s="16"/>
      <c r="S355" s="5" t="n">
        <f>$E355+8</f>
        <v>139</v>
      </c>
      <c r="T355" s="16"/>
      <c r="U355" s="3" t="n">
        <f>$E355+11</f>
        <v>142</v>
      </c>
      <c r="V355" s="16"/>
      <c r="W355" s="5" t="n">
        <f>$E355+15</f>
        <v>146</v>
      </c>
      <c r="X355" s="16"/>
      <c r="Y355" s="3" t="n">
        <f>$E355+17</f>
        <v>148</v>
      </c>
      <c r="Z355" s="16"/>
      <c r="AA355" s="5" t="n">
        <f>$E355+19</f>
        <v>150</v>
      </c>
      <c r="AB355" s="16"/>
      <c r="AC355" s="3" t="n">
        <f>$E355+21</f>
        <v>152</v>
      </c>
      <c r="AD355" s="16"/>
      <c r="AE355" s="5" t="n">
        <f>$E355+24</f>
        <v>155</v>
      </c>
      <c r="AF355" s="16"/>
      <c r="AG355" s="3" t="n">
        <f>$E355+27</f>
        <v>158</v>
      </c>
      <c r="AH355" s="16"/>
    </row>
    <row r="356" ht="28" customHeight="1">
      <c r="A356" s="2" t="n">
        <v>366</v>
      </c>
      <c r="B356" s="2" t="str">
        <v>M. Klose</v>
      </c>
      <c r="C356" s="15" t="str">
        <v>INFINITE PRIME</v>
      </c>
      <c r="D356" s="2" t="str">
        <v>ST</v>
      </c>
      <c r="E356" s="2" t="n">
        <v>132</v>
      </c>
      <c r="F356" s="2" t="str">
        <v>Đức</v>
      </c>
      <c r="G356" s="2" t="str">
        <v>Đức</v>
      </c>
      <c r="H356" s="2" t="n">
        <v>35</v>
      </c>
      <c r="I356" s="3" t="n">
        <f>$E356+0</f>
        <v>132</v>
      </c>
      <c r="J356" s="16"/>
      <c r="K356" s="5" t="n">
        <f>$E356+1</f>
        <v>133</v>
      </c>
      <c r="L356" s="16"/>
      <c r="M356" s="3" t="n">
        <f>$E356+2</f>
        <v>134</v>
      </c>
      <c r="N356" s="16"/>
      <c r="O356" s="5" t="n">
        <f>$E356+4</f>
        <v>136</v>
      </c>
      <c r="P356" s="16"/>
      <c r="Q356" s="3" t="n">
        <f>$E356+6</f>
        <v>138</v>
      </c>
      <c r="R356" s="16"/>
      <c r="S356" s="5" t="n">
        <f>$E356+8</f>
        <v>140</v>
      </c>
      <c r="T356" s="16"/>
      <c r="U356" s="3" t="n">
        <f>$E356+11</f>
        <v>143</v>
      </c>
      <c r="V356" s="16"/>
      <c r="W356" s="5" t="n">
        <f>$E356+15</f>
        <v>147</v>
      </c>
      <c r="X356" s="16"/>
      <c r="Y356" s="3" t="n">
        <f>$E356+17</f>
        <v>149</v>
      </c>
      <c r="Z356" s="16"/>
      <c r="AA356" s="5" t="n">
        <f>$E356+19</f>
        <v>151</v>
      </c>
      <c r="AB356" s="16"/>
      <c r="AC356" s="3" t="n">
        <f>$E356+21</f>
        <v>153</v>
      </c>
      <c r="AD356" s="16"/>
      <c r="AE356" s="5" t="n">
        <f>$E356+24</f>
        <v>156</v>
      </c>
      <c r="AF356" s="16"/>
      <c r="AG356" s="3" t="n">
        <f>$E356+27</f>
        <v>159</v>
      </c>
      <c r="AH356" s="16"/>
    </row>
    <row r="357" ht="28" customHeight="1">
      <c r="A357" s="2" t="n">
        <v>367</v>
      </c>
      <c r="B357" s="2" t="str">
        <v>Fernando Torres</v>
      </c>
      <c r="C357" s="15" t="str">
        <v>INFINITE PRIME</v>
      </c>
      <c r="D357" s="2" t="str">
        <v>ST</v>
      </c>
      <c r="E357" s="2" t="n">
        <v>132</v>
      </c>
      <c r="F357" s="2" t="str">
        <v>Tây Ban Nha</v>
      </c>
      <c r="G357" s="2" t="str">
        <v>Tây Ban Nha</v>
      </c>
      <c r="H357" s="2" t="n">
        <v>35</v>
      </c>
      <c r="I357" s="3" t="n">
        <f>$E357+0</f>
        <v>132</v>
      </c>
      <c r="J357" s="16"/>
      <c r="K357" s="5" t="n">
        <f>$E357+1</f>
        <v>133</v>
      </c>
      <c r="L357" s="16"/>
      <c r="M357" s="3" t="n">
        <f>$E357+2</f>
        <v>134</v>
      </c>
      <c r="N357" s="16"/>
      <c r="O357" s="5" t="n">
        <f>$E357+4</f>
        <v>136</v>
      </c>
      <c r="P357" s="16"/>
      <c r="Q357" s="3" t="n">
        <f>$E357+6</f>
        <v>138</v>
      </c>
      <c r="R357" s="16"/>
      <c r="S357" s="5" t="n">
        <f>$E357+8</f>
        <v>140</v>
      </c>
      <c r="T357" s="16"/>
      <c r="U357" s="3" t="n">
        <f>$E357+11</f>
        <v>143</v>
      </c>
      <c r="V357" s="16"/>
      <c r="W357" s="5" t="n">
        <f>$E357+15</f>
        <v>147</v>
      </c>
      <c r="X357" s="16"/>
      <c r="Y357" s="3" t="n">
        <f>$E357+17</f>
        <v>149</v>
      </c>
      <c r="Z357" s="16"/>
      <c r="AA357" s="5" t="n">
        <f>$E357+19</f>
        <v>151</v>
      </c>
      <c r="AB357" s="16"/>
      <c r="AC357" s="3" t="n">
        <f>$E357+21</f>
        <v>153</v>
      </c>
      <c r="AD357" s="16"/>
      <c r="AE357" s="5" t="n">
        <f>$E357+24</f>
        <v>156</v>
      </c>
      <c r="AF357" s="16"/>
      <c r="AG357" s="3" t="n">
        <f>$E357+27</f>
        <v>159</v>
      </c>
      <c r="AH357" s="16"/>
    </row>
    <row r="358" ht="28" customHeight="1">
      <c r="A358" s="2" t="n">
        <v>368</v>
      </c>
      <c r="B358" s="2" t="str">
        <v>I. Wright</v>
      </c>
      <c r="C358" s="15" t="str">
        <v>INFINITE PRIME</v>
      </c>
      <c r="D358" s="2" t="str">
        <v>ST</v>
      </c>
      <c r="E358" s="2" t="n">
        <v>132</v>
      </c>
      <c r="F358" s="2" t="str">
        <v>Anh</v>
      </c>
      <c r="G358" s="2" t="str">
        <v>Anh</v>
      </c>
      <c r="H358" s="2" t="n">
        <v>34</v>
      </c>
      <c r="I358" s="3" t="n">
        <f>$E358+0</f>
        <v>132</v>
      </c>
      <c r="J358" s="16"/>
      <c r="K358" s="5" t="n">
        <f>$E358+1</f>
        <v>133</v>
      </c>
      <c r="L358" s="16"/>
      <c r="M358" s="3" t="n">
        <f>$E358+2</f>
        <v>134</v>
      </c>
      <c r="N358" s="16"/>
      <c r="O358" s="5" t="n">
        <f>$E358+4</f>
        <v>136</v>
      </c>
      <c r="P358" s="16"/>
      <c r="Q358" s="3" t="n">
        <f>$E358+6</f>
        <v>138</v>
      </c>
      <c r="R358" s="16"/>
      <c r="S358" s="5" t="n">
        <f>$E358+8</f>
        <v>140</v>
      </c>
      <c r="T358" s="16"/>
      <c r="U358" s="3" t="n">
        <f>$E358+11</f>
        <v>143</v>
      </c>
      <c r="V358" s="16"/>
      <c r="W358" s="5" t="n">
        <f>$E358+15</f>
        <v>147</v>
      </c>
      <c r="X358" s="16"/>
      <c r="Y358" s="3" t="n">
        <f>$E358+17</f>
        <v>149</v>
      </c>
      <c r="Z358" s="16"/>
      <c r="AA358" s="5" t="n">
        <f>$E358+19</f>
        <v>151</v>
      </c>
      <c r="AB358" s="16"/>
      <c r="AC358" s="3" t="n">
        <f>$E358+21</f>
        <v>153</v>
      </c>
      <c r="AD358" s="16"/>
      <c r="AE358" s="5" t="n">
        <f>$E358+24</f>
        <v>156</v>
      </c>
      <c r="AF358" s="16"/>
      <c r="AG358" s="3" t="n">
        <f>$E358+27</f>
        <v>159</v>
      </c>
      <c r="AH358" s="16"/>
    </row>
    <row r="359" ht="28" customHeight="1">
      <c r="A359" s="2" t="n">
        <v>369</v>
      </c>
      <c r="B359" s="2" t="str">
        <v>S. Eto'o</v>
      </c>
      <c r="C359" s="15" t="str">
        <v>INFINITE PRIME</v>
      </c>
      <c r="D359" s="2" t="str">
        <v>ST</v>
      </c>
      <c r="E359" s="2" t="n">
        <v>133</v>
      </c>
      <c r="F359" s="2" t="str">
        <v>Cameroon</v>
      </c>
      <c r="G359" s="2" t="str">
        <v>Cameroon</v>
      </c>
      <c r="H359" s="2" t="n">
        <v>35</v>
      </c>
      <c r="I359" s="3" t="n">
        <f>$E359+0</f>
        <v>133</v>
      </c>
      <c r="J359" s="16"/>
      <c r="K359" s="5" t="n">
        <f>$E359+1</f>
        <v>134</v>
      </c>
      <c r="L359" s="16"/>
      <c r="M359" s="3" t="n">
        <f>$E359+2</f>
        <v>135</v>
      </c>
      <c r="N359" s="16"/>
      <c r="O359" s="5" t="n">
        <f>$E359+4</f>
        <v>137</v>
      </c>
      <c r="P359" s="16"/>
      <c r="Q359" s="3" t="n">
        <f>$E359+6</f>
        <v>139</v>
      </c>
      <c r="R359" s="16"/>
      <c r="S359" s="5" t="n">
        <f>$E359+8</f>
        <v>141</v>
      </c>
      <c r="T359" s="16"/>
      <c r="U359" s="3" t="n">
        <f>$E359+11</f>
        <v>144</v>
      </c>
      <c r="V359" s="16"/>
      <c r="W359" s="5" t="n">
        <f>$E359+15</f>
        <v>148</v>
      </c>
      <c r="X359" s="16"/>
      <c r="Y359" s="3" t="n">
        <f>$E359+17</f>
        <v>150</v>
      </c>
      <c r="Z359" s="16"/>
      <c r="AA359" s="5" t="n">
        <f>$E359+19</f>
        <v>152</v>
      </c>
      <c r="AB359" s="16"/>
      <c r="AC359" s="3" t="n">
        <f>$E359+21</f>
        <v>154</v>
      </c>
      <c r="AD359" s="16"/>
      <c r="AE359" s="5" t="n">
        <f>$E359+24</f>
        <v>157</v>
      </c>
      <c r="AF359" s="16"/>
      <c r="AG359" s="3" t="n">
        <f>$E359+27</f>
        <v>160</v>
      </c>
      <c r="AH359" s="16"/>
    </row>
    <row r="360" ht="28" customHeight="1">
      <c r="A360" s="2" t="n">
        <v>370</v>
      </c>
      <c r="B360" s="2" t="str">
        <v>G. Lineker</v>
      </c>
      <c r="C360" s="15" t="str">
        <v>INFINITE PRIME</v>
      </c>
      <c r="D360" s="2" t="str">
        <v>ST</v>
      </c>
      <c r="E360" s="2" t="n">
        <v>133</v>
      </c>
      <c r="F360" s="2" t="str">
        <v>Anh</v>
      </c>
      <c r="G360" s="2" t="str">
        <v>Anh</v>
      </c>
      <c r="H360" s="2" t="n">
        <v>35</v>
      </c>
      <c r="I360" s="3" t="n">
        <f>$E360+0</f>
        <v>133</v>
      </c>
      <c r="J360" s="16"/>
      <c r="K360" s="5" t="n">
        <f>$E360+1</f>
        <v>134</v>
      </c>
      <c r="L360" s="16"/>
      <c r="M360" s="3" t="n">
        <f>$E360+2</f>
        <v>135</v>
      </c>
      <c r="N360" s="16"/>
      <c r="O360" s="5" t="n">
        <f>$E360+4</f>
        <v>137</v>
      </c>
      <c r="P360" s="16"/>
      <c r="Q360" s="3" t="n">
        <f>$E360+6</f>
        <v>139</v>
      </c>
      <c r="R360" s="16"/>
      <c r="S360" s="5" t="n">
        <f>$E360+8</f>
        <v>141</v>
      </c>
      <c r="T360" s="16"/>
      <c r="U360" s="3" t="n">
        <f>$E360+11</f>
        <v>144</v>
      </c>
      <c r="V360" s="16"/>
      <c r="W360" s="5" t="n">
        <f>$E360+15</f>
        <v>148</v>
      </c>
      <c r="X360" s="16"/>
      <c r="Y360" s="3" t="n">
        <f>$E360+17</f>
        <v>150</v>
      </c>
      <c r="Z360" s="16"/>
      <c r="AA360" s="5" t="n">
        <f>$E360+19</f>
        <v>152</v>
      </c>
      <c r="AB360" s="16"/>
      <c r="AC360" s="3" t="n">
        <f>$E360+21</f>
        <v>154</v>
      </c>
      <c r="AD360" s="16"/>
      <c r="AE360" s="5" t="n">
        <f>$E360+24</f>
        <v>157</v>
      </c>
      <c r="AF360" s="16"/>
      <c r="AG360" s="3" t="n">
        <f>$E360+27</f>
        <v>160</v>
      </c>
      <c r="AH360" s="16"/>
    </row>
    <row r="361" ht="28" customHeight="1">
      <c r="A361" s="2" t="n">
        <v>371</v>
      </c>
      <c r="B361" s="2" t="str">
        <v>A. Shearer</v>
      </c>
      <c r="C361" s="15" t="str">
        <v>INFINITE PRIME</v>
      </c>
      <c r="D361" s="2" t="str">
        <v>ST</v>
      </c>
      <c r="E361" s="2" t="n">
        <v>134</v>
      </c>
      <c r="F361" s="2" t="str">
        <v>Anh</v>
      </c>
      <c r="G361" s="2" t="str">
        <v>Anh</v>
      </c>
      <c r="H361" s="2" t="n">
        <v>35</v>
      </c>
      <c r="I361" s="3" t="n">
        <f>$E361+0</f>
        <v>134</v>
      </c>
      <c r="J361" s="16"/>
      <c r="K361" s="5" t="n">
        <f>$E361+1</f>
        <v>135</v>
      </c>
      <c r="L361" s="16"/>
      <c r="M361" s="3" t="n">
        <f>$E361+2</f>
        <v>136</v>
      </c>
      <c r="N361" s="16"/>
      <c r="O361" s="5" t="n">
        <f>$E361+4</f>
        <v>138</v>
      </c>
      <c r="P361" s="16"/>
      <c r="Q361" s="3" t="n">
        <f>$E361+6</f>
        <v>140</v>
      </c>
      <c r="R361" s="16"/>
      <c r="S361" s="5" t="n">
        <f>$E361+8</f>
        <v>142</v>
      </c>
      <c r="T361" s="16"/>
      <c r="U361" s="3" t="n">
        <f>$E361+11</f>
        <v>145</v>
      </c>
      <c r="V361" s="16"/>
      <c r="W361" s="5" t="n">
        <f>$E361+15</f>
        <v>149</v>
      </c>
      <c r="X361" s="16"/>
      <c r="Y361" s="3" t="n">
        <f>$E361+17</f>
        <v>151</v>
      </c>
      <c r="Z361" s="16"/>
      <c r="AA361" s="5" t="n">
        <f>$E361+19</f>
        <v>153</v>
      </c>
      <c r="AB361" s="16"/>
      <c r="AC361" s="3" t="n">
        <f>$E361+21</f>
        <v>155</v>
      </c>
      <c r="AD361" s="16"/>
      <c r="AE361" s="5" t="n">
        <f>$E361+24</f>
        <v>158</v>
      </c>
      <c r="AF361" s="16"/>
      <c r="AG361" s="3" t="n">
        <f>$E361+27</f>
        <v>161</v>
      </c>
      <c r="AH361" s="16"/>
    </row>
    <row r="362" ht="28" customHeight="1">
      <c r="A362" s="2" t="n">
        <v>372</v>
      </c>
      <c r="B362" s="2" t="str">
        <v>R. van Persie</v>
      </c>
      <c r="C362" s="15" t="str">
        <v>INFINITE PRIME</v>
      </c>
      <c r="D362" s="2" t="str">
        <v>ST</v>
      </c>
      <c r="E362" s="2" t="n">
        <v>134</v>
      </c>
      <c r="F362" s="2" t="str">
        <v>Hà Lan</v>
      </c>
      <c r="G362" s="2" t="str">
        <v>Hà Lan</v>
      </c>
      <c r="H362" s="2" t="n">
        <v>36</v>
      </c>
      <c r="I362" s="3" t="n">
        <f>$E362+0</f>
        <v>134</v>
      </c>
      <c r="J362" s="16"/>
      <c r="K362" s="5" t="n">
        <f>$E362+1</f>
        <v>135</v>
      </c>
      <c r="L362" s="16"/>
      <c r="M362" s="3" t="n">
        <f>$E362+2</f>
        <v>136</v>
      </c>
      <c r="N362" s="16"/>
      <c r="O362" s="5" t="n">
        <f>$E362+4</f>
        <v>138</v>
      </c>
      <c r="P362" s="16"/>
      <c r="Q362" s="3" t="n">
        <f>$E362+6</f>
        <v>140</v>
      </c>
      <c r="R362" s="16"/>
      <c r="S362" s="5" t="n">
        <f>$E362+8</f>
        <v>142</v>
      </c>
      <c r="T362" s="16"/>
      <c r="U362" s="3" t="n">
        <f>$E362+11</f>
        <v>145</v>
      </c>
      <c r="V362" s="16"/>
      <c r="W362" s="5" t="n">
        <f>$E362+15</f>
        <v>149</v>
      </c>
      <c r="X362" s="16"/>
      <c r="Y362" s="3" t="n">
        <f>$E362+17</f>
        <v>151</v>
      </c>
      <c r="Z362" s="16"/>
      <c r="AA362" s="5" t="n">
        <f>$E362+19</f>
        <v>153</v>
      </c>
      <c r="AB362" s="16"/>
      <c r="AC362" s="3" t="n">
        <f>$E362+21</f>
        <v>155</v>
      </c>
      <c r="AD362" s="16"/>
      <c r="AE362" s="5" t="n">
        <f>$E362+24</f>
        <v>158</v>
      </c>
      <c r="AF362" s="16"/>
      <c r="AG362" s="3" t="n">
        <f>$E362+27</f>
        <v>161</v>
      </c>
      <c r="AH362" s="16"/>
    </row>
    <row r="363" ht="28" customHeight="1">
      <c r="A363" s="2" t="n">
        <v>373</v>
      </c>
      <c r="B363" s="2" t="str">
        <v>T. Henry</v>
      </c>
      <c r="C363" s="15" t="str">
        <v>INFINITE PRIME</v>
      </c>
      <c r="D363" s="2" t="str">
        <v>ST</v>
      </c>
      <c r="E363" s="2" t="n">
        <v>135</v>
      </c>
      <c r="F363" s="2" t="str">
        <v>Pháp</v>
      </c>
      <c r="G363" s="2" t="str">
        <v>Pháp</v>
      </c>
      <c r="H363" s="2" t="n">
        <v>37</v>
      </c>
      <c r="I363" s="3" t="n">
        <f>$E363+0</f>
        <v>135</v>
      </c>
      <c r="J363" s="16"/>
      <c r="K363" s="5" t="n">
        <f>$E363+1</f>
        <v>136</v>
      </c>
      <c r="L363" s="16"/>
      <c r="M363" s="3" t="n">
        <f>$E363+2</f>
        <v>137</v>
      </c>
      <c r="N363" s="16"/>
      <c r="O363" s="5" t="n">
        <f>$E363+4</f>
        <v>139</v>
      </c>
      <c r="P363" s="16"/>
      <c r="Q363" s="3" t="n">
        <f>$E363+6</f>
        <v>141</v>
      </c>
      <c r="R363" s="16"/>
      <c r="S363" s="5" t="n">
        <f>$E363+8</f>
        <v>143</v>
      </c>
      <c r="T363" s="16"/>
      <c r="U363" s="3" t="n">
        <f>$E363+11</f>
        <v>146</v>
      </c>
      <c r="V363" s="16"/>
      <c r="W363" s="5" t="n">
        <f>$E363+15</f>
        <v>150</v>
      </c>
      <c r="X363" s="16"/>
      <c r="Y363" s="3" t="n">
        <f>$E363+17</f>
        <v>152</v>
      </c>
      <c r="Z363" s="16"/>
      <c r="AA363" s="5" t="n">
        <f>$E363+19</f>
        <v>154</v>
      </c>
      <c r="AB363" s="16"/>
      <c r="AC363" s="3" t="n">
        <f>$E363+21</f>
        <v>156</v>
      </c>
      <c r="AD363" s="16"/>
      <c r="AE363" s="5" t="n">
        <f>$E363+24</f>
        <v>159</v>
      </c>
      <c r="AF363" s="16"/>
      <c r="AG363" s="3" t="n">
        <f>$E363+27</f>
        <v>162</v>
      </c>
      <c r="AH363" s="16"/>
    </row>
    <row r="364" ht="28" customHeight="1">
      <c r="A364" s="2" t="n">
        <v>374</v>
      </c>
      <c r="B364" s="2" t="str">
        <v>R. van Nistelrooy</v>
      </c>
      <c r="C364" s="15" t="str">
        <v>INFINITE PRIME</v>
      </c>
      <c r="D364" s="2" t="str">
        <v>ST</v>
      </c>
      <c r="E364" s="2" t="n">
        <v>135</v>
      </c>
      <c r="F364" s="2" t="str">
        <v>Hà Lan</v>
      </c>
      <c r="G364" s="2" t="str">
        <v>Hà Lan</v>
      </c>
      <c r="H364" s="2" t="n">
        <v>36</v>
      </c>
      <c r="I364" s="3" t="n">
        <f>$E364+0</f>
        <v>135</v>
      </c>
      <c r="J364" s="16"/>
      <c r="K364" s="5" t="n">
        <f>$E364+1</f>
        <v>136</v>
      </c>
      <c r="L364" s="16"/>
      <c r="M364" s="3" t="n">
        <f>$E364+2</f>
        <v>137</v>
      </c>
      <c r="N364" s="16"/>
      <c r="O364" s="5" t="n">
        <f>$E364+4</f>
        <v>139</v>
      </c>
      <c r="P364" s="16"/>
      <c r="Q364" s="3" t="n">
        <f>$E364+6</f>
        <v>141</v>
      </c>
      <c r="R364" s="16"/>
      <c r="S364" s="5" t="n">
        <f>$E364+8</f>
        <v>143</v>
      </c>
      <c r="T364" s="16"/>
      <c r="U364" s="3" t="n">
        <f>$E364+11</f>
        <v>146</v>
      </c>
      <c r="V364" s="16"/>
      <c r="W364" s="5" t="n">
        <f>$E364+15</f>
        <v>150</v>
      </c>
      <c r="X364" s="16"/>
      <c r="Y364" s="3" t="n">
        <f>$E364+17</f>
        <v>152</v>
      </c>
      <c r="Z364" s="16"/>
      <c r="AA364" s="5" t="n">
        <f>$E364+19</f>
        <v>154</v>
      </c>
      <c r="AB364" s="16"/>
      <c r="AC364" s="3" t="n">
        <f>$E364+21</f>
        <v>156</v>
      </c>
      <c r="AD364" s="16"/>
      <c r="AE364" s="5" t="n">
        <f>$E364+24</f>
        <v>159</v>
      </c>
      <c r="AF364" s="16"/>
      <c r="AG364" s="3" t="n">
        <f>$E364+27</f>
        <v>162</v>
      </c>
      <c r="AH364" s="16"/>
    </row>
    <row r="365" ht="28" customHeight="1">
      <c r="A365" s="2" t="n">
        <v>375</v>
      </c>
      <c r="B365" s="2" t="str">
        <v>Raúl</v>
      </c>
      <c r="C365" s="15" t="str">
        <v>INFINITE PRIME</v>
      </c>
      <c r="D365" s="2" t="str">
        <v>ST</v>
      </c>
      <c r="E365" s="2" t="n">
        <v>135</v>
      </c>
      <c r="F365" s="2" t="str">
        <v>Tây Ban Nha</v>
      </c>
      <c r="G365" s="2" t="str">
        <v>Tây Ban Nha</v>
      </c>
      <c r="H365" s="2" t="n">
        <v>37</v>
      </c>
      <c r="I365" s="3" t="n">
        <f>$E365+0</f>
        <v>135</v>
      </c>
      <c r="J365" s="16"/>
      <c r="K365" s="5" t="n">
        <f>$E365+1</f>
        <v>136</v>
      </c>
      <c r="L365" s="16"/>
      <c r="M365" s="3" t="n">
        <f>$E365+2</f>
        <v>137</v>
      </c>
      <c r="N365" s="16"/>
      <c r="O365" s="5" t="n">
        <f>$E365+4</f>
        <v>139</v>
      </c>
      <c r="P365" s="16"/>
      <c r="Q365" s="3" t="n">
        <f>$E365+6</f>
        <v>141</v>
      </c>
      <c r="R365" s="16"/>
      <c r="S365" s="5" t="n">
        <f>$E365+8</f>
        <v>143</v>
      </c>
      <c r="T365" s="16"/>
      <c r="U365" s="3" t="n">
        <f>$E365+11</f>
        <v>146</v>
      </c>
      <c r="V365" s="16"/>
      <c r="W365" s="5" t="n">
        <f>$E365+15</f>
        <v>150</v>
      </c>
      <c r="X365" s="16"/>
      <c r="Y365" s="3" t="n">
        <f>$E365+17</f>
        <v>152</v>
      </c>
      <c r="Z365" s="16"/>
      <c r="AA365" s="5" t="n">
        <f>$E365+19</f>
        <v>154</v>
      </c>
      <c r="AB365" s="16"/>
      <c r="AC365" s="3" t="n">
        <f>$E365+21</f>
        <v>156</v>
      </c>
      <c r="AD365" s="16"/>
      <c r="AE365" s="5" t="n">
        <f>$E365+24</f>
        <v>159</v>
      </c>
      <c r="AF365" s="16"/>
      <c r="AG365" s="3" t="n">
        <f>$E365+27</f>
        <v>162</v>
      </c>
      <c r="AH365" s="16"/>
    </row>
    <row r="366" ht="28" customHeight="1">
      <c r="A366" s="2" t="n">
        <v>376</v>
      </c>
      <c r="B366" s="2" t="str">
        <v>W. Rooney</v>
      </c>
      <c r="C366" s="15" t="str">
        <v>INFINITE PRIME</v>
      </c>
      <c r="D366" s="2" t="str">
        <v>ST</v>
      </c>
      <c r="E366" s="2" t="n">
        <v>135</v>
      </c>
      <c r="F366" s="2" t="str">
        <v>Anh</v>
      </c>
      <c r="G366" s="2" t="str">
        <v>Anh</v>
      </c>
      <c r="H366" s="2" t="n">
        <v>37</v>
      </c>
      <c r="I366" s="3" t="n">
        <f>$E366+0</f>
        <v>135</v>
      </c>
      <c r="J366" s="16"/>
      <c r="K366" s="5" t="n">
        <f>$E366+1</f>
        <v>136</v>
      </c>
      <c r="L366" s="16"/>
      <c r="M366" s="3" t="n">
        <f>$E366+2</f>
        <v>137</v>
      </c>
      <c r="N366" s="16"/>
      <c r="O366" s="5" t="n">
        <f>$E366+4</f>
        <v>139</v>
      </c>
      <c r="P366" s="16"/>
      <c r="Q366" s="3" t="n">
        <f>$E366+6</f>
        <v>141</v>
      </c>
      <c r="R366" s="16"/>
      <c r="S366" s="5" t="n">
        <f>$E366+8</f>
        <v>143</v>
      </c>
      <c r="T366" s="16"/>
      <c r="U366" s="3" t="n">
        <f>$E366+11</f>
        <v>146</v>
      </c>
      <c r="V366" s="16"/>
      <c r="W366" s="5" t="n">
        <f>$E366+15</f>
        <v>150</v>
      </c>
      <c r="X366" s="16"/>
      <c r="Y366" s="3" t="n">
        <f>$E366+17</f>
        <v>152</v>
      </c>
      <c r="Z366" s="16"/>
      <c r="AA366" s="5" t="n">
        <f>$E366+19</f>
        <v>154</v>
      </c>
      <c r="AB366" s="16"/>
      <c r="AC366" s="3" t="n">
        <f>$E366+21</f>
        <v>156</v>
      </c>
      <c r="AD366" s="16"/>
      <c r="AE366" s="5" t="n">
        <f>$E366+24</f>
        <v>159</v>
      </c>
      <c r="AF366" s="16"/>
      <c r="AG366" s="3" t="n">
        <f>$E366+27</f>
        <v>162</v>
      </c>
      <c r="AH366" s="16"/>
    </row>
    <row r="367" ht="28" customHeight="1">
      <c r="A367" s="2" t="n">
        <v>377</v>
      </c>
      <c r="B367" s="2" t="str">
        <v>Ronaldo</v>
      </c>
      <c r="C367" s="15" t="str">
        <v>INFINITE PRIME</v>
      </c>
      <c r="D367" s="2" t="str">
        <v>ST</v>
      </c>
      <c r="E367" s="2" t="n">
        <v>136</v>
      </c>
      <c r="F367" s="2" t="str">
        <v>Brazil</v>
      </c>
      <c r="G367" s="2" t="str">
        <v>Brazil</v>
      </c>
      <c r="H367" s="2" t="n">
        <v>37</v>
      </c>
      <c r="I367" s="3" t="n">
        <f>$E367+0</f>
        <v>136</v>
      </c>
      <c r="J367" s="16"/>
      <c r="K367" s="5" t="n">
        <f>$E367+1</f>
        <v>137</v>
      </c>
      <c r="L367" s="16"/>
      <c r="M367" s="3" t="n">
        <f>$E367+2</f>
        <v>138</v>
      </c>
      <c r="N367" s="16"/>
      <c r="O367" s="5" t="n">
        <f>$E367+4</f>
        <v>140</v>
      </c>
      <c r="P367" s="16"/>
      <c r="Q367" s="3" t="n">
        <f>$E367+6</f>
        <v>142</v>
      </c>
      <c r="R367" s="16"/>
      <c r="S367" s="5" t="n">
        <f>$E367+8</f>
        <v>144</v>
      </c>
      <c r="T367" s="16"/>
      <c r="U367" s="3" t="n">
        <f>$E367+11</f>
        <v>147</v>
      </c>
      <c r="V367" s="16"/>
      <c r="W367" s="5" t="n">
        <f>$E367+15</f>
        <v>151</v>
      </c>
      <c r="X367" s="16"/>
      <c r="Y367" s="3" t="n">
        <f>$E367+17</f>
        <v>153</v>
      </c>
      <c r="Z367" s="16"/>
      <c r="AA367" s="5" t="n">
        <f>$E367+19</f>
        <v>155</v>
      </c>
      <c r="AB367" s="16"/>
      <c r="AC367" s="3" t="n">
        <f>$E367+21</f>
        <v>157</v>
      </c>
      <c r="AD367" s="16"/>
      <c r="AE367" s="5" t="n">
        <f>$E367+24</f>
        <v>160</v>
      </c>
      <c r="AF367" s="16"/>
      <c r="AG367" s="3" t="n">
        <f>$E367+27</f>
        <v>163</v>
      </c>
      <c r="AH367" s="16"/>
    </row>
    <row r="368" ht="28" customHeight="1">
      <c r="A368" s="2" t="n">
        <v>378</v>
      </c>
      <c r="B368" s="2" t="str">
        <v>M. van Basten</v>
      </c>
      <c r="C368" s="15" t="str">
        <v>INFINITE PRIME</v>
      </c>
      <c r="D368" s="2" t="str">
        <v>ST</v>
      </c>
      <c r="E368" s="2" t="n">
        <v>136</v>
      </c>
      <c r="F368" s="2" t="str">
        <v>Hà Lan</v>
      </c>
      <c r="G368" s="2" t="str">
        <v>Hà Lan</v>
      </c>
      <c r="H368" s="2" t="n">
        <v>38</v>
      </c>
      <c r="I368" s="3" t="n">
        <f>$E368+0</f>
        <v>136</v>
      </c>
      <c r="J368" s="16"/>
      <c r="K368" s="5" t="n">
        <f>$E368+1</f>
        <v>137</v>
      </c>
      <c r="L368" s="16"/>
      <c r="M368" s="3" t="n">
        <f>$E368+2</f>
        <v>138</v>
      </c>
      <c r="N368" s="16"/>
      <c r="O368" s="5" t="n">
        <f>$E368+4</f>
        <v>140</v>
      </c>
      <c r="P368" s="16"/>
      <c r="Q368" s="3" t="n">
        <f>$E368+6</f>
        <v>142</v>
      </c>
      <c r="R368" s="16"/>
      <c r="S368" s="5" t="n">
        <f>$E368+8</f>
        <v>144</v>
      </c>
      <c r="T368" s="16"/>
      <c r="U368" s="3" t="n">
        <f>$E368+11</f>
        <v>147</v>
      </c>
      <c r="V368" s="16"/>
      <c r="W368" s="5" t="n">
        <f>$E368+15</f>
        <v>151</v>
      </c>
      <c r="X368" s="16"/>
      <c r="Y368" s="3" t="n">
        <f>$E368+17</f>
        <v>153</v>
      </c>
      <c r="Z368" s="16"/>
      <c r="AA368" s="5" t="n">
        <f>$E368+19</f>
        <v>155</v>
      </c>
      <c r="AB368" s="16"/>
      <c r="AC368" s="3" t="n">
        <f>$E368+21</f>
        <v>157</v>
      </c>
      <c r="AD368" s="16"/>
      <c r="AE368" s="5" t="n">
        <f>$E368+24</f>
        <v>160</v>
      </c>
      <c r="AF368" s="16"/>
      <c r="AG368" s="3" t="n">
        <f>$E368+27</f>
        <v>163</v>
      </c>
      <c r="AH368" s="16"/>
    </row>
    <row r="369" ht="28" customHeight="1">
      <c r="A369" s="2" t="n">
        <v>379</v>
      </c>
      <c r="B369" s="2" t="str">
        <v>J. Barnes</v>
      </c>
      <c r="C369" s="15" t="str">
        <v>INFINITE PRIME</v>
      </c>
      <c r="D369" s="2" t="str">
        <v>LW</v>
      </c>
      <c r="E369" s="2" t="n">
        <v>130</v>
      </c>
      <c r="F369" s="2" t="str">
        <v>Anh</v>
      </c>
      <c r="G369" s="2" t="str">
        <v>Anh</v>
      </c>
      <c r="H369" s="2" t="n">
        <v>34</v>
      </c>
      <c r="I369" s="3" t="n">
        <f>$E369+0</f>
        <v>130</v>
      </c>
      <c r="J369" s="16"/>
      <c r="K369" s="5" t="n">
        <f>$E369+1</f>
        <v>131</v>
      </c>
      <c r="L369" s="16"/>
      <c r="M369" s="3" t="n">
        <f>$E369+2</f>
        <v>132</v>
      </c>
      <c r="N369" s="16"/>
      <c r="O369" s="5" t="n">
        <f>$E369+4</f>
        <v>134</v>
      </c>
      <c r="P369" s="16"/>
      <c r="Q369" s="3" t="n">
        <f>$E369+6</f>
        <v>136</v>
      </c>
      <c r="R369" s="16"/>
      <c r="S369" s="5" t="n">
        <f>$E369+8</f>
        <v>138</v>
      </c>
      <c r="T369" s="16"/>
      <c r="U369" s="3" t="n">
        <f>$E369+11</f>
        <v>141</v>
      </c>
      <c r="V369" s="16"/>
      <c r="W369" s="5" t="n">
        <f>$E369+15</f>
        <v>145</v>
      </c>
      <c r="X369" s="16"/>
      <c r="Y369" s="3" t="n">
        <f>$E369+17</f>
        <v>147</v>
      </c>
      <c r="Z369" s="16"/>
      <c r="AA369" s="5" t="n">
        <f>$E369+19</f>
        <v>149</v>
      </c>
      <c r="AB369" s="16"/>
      <c r="AC369" s="3" t="n">
        <f>$E369+21</f>
        <v>151</v>
      </c>
      <c r="AD369" s="16"/>
      <c r="AE369" s="5" t="n">
        <f>$E369+24</f>
        <v>154</v>
      </c>
      <c r="AF369" s="16"/>
      <c r="AG369" s="3" t="n">
        <f>$E369+27</f>
        <v>157</v>
      </c>
      <c r="AH369" s="16"/>
    </row>
    <row r="370" ht="28" customHeight="1">
      <c r="A370" s="2" t="n">
        <v>380</v>
      </c>
      <c r="B370" s="2" t="str">
        <v>Paulo Futre</v>
      </c>
      <c r="C370" s="15" t="str">
        <v>INFINITE PRIME</v>
      </c>
      <c r="D370" s="2" t="str">
        <v>LW</v>
      </c>
      <c r="E370" s="2" t="n">
        <v>131</v>
      </c>
      <c r="F370" s="2" t="str">
        <v>Bồ Đào Nha</v>
      </c>
      <c r="G370" s="2" t="str">
        <v>Bồ Đào Nha</v>
      </c>
      <c r="H370" s="2" t="n">
        <v>34</v>
      </c>
      <c r="I370" s="3" t="n">
        <f>$E370+0</f>
        <v>131</v>
      </c>
      <c r="J370" s="16"/>
      <c r="K370" s="5" t="n">
        <f>$E370+1</f>
        <v>132</v>
      </c>
      <c r="L370" s="16"/>
      <c r="M370" s="3" t="n">
        <f>$E370+2</f>
        <v>133</v>
      </c>
      <c r="N370" s="16"/>
      <c r="O370" s="5" t="n">
        <f>$E370+4</f>
        <v>135</v>
      </c>
      <c r="P370" s="16"/>
      <c r="Q370" s="3" t="n">
        <f>$E370+6</f>
        <v>137</v>
      </c>
      <c r="R370" s="16"/>
      <c r="S370" s="5" t="n">
        <f>$E370+8</f>
        <v>139</v>
      </c>
      <c r="T370" s="16"/>
      <c r="U370" s="3" t="n">
        <f>$E370+11</f>
        <v>142</v>
      </c>
      <c r="V370" s="16"/>
      <c r="W370" s="5" t="n">
        <f>$E370+15</f>
        <v>146</v>
      </c>
      <c r="X370" s="16"/>
      <c r="Y370" s="3" t="n">
        <f>$E370+17</f>
        <v>148</v>
      </c>
      <c r="Z370" s="16"/>
      <c r="AA370" s="5" t="n">
        <f>$E370+19</f>
        <v>150</v>
      </c>
      <c r="AB370" s="16"/>
      <c r="AC370" s="3" t="n">
        <f>$E370+21</f>
        <v>152</v>
      </c>
      <c r="AD370" s="16"/>
      <c r="AE370" s="5" t="n">
        <f>$E370+24</f>
        <v>155</v>
      </c>
      <c r="AF370" s="16"/>
      <c r="AG370" s="3" t="n">
        <f>$E370+27</f>
        <v>158</v>
      </c>
      <c r="AH370" s="16"/>
    </row>
    <row r="371" ht="28" customHeight="1">
      <c r="A371" s="2" t="n">
        <v>381</v>
      </c>
      <c r="B371" s="2" t="str">
        <v>Neymar Jr</v>
      </c>
      <c r="C371" s="15" t="str">
        <v>INFINITE PRIME</v>
      </c>
      <c r="D371" s="2" t="str">
        <v>LW</v>
      </c>
      <c r="E371" s="2" t="n">
        <v>135</v>
      </c>
      <c r="F371" s="2" t="str">
        <v>Brazil</v>
      </c>
      <c r="G371" s="2" t="str">
        <v>Brazil</v>
      </c>
      <c r="H371" s="2" t="n">
        <v>37</v>
      </c>
      <c r="I371" s="3" t="n">
        <f>$E371+0</f>
        <v>135</v>
      </c>
      <c r="J371" s="16"/>
      <c r="K371" s="5" t="n">
        <f>$E371+1</f>
        <v>136</v>
      </c>
      <c r="L371" s="16"/>
      <c r="M371" s="3" t="n">
        <f>$E371+2</f>
        <v>137</v>
      </c>
      <c r="N371" s="16"/>
      <c r="O371" s="5" t="n">
        <f>$E371+4</f>
        <v>139</v>
      </c>
      <c r="P371" s="16"/>
      <c r="Q371" s="3" t="n">
        <f>$E371+6</f>
        <v>141</v>
      </c>
      <c r="R371" s="16"/>
      <c r="S371" s="5" t="n">
        <f>$E371+8</f>
        <v>143</v>
      </c>
      <c r="T371" s="16"/>
      <c r="U371" s="3" t="n">
        <f>$E371+11</f>
        <v>146</v>
      </c>
      <c r="V371" s="16"/>
      <c r="W371" s="5" t="n">
        <f>$E371+15</f>
        <v>150</v>
      </c>
      <c r="X371" s="16"/>
      <c r="Y371" s="3" t="n">
        <f>$E371+17</f>
        <v>152</v>
      </c>
      <c r="Z371" s="16"/>
      <c r="AA371" s="5" t="n">
        <f>$E371+19</f>
        <v>154</v>
      </c>
      <c r="AB371" s="16"/>
      <c r="AC371" s="3" t="n">
        <f>$E371+21</f>
        <v>156</v>
      </c>
      <c r="AD371" s="16"/>
      <c r="AE371" s="5" t="n">
        <f>$E371+24</f>
        <v>159</v>
      </c>
      <c r="AF371" s="16"/>
      <c r="AG371" s="3" t="n">
        <f>$E371+27</f>
        <v>162</v>
      </c>
      <c r="AH371" s="16"/>
    </row>
    <row r="372" ht="28" customHeight="1">
      <c r="A372" s="2" t="n">
        <v>382</v>
      </c>
      <c r="B372" s="2" t="str">
        <v>Ronaldinho</v>
      </c>
      <c r="C372" s="15" t="str">
        <v>INFINITE PRIME</v>
      </c>
      <c r="D372" s="2" t="str">
        <v>LW</v>
      </c>
      <c r="E372" s="2" t="n">
        <v>136</v>
      </c>
      <c r="F372" s="2" t="str">
        <v>Brazil</v>
      </c>
      <c r="G372" s="2" t="str">
        <v>Brazil</v>
      </c>
      <c r="H372" s="2" t="n">
        <v>37</v>
      </c>
      <c r="I372" s="3" t="n">
        <f>$E372+0</f>
        <v>136</v>
      </c>
      <c r="J372" s="16"/>
      <c r="K372" s="5" t="n">
        <f>$E372+1</f>
        <v>137</v>
      </c>
      <c r="L372" s="16"/>
      <c r="M372" s="3" t="n">
        <f>$E372+2</f>
        <v>138</v>
      </c>
      <c r="N372" s="16"/>
      <c r="O372" s="5" t="n">
        <f>$E372+4</f>
        <v>140</v>
      </c>
      <c r="P372" s="16"/>
      <c r="Q372" s="3" t="n">
        <f>$E372+6</f>
        <v>142</v>
      </c>
      <c r="R372" s="16"/>
      <c r="S372" s="5" t="n">
        <f>$E372+8</f>
        <v>144</v>
      </c>
      <c r="T372" s="16"/>
      <c r="U372" s="3" t="n">
        <f>$E372+11</f>
        <v>147</v>
      </c>
      <c r="V372" s="16"/>
      <c r="W372" s="5" t="n">
        <f>$E372+15</f>
        <v>151</v>
      </c>
      <c r="X372" s="16"/>
      <c r="Y372" s="3" t="n">
        <f>$E372+17</f>
        <v>153</v>
      </c>
      <c r="Z372" s="16"/>
      <c r="AA372" s="5" t="n">
        <f>$E372+19</f>
        <v>155</v>
      </c>
      <c r="AB372" s="16"/>
      <c r="AC372" s="3" t="n">
        <f>$E372+21</f>
        <v>157</v>
      </c>
      <c r="AD372" s="16"/>
      <c r="AE372" s="5" t="n">
        <f>$E372+24</f>
        <v>160</v>
      </c>
      <c r="AF372" s="16"/>
      <c r="AG372" s="3" t="n">
        <f>$E372+27</f>
        <v>163</v>
      </c>
      <c r="AH372" s="16"/>
    </row>
  </sheetData>
  <mergeCells>
    <mergeCell ref="I1:J1"/>
    <mergeCell ref="K1:L1"/>
    <mergeCell ref="M1:N1"/>
    <mergeCell ref="O1:P1"/>
    <mergeCell ref="Q1:R1"/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399999618530273"/>
  <cols>
    <col min="1" max="1" width="130" customWidth="1"/>
  </cols>
  <sheetData>
    <row r="1" ht="15.600000381469727">
      <c r="A1" s="7" t="s">
        <v>482</v>
      </c>
      <c r="C1" s="11" t="s">
        <v>0</v>
      </c>
      <c r="D1" s="11" t="s">
        <v>483</v>
      </c>
      <c r="E1" s="11" t="s">
        <v>484</v>
      </c>
    </row>
    <row r="2">
      <c r="A2" t="s">
        <v>485</v>
      </c>
      <c r="C2" s="12">
        <v>1</v>
      </c>
      <c r="D2" s="12">
        <v>1</v>
      </c>
      <c r="E2" s="12"/>
    </row>
    <row r="3">
      <c r="A3" s="8" t="s">
        <v>486</v>
      </c>
      <c r="C3" s="12">
        <v>31</v>
      </c>
      <c r="D3" s="12">
        <v>1</v>
      </c>
      <c r="E3" s="12"/>
    </row>
    <row r="4">
      <c r="A4" s="8" t="s">
        <v>487</v>
      </c>
      <c r="C4" s="12">
        <v>32</v>
      </c>
      <c r="D4" s="12">
        <v>1</v>
      </c>
      <c r="E4" s="12"/>
    </row>
    <row r="5">
      <c r="A5" s="8" t="s">
        <v>488</v>
      </c>
      <c r="C5" s="12">
        <v>33</v>
      </c>
      <c r="D5" s="12">
        <v>1</v>
      </c>
      <c r="E5" s="12"/>
    </row>
    <row r="6">
      <c r="A6" s="8" t="s">
        <v>489</v>
      </c>
      <c r="C6" s="12">
        <v>5</v>
      </c>
      <c r="D6" s="12">
        <v>1</v>
      </c>
      <c r="E6" s="12"/>
    </row>
    <row r="7">
      <c r="A7" s="8" t="s">
        <v>490</v>
      </c>
      <c r="C7" s="12">
        <v>34</v>
      </c>
      <c r="D7" s="12">
        <v>1</v>
      </c>
      <c r="E7" s="12"/>
    </row>
    <row r="8">
      <c r="A8" s="8" t="s">
        <v>491</v>
      </c>
      <c r="C8" s="12">
        <v>35</v>
      </c>
      <c r="D8" s="12">
        <v>1</v>
      </c>
      <c r="E8" s="12"/>
    </row>
    <row r="9">
      <c r="A9" s="8" t="s">
        <v>492</v>
      </c>
      <c r="C9" s="12">
        <v>36</v>
      </c>
      <c r="D9" s="12">
        <v>1</v>
      </c>
      <c r="E9" s="12"/>
    </row>
    <row r="10">
      <c r="A10" s="8" t="s">
        <v>493</v>
      </c>
      <c r="C10" s="12">
        <v>37</v>
      </c>
      <c r="D10" s="12">
        <v>1</v>
      </c>
      <c r="E10" s="12"/>
    </row>
    <row r="11">
      <c r="A11" t="s">
        <v>494</v>
      </c>
      <c r="C11" s="12">
        <v>3</v>
      </c>
      <c r="D11" s="12">
        <v>1</v>
      </c>
      <c r="E11" s="12"/>
    </row>
    <row r="12">
      <c r="C12" s="12">
        <v>4</v>
      </c>
      <c r="D12" s="12">
        <v>1</v>
      </c>
      <c r="E12" s="12"/>
    </row>
    <row r="13">
      <c r="C13" s="12">
        <v>8</v>
      </c>
      <c r="D13" s="12">
        <v>1</v>
      </c>
      <c r="E13" s="12"/>
    </row>
    <row r="14">
      <c r="C14" s="12">
        <v>38</v>
      </c>
      <c r="D14" s="12">
        <v>1</v>
      </c>
      <c r="E14" s="12"/>
    </row>
    <row r="15">
      <c r="C15" s="12">
        <v>39</v>
      </c>
      <c r="D15" s="12">
        <v>1</v>
      </c>
      <c r="E15" s="12"/>
    </row>
    <row r="16">
      <c r="C16" s="12">
        <v>40</v>
      </c>
      <c r="D16" s="12">
        <v>1</v>
      </c>
      <c r="E16" s="12"/>
    </row>
    <row r="17">
      <c r="C17" s="12">
        <v>41</v>
      </c>
      <c r="D17" s="12">
        <v>2</v>
      </c>
      <c r="E17" s="12"/>
    </row>
    <row r="18">
      <c r="C18" s="12">
        <v>42</v>
      </c>
      <c r="D18" s="12">
        <v>2</v>
      </c>
      <c r="E18" s="12"/>
    </row>
    <row r="19">
      <c r="C19" s="12">
        <v>6</v>
      </c>
      <c r="D19" s="12">
        <v>1</v>
      </c>
      <c r="E19" s="12"/>
    </row>
    <row r="20">
      <c r="C20" s="12">
        <v>43</v>
      </c>
      <c r="D20" s="12">
        <v>2</v>
      </c>
      <c r="E20" s="12"/>
    </row>
    <row r="21">
      <c r="C21" s="12">
        <v>44</v>
      </c>
      <c r="D21" s="12">
        <v>2</v>
      </c>
      <c r="E21" s="12"/>
    </row>
    <row r="22">
      <c r="C22" s="12">
        <v>45</v>
      </c>
      <c r="D22" s="12">
        <v>2</v>
      </c>
      <c r="E22" s="12"/>
    </row>
    <row r="23">
      <c r="C23" s="12">
        <v>46</v>
      </c>
      <c r="D23" s="12">
        <v>3</v>
      </c>
      <c r="E23" s="12" t="s">
        <v>495</v>
      </c>
    </row>
    <row r="24">
      <c r="C24" s="12">
        <v>47</v>
      </c>
      <c r="D24" s="12">
        <v>2</v>
      </c>
      <c r="E24" s="12"/>
    </row>
    <row r="25">
      <c r="C25" s="12">
        <v>48</v>
      </c>
      <c r="D25" s="12">
        <v>3</v>
      </c>
      <c r="E25" s="12" t="s">
        <v>495</v>
      </c>
    </row>
    <row r="26">
      <c r="C26" s="12">
        <v>49</v>
      </c>
      <c r="D26" s="12">
        <v>1</v>
      </c>
      <c r="E26" s="12"/>
    </row>
    <row r="27">
      <c r="C27" s="12">
        <v>50</v>
      </c>
      <c r="D27" s="12">
        <v>1</v>
      </c>
      <c r="E27" s="12"/>
    </row>
    <row r="28">
      <c r="C28" s="12">
        <v>51</v>
      </c>
      <c r="D28" s="12">
        <v>1</v>
      </c>
      <c r="E28" s="12"/>
    </row>
    <row r="29">
      <c r="C29" s="12">
        <v>52</v>
      </c>
      <c r="D29" s="12">
        <v>1</v>
      </c>
      <c r="E29" s="12"/>
    </row>
    <row r="30">
      <c r="C30" s="12">
        <v>53</v>
      </c>
      <c r="D30" s="12">
        <v>2</v>
      </c>
      <c r="E30" s="12"/>
    </row>
    <row r="31">
      <c r="C31" s="12">
        <v>54</v>
      </c>
      <c r="D31" s="12">
        <v>1</v>
      </c>
      <c r="E31" s="12"/>
    </row>
    <row r="32">
      <c r="C32" s="12">
        <v>55</v>
      </c>
      <c r="D32" s="12">
        <v>1</v>
      </c>
      <c r="E32" s="12"/>
    </row>
    <row r="33">
      <c r="C33" s="12">
        <v>56</v>
      </c>
      <c r="D33" s="12">
        <v>2</v>
      </c>
      <c r="E33" s="12"/>
    </row>
    <row r="34">
      <c r="C34" s="12">
        <v>57</v>
      </c>
      <c r="D34" s="12">
        <v>2</v>
      </c>
      <c r="E34" s="12"/>
    </row>
    <row r="35">
      <c r="C35" s="12">
        <v>58</v>
      </c>
      <c r="D35" s="12">
        <v>1</v>
      </c>
      <c r="E35" s="12"/>
    </row>
    <row r="36">
      <c r="C36" s="12">
        <v>59</v>
      </c>
      <c r="D36" s="12">
        <v>2</v>
      </c>
      <c r="E36" s="12"/>
    </row>
    <row r="37">
      <c r="C37" s="12">
        <v>60</v>
      </c>
      <c r="D37" s="12">
        <v>1</v>
      </c>
      <c r="E37" s="12"/>
    </row>
    <row r="38">
      <c r="C38" s="12">
        <v>61</v>
      </c>
      <c r="D38" s="12">
        <v>1</v>
      </c>
      <c r="E38" s="12"/>
    </row>
    <row r="39">
      <c r="C39" s="12">
        <v>62</v>
      </c>
      <c r="D39" s="12">
        <v>2</v>
      </c>
      <c r="E39" s="12"/>
    </row>
    <row r="40">
      <c r="C40" s="12">
        <v>63</v>
      </c>
      <c r="D40" s="12">
        <v>3</v>
      </c>
      <c r="E40" s="12" t="s">
        <v>495</v>
      </c>
    </row>
    <row r="41">
      <c r="C41" s="12">
        <v>64</v>
      </c>
      <c r="D41" s="12">
        <v>1</v>
      </c>
      <c r="E41" s="12"/>
    </row>
    <row r="42">
      <c r="C42" s="12">
        <v>65</v>
      </c>
      <c r="D42" s="12">
        <v>1</v>
      </c>
      <c r="E42" s="12"/>
    </row>
    <row r="43">
      <c r="C43" s="12">
        <v>66</v>
      </c>
      <c r="D43" s="12">
        <v>1</v>
      </c>
      <c r="E43" s="12"/>
    </row>
    <row r="44">
      <c r="C44" s="12">
        <v>67</v>
      </c>
      <c r="D44" s="12">
        <v>1</v>
      </c>
      <c r="E44" s="12"/>
    </row>
    <row r="45">
      <c r="C45" s="12">
        <v>68</v>
      </c>
      <c r="D45" s="12">
        <v>1</v>
      </c>
      <c r="E45" s="12"/>
    </row>
    <row r="46">
      <c r="C46" s="12">
        <v>9</v>
      </c>
      <c r="D46" s="12">
        <v>2</v>
      </c>
      <c r="E46" s="12"/>
    </row>
    <row r="47">
      <c r="C47" s="12">
        <v>10</v>
      </c>
      <c r="D47" s="12">
        <v>3</v>
      </c>
      <c r="E47" s="12" t="s">
        <v>495</v>
      </c>
    </row>
    <row r="48">
      <c r="C48" s="12">
        <v>69</v>
      </c>
      <c r="D48" s="12">
        <v>1</v>
      </c>
      <c r="E48" s="12"/>
    </row>
    <row r="49">
      <c r="C49" s="12">
        <v>70</v>
      </c>
      <c r="D49" s="12">
        <v>2</v>
      </c>
      <c r="E49" s="12"/>
    </row>
    <row r="50">
      <c r="C50" s="12">
        <v>71</v>
      </c>
      <c r="D50" s="12">
        <v>2</v>
      </c>
      <c r="E50" s="12"/>
    </row>
    <row r="51">
      <c r="C51" s="12">
        <v>72</v>
      </c>
      <c r="D51" s="12">
        <v>1</v>
      </c>
      <c r="E51" s="12"/>
    </row>
    <row r="52">
      <c r="C52" s="12">
        <v>73</v>
      </c>
      <c r="D52" s="12">
        <v>1</v>
      </c>
      <c r="E52" s="12"/>
    </row>
    <row r="53">
      <c r="C53" s="12">
        <v>74</v>
      </c>
      <c r="D53" s="12">
        <v>2</v>
      </c>
      <c r="E53" s="12"/>
    </row>
    <row r="54">
      <c r="C54" s="12">
        <v>75</v>
      </c>
      <c r="D54" s="12">
        <v>2</v>
      </c>
      <c r="E54" s="12"/>
    </row>
    <row r="55">
      <c r="C55" s="12">
        <v>76</v>
      </c>
      <c r="D55" s="12">
        <v>2</v>
      </c>
      <c r="E55" s="12"/>
    </row>
    <row r="56">
      <c r="C56" s="12">
        <v>77</v>
      </c>
      <c r="D56" s="12">
        <v>3</v>
      </c>
      <c r="E56" s="12" t="s">
        <v>495</v>
      </c>
    </row>
    <row r="57">
      <c r="C57" s="12">
        <v>78</v>
      </c>
      <c r="D57" s="12">
        <v>2</v>
      </c>
      <c r="E57" s="12"/>
    </row>
    <row r="58">
      <c r="C58" s="12">
        <v>79</v>
      </c>
      <c r="D58" s="12">
        <v>2</v>
      </c>
      <c r="E58" s="12"/>
    </row>
    <row r="59">
      <c r="C59" s="12">
        <v>80</v>
      </c>
      <c r="D59" s="12">
        <v>3</v>
      </c>
      <c r="E59" s="12" t="s">
        <v>495</v>
      </c>
    </row>
    <row r="60">
      <c r="C60" s="12">
        <v>81</v>
      </c>
      <c r="D60" s="12">
        <v>2</v>
      </c>
      <c r="E60" s="12"/>
    </row>
    <row r="61">
      <c r="C61" s="12">
        <v>82</v>
      </c>
      <c r="D61" s="12">
        <v>2</v>
      </c>
      <c r="E61" s="12"/>
    </row>
    <row r="62">
      <c r="C62" s="12">
        <v>83</v>
      </c>
      <c r="D62" s="12">
        <v>1</v>
      </c>
      <c r="E62" s="12"/>
    </row>
    <row r="63">
      <c r="C63" s="12">
        <v>84</v>
      </c>
      <c r="D63" s="12">
        <v>1</v>
      </c>
      <c r="E63" s="12"/>
    </row>
    <row r="64">
      <c r="C64" s="12">
        <v>85</v>
      </c>
      <c r="D64" s="12">
        <v>1</v>
      </c>
      <c r="E64" s="12"/>
    </row>
    <row r="65">
      <c r="C65" s="12">
        <v>86</v>
      </c>
      <c r="D65" s="12">
        <v>3</v>
      </c>
      <c r="E65" s="12" t="s">
        <v>495</v>
      </c>
    </row>
    <row r="66">
      <c r="C66" s="12">
        <v>87</v>
      </c>
      <c r="D66" s="12">
        <v>2</v>
      </c>
      <c r="E66" s="12"/>
    </row>
    <row r="67">
      <c r="C67" s="12">
        <v>88</v>
      </c>
      <c r="D67" s="12">
        <v>1</v>
      </c>
      <c r="E67" s="12"/>
    </row>
    <row r="68">
      <c r="C68" s="12">
        <v>89</v>
      </c>
      <c r="D68" s="12">
        <v>2</v>
      </c>
      <c r="E68" s="12"/>
    </row>
    <row r="69">
      <c r="C69" s="12">
        <v>90</v>
      </c>
      <c r="D69" s="12">
        <v>2</v>
      </c>
      <c r="E69" s="12"/>
    </row>
    <row r="70">
      <c r="C70" s="12">
        <v>91</v>
      </c>
      <c r="D70" s="12">
        <v>2</v>
      </c>
      <c r="E70" s="12"/>
    </row>
    <row r="71">
      <c r="C71" s="12">
        <v>92</v>
      </c>
      <c r="D71" s="12">
        <v>3</v>
      </c>
      <c r="E71" s="12" t="s">
        <v>495</v>
      </c>
    </row>
    <row r="72">
      <c r="C72" s="12">
        <v>93</v>
      </c>
      <c r="D72" s="12">
        <v>2</v>
      </c>
      <c r="E72" s="12"/>
    </row>
    <row r="73">
      <c r="C73" s="12">
        <v>94</v>
      </c>
      <c r="D73" s="12">
        <v>3</v>
      </c>
      <c r="E73" s="12" t="s">
        <v>495</v>
      </c>
    </row>
    <row r="74">
      <c r="C74" s="12">
        <v>95</v>
      </c>
      <c r="D74" s="12">
        <v>2</v>
      </c>
      <c r="E74" s="12"/>
    </row>
    <row r="75">
      <c r="C75" s="12">
        <v>96</v>
      </c>
      <c r="D75" s="12">
        <v>2</v>
      </c>
      <c r="E75" s="12"/>
    </row>
    <row r="76">
      <c r="C76" s="12">
        <v>97</v>
      </c>
      <c r="D76" s="12">
        <v>1</v>
      </c>
      <c r="E76" s="12"/>
    </row>
    <row r="77">
      <c r="C77" s="12">
        <v>98</v>
      </c>
      <c r="D77" s="12">
        <v>2</v>
      </c>
      <c r="E77" s="12"/>
    </row>
    <row r="78">
      <c r="C78" s="12">
        <v>99</v>
      </c>
      <c r="D78" s="12">
        <v>2</v>
      </c>
      <c r="E78" s="12"/>
    </row>
    <row r="79">
      <c r="C79" s="12">
        <v>100</v>
      </c>
      <c r="D79" s="12">
        <v>1</v>
      </c>
      <c r="E79" s="12"/>
    </row>
    <row r="80">
      <c r="C80" s="12">
        <v>101</v>
      </c>
      <c r="D80" s="12">
        <v>3</v>
      </c>
      <c r="E80" s="12" t="s">
        <v>495</v>
      </c>
    </row>
    <row r="81">
      <c r="C81" s="12">
        <v>102</v>
      </c>
      <c r="D81" s="12">
        <v>2</v>
      </c>
      <c r="E81" s="12"/>
    </row>
    <row r="82">
      <c r="C82" s="12">
        <v>103</v>
      </c>
      <c r="D82" s="12">
        <v>3</v>
      </c>
      <c r="E82" s="12" t="s">
        <v>495</v>
      </c>
    </row>
    <row r="83">
      <c r="C83" s="12">
        <v>104</v>
      </c>
      <c r="D83" s="12">
        <v>1</v>
      </c>
      <c r="E83" s="12"/>
    </row>
    <row r="84">
      <c r="C84" s="12">
        <v>105</v>
      </c>
      <c r="D84" s="12">
        <v>3</v>
      </c>
      <c r="E84" s="12" t="s">
        <v>495</v>
      </c>
    </row>
    <row r="85">
      <c r="C85" s="12">
        <v>106</v>
      </c>
      <c r="D85" s="12">
        <v>3</v>
      </c>
      <c r="E85" s="12" t="s">
        <v>495</v>
      </c>
    </row>
    <row r="86">
      <c r="C86" s="12">
        <v>107</v>
      </c>
      <c r="D86" s="12">
        <v>2</v>
      </c>
      <c r="E86" s="12"/>
    </row>
    <row r="87">
      <c r="C87" s="12">
        <v>108</v>
      </c>
      <c r="D87" s="12">
        <v>1</v>
      </c>
      <c r="E87" s="12"/>
    </row>
    <row r="88">
      <c r="C88" s="12">
        <v>109</v>
      </c>
      <c r="D88" s="12">
        <v>2</v>
      </c>
      <c r="E88" s="12"/>
    </row>
    <row r="89">
      <c r="C89" s="12">
        <v>110</v>
      </c>
      <c r="D89" s="12">
        <v>2</v>
      </c>
      <c r="E89" s="12"/>
    </row>
    <row r="90">
      <c r="C90" s="12">
        <v>111</v>
      </c>
      <c r="D90" s="12">
        <v>2</v>
      </c>
      <c r="E90" s="12"/>
    </row>
    <row r="91">
      <c r="C91" s="12">
        <v>112</v>
      </c>
      <c r="D91" s="12">
        <v>2</v>
      </c>
      <c r="E91" s="12"/>
    </row>
    <row r="92">
      <c r="C92" s="12">
        <v>113</v>
      </c>
      <c r="D92" s="12">
        <v>1</v>
      </c>
      <c r="E92" s="12"/>
    </row>
    <row r="93">
      <c r="C93" s="12">
        <v>114</v>
      </c>
      <c r="D93" s="12">
        <v>3</v>
      </c>
      <c r="E93" s="12" t="s">
        <v>495</v>
      </c>
    </row>
    <row r="94">
      <c r="C94" s="12">
        <v>115</v>
      </c>
      <c r="D94" s="12">
        <v>1</v>
      </c>
      <c r="E94" s="12"/>
    </row>
    <row r="95">
      <c r="C95" s="12">
        <v>116</v>
      </c>
      <c r="D95" s="12">
        <v>2</v>
      </c>
      <c r="E95" s="12"/>
    </row>
    <row r="96">
      <c r="C96" s="12">
        <v>117</v>
      </c>
      <c r="D96" s="12">
        <v>2</v>
      </c>
      <c r="E96" s="12"/>
    </row>
    <row r="97">
      <c r="C97" s="12">
        <v>118</v>
      </c>
      <c r="D97" s="12">
        <v>2</v>
      </c>
      <c r="E97" s="12"/>
    </row>
    <row r="98">
      <c r="C98" s="12">
        <v>119</v>
      </c>
      <c r="D98" s="12">
        <v>2</v>
      </c>
      <c r="E98" s="12"/>
    </row>
    <row r="99">
      <c r="C99" s="12">
        <v>120</v>
      </c>
      <c r="D99" s="12">
        <v>2</v>
      </c>
      <c r="E99" s="12"/>
    </row>
    <row r="100">
      <c r="C100" s="12">
        <v>121</v>
      </c>
      <c r="D100" s="12">
        <v>2</v>
      </c>
      <c r="E100" s="12"/>
    </row>
    <row r="101">
      <c r="C101" s="12">
        <v>122</v>
      </c>
      <c r="D101" s="12">
        <v>3</v>
      </c>
      <c r="E101" s="12" t="s">
        <v>495</v>
      </c>
    </row>
    <row r="102">
      <c r="C102" s="12">
        <v>236</v>
      </c>
      <c r="D102" s="12">
        <v>1</v>
      </c>
      <c r="E102" s="12"/>
    </row>
    <row r="103">
      <c r="C103" s="12">
        <v>237</v>
      </c>
      <c r="D103" s="12">
        <v>2</v>
      </c>
      <c r="E103" s="12"/>
    </row>
    <row r="104">
      <c r="C104" s="12">
        <v>238</v>
      </c>
      <c r="D104" s="12">
        <v>2</v>
      </c>
      <c r="E104" s="12"/>
    </row>
    <row r="105">
      <c r="C105" s="12">
        <v>239</v>
      </c>
      <c r="D105" s="12">
        <v>3</v>
      </c>
      <c r="E105" s="12" t="s">
        <v>495</v>
      </c>
    </row>
    <row r="106">
      <c r="C106" s="12">
        <v>240</v>
      </c>
      <c r="D106" s="12">
        <v>2</v>
      </c>
      <c r="E106" s="12"/>
    </row>
    <row r="107">
      <c r="C107" s="12">
        <v>241</v>
      </c>
      <c r="D107" s="12">
        <v>2</v>
      </c>
      <c r="E107" s="12"/>
    </row>
    <row r="108">
      <c r="C108" s="12">
        <v>242</v>
      </c>
      <c r="D108" s="12">
        <v>2</v>
      </c>
      <c r="E108" s="12"/>
    </row>
    <row r="109">
      <c r="C109" s="12">
        <v>243</v>
      </c>
      <c r="D109" s="12">
        <v>3</v>
      </c>
      <c r="E109" s="12" t="s">
        <v>495</v>
      </c>
    </row>
    <row r="110">
      <c r="C110" s="12">
        <v>244</v>
      </c>
      <c r="D110" s="12">
        <v>2</v>
      </c>
      <c r="E110" s="12"/>
    </row>
    <row r="111">
      <c r="C111" s="12">
        <v>245</v>
      </c>
      <c r="D111" s="12">
        <v>3</v>
      </c>
      <c r="E111" s="12" t="s">
        <v>495</v>
      </c>
    </row>
    <row r="112">
      <c r="C112" s="12">
        <v>246</v>
      </c>
      <c r="D112" s="12">
        <v>2</v>
      </c>
      <c r="E112" s="12"/>
    </row>
    <row r="113">
      <c r="C113" s="12">
        <v>247</v>
      </c>
      <c r="D113" s="12">
        <v>3</v>
      </c>
      <c r="E113" s="12" t="s">
        <v>495</v>
      </c>
    </row>
    <row r="114">
      <c r="C114" s="12">
        <v>248</v>
      </c>
      <c r="D114" s="12">
        <v>3</v>
      </c>
      <c r="E114" s="12" t="s">
        <v>495</v>
      </c>
    </row>
    <row r="115">
      <c r="C115" s="12">
        <v>249</v>
      </c>
      <c r="D115" s="12">
        <v>3</v>
      </c>
      <c r="E115" s="12" t="s">
        <v>495</v>
      </c>
    </row>
    <row r="116">
      <c r="C116" s="12">
        <v>250</v>
      </c>
      <c r="D116" s="12">
        <v>3</v>
      </c>
      <c r="E116" s="12" t="s">
        <v>495</v>
      </c>
    </row>
    <row r="117">
      <c r="C117" s="12">
        <v>251</v>
      </c>
      <c r="D117" s="12">
        <v>3</v>
      </c>
      <c r="E117" s="12" t="s">
        <v>495</v>
      </c>
    </row>
    <row r="118">
      <c r="C118" s="12">
        <v>252</v>
      </c>
      <c r="D118" s="12">
        <v>3</v>
      </c>
      <c r="E118" s="12" t="s">
        <v>495</v>
      </c>
    </row>
    <row r="119">
      <c r="C119" s="12">
        <v>253</v>
      </c>
      <c r="D119" s="12">
        <v>3</v>
      </c>
      <c r="E119" s="12" t="s">
        <v>495</v>
      </c>
    </row>
    <row r="120">
      <c r="C120" s="12">
        <v>254</v>
      </c>
      <c r="D120" s="12">
        <v>3</v>
      </c>
      <c r="E120" s="12" t="s">
        <v>495</v>
      </c>
    </row>
    <row r="121">
      <c r="C121" s="12">
        <v>255</v>
      </c>
      <c r="D121" s="12">
        <v>3</v>
      </c>
      <c r="E121" s="12" t="s">
        <v>495</v>
      </c>
    </row>
    <row r="122">
      <c r="C122" s="12">
        <v>256</v>
      </c>
      <c r="D122" s="12">
        <v>3</v>
      </c>
      <c r="E122" s="12" t="s">
        <v>495</v>
      </c>
    </row>
    <row r="123">
      <c r="C123" s="12">
        <v>257</v>
      </c>
      <c r="D123" s="12">
        <v>3</v>
      </c>
      <c r="E123" s="12" t="s">
        <v>495</v>
      </c>
    </row>
    <row r="124">
      <c r="C124" s="12">
        <v>258</v>
      </c>
      <c r="D124" s="12">
        <v>3</v>
      </c>
      <c r="E124" s="12" t="s">
        <v>495</v>
      </c>
    </row>
    <row r="125">
      <c r="C125" s="12">
        <v>259</v>
      </c>
      <c r="D125" s="12">
        <v>3</v>
      </c>
      <c r="E125" s="12" t="s">
        <v>495</v>
      </c>
    </row>
    <row r="126">
      <c r="C126" s="12">
        <v>260</v>
      </c>
      <c r="D126" s="12">
        <v>3</v>
      </c>
      <c r="E126" s="12" t="s">
        <v>495</v>
      </c>
    </row>
    <row r="127">
      <c r="C127" s="12">
        <v>261</v>
      </c>
      <c r="D127" s="12">
        <v>3</v>
      </c>
      <c r="E127" s="12" t="s">
        <v>495</v>
      </c>
    </row>
    <row r="128">
      <c r="C128" s="12">
        <v>13</v>
      </c>
      <c r="D128" s="12">
        <v>1</v>
      </c>
      <c r="E128" s="12"/>
    </row>
    <row r="129">
      <c r="C129" s="12">
        <v>11</v>
      </c>
      <c r="D129" s="12">
        <v>1</v>
      </c>
      <c r="E129" s="12"/>
    </row>
    <row r="130">
      <c r="C130" s="12">
        <v>14</v>
      </c>
      <c r="D130" s="12">
        <v>1</v>
      </c>
      <c r="E130" s="12"/>
    </row>
    <row r="131">
      <c r="C131" s="12">
        <v>15</v>
      </c>
      <c r="D131" s="12">
        <v>1</v>
      </c>
      <c r="E131" s="12"/>
    </row>
    <row r="132">
      <c r="C132" s="12">
        <v>12</v>
      </c>
      <c r="D132" s="12">
        <v>1</v>
      </c>
      <c r="E132" s="12"/>
    </row>
    <row r="133">
      <c r="C133" s="12">
        <v>16</v>
      </c>
      <c r="D133" s="12">
        <v>1</v>
      </c>
      <c r="E133" s="12"/>
    </row>
    <row r="134">
      <c r="C134" s="12">
        <v>17</v>
      </c>
      <c r="D134" s="12">
        <v>2</v>
      </c>
      <c r="E134" s="12"/>
    </row>
    <row r="135">
      <c r="C135" s="12">
        <v>18</v>
      </c>
      <c r="D135" s="12">
        <v>1</v>
      </c>
      <c r="E135" s="12"/>
    </row>
    <row r="136">
      <c r="C136" s="12">
        <v>123</v>
      </c>
      <c r="D136" s="12">
        <v>1</v>
      </c>
      <c r="E136" s="12"/>
    </row>
    <row r="137">
      <c r="C137" s="12">
        <v>20</v>
      </c>
      <c r="D137" s="12">
        <v>1</v>
      </c>
      <c r="E137" s="12"/>
    </row>
    <row r="138">
      <c r="C138" s="12">
        <v>124</v>
      </c>
      <c r="D138" s="12">
        <v>2</v>
      </c>
      <c r="E138" s="12"/>
    </row>
    <row r="139">
      <c r="C139" s="12">
        <v>19</v>
      </c>
      <c r="D139" s="12">
        <v>1</v>
      </c>
      <c r="E139" s="12"/>
    </row>
    <row r="140">
      <c r="C140" s="12">
        <v>125</v>
      </c>
      <c r="D140" s="12">
        <v>2</v>
      </c>
      <c r="E140" s="12"/>
    </row>
    <row r="141">
      <c r="C141" s="12">
        <v>126</v>
      </c>
      <c r="D141" s="12">
        <v>2</v>
      </c>
      <c r="E141" s="12"/>
    </row>
    <row r="142">
      <c r="C142" s="12">
        <v>127</v>
      </c>
      <c r="D142" s="12">
        <v>1</v>
      </c>
      <c r="E142" s="12"/>
    </row>
    <row r="143">
      <c r="C143" s="12">
        <v>128</v>
      </c>
      <c r="D143" s="12">
        <v>2</v>
      </c>
      <c r="E143" s="12"/>
    </row>
    <row r="144">
      <c r="C144" s="12">
        <v>129</v>
      </c>
      <c r="D144" s="12">
        <v>1</v>
      </c>
      <c r="E144" s="12"/>
    </row>
    <row r="145">
      <c r="C145" s="12">
        <v>130</v>
      </c>
      <c r="D145" s="12">
        <v>1</v>
      </c>
      <c r="E145" s="12"/>
    </row>
    <row r="146">
      <c r="C146" s="12">
        <v>131</v>
      </c>
      <c r="D146" s="12">
        <v>1</v>
      </c>
      <c r="E146" s="12"/>
    </row>
    <row r="147">
      <c r="C147" s="12">
        <v>132</v>
      </c>
      <c r="D147" s="12">
        <v>2</v>
      </c>
      <c r="E147" s="12"/>
    </row>
    <row r="148">
      <c r="C148" s="12">
        <v>133</v>
      </c>
      <c r="D148" s="12">
        <v>1</v>
      </c>
      <c r="E148" s="12"/>
    </row>
    <row r="149">
      <c r="C149" s="12">
        <v>134</v>
      </c>
      <c r="D149" s="12">
        <v>2</v>
      </c>
      <c r="E149" s="12"/>
    </row>
    <row r="150">
      <c r="C150" s="12">
        <v>135</v>
      </c>
      <c r="D150" s="12">
        <v>2</v>
      </c>
      <c r="E150" s="12"/>
    </row>
    <row r="151">
      <c r="C151" s="12">
        <v>136</v>
      </c>
      <c r="D151" s="12">
        <v>3</v>
      </c>
      <c r="E151" s="12" t="s">
        <v>495</v>
      </c>
    </row>
    <row r="152">
      <c r="C152" s="12">
        <v>137</v>
      </c>
      <c r="D152" s="12">
        <v>1</v>
      </c>
      <c r="E152" s="12"/>
    </row>
    <row r="153">
      <c r="C153" s="12">
        <v>138</v>
      </c>
      <c r="D153" s="12">
        <v>1</v>
      </c>
      <c r="E153" s="12"/>
    </row>
    <row r="154">
      <c r="C154" s="12">
        <v>139</v>
      </c>
      <c r="D154" s="12">
        <v>3</v>
      </c>
      <c r="E154" s="12" t="s">
        <v>495</v>
      </c>
    </row>
    <row r="155">
      <c r="C155" s="12">
        <v>140</v>
      </c>
      <c r="D155" s="12">
        <v>2</v>
      </c>
      <c r="E155" s="12"/>
    </row>
    <row r="156">
      <c r="C156" s="12">
        <v>141</v>
      </c>
      <c r="D156" s="12">
        <v>1</v>
      </c>
      <c r="E156" s="12"/>
    </row>
    <row r="157">
      <c r="C157" s="12">
        <v>142</v>
      </c>
      <c r="D157" s="12">
        <v>2</v>
      </c>
      <c r="E157" s="12"/>
    </row>
    <row r="158">
      <c r="C158" s="12">
        <v>143</v>
      </c>
      <c r="D158" s="12">
        <v>2</v>
      </c>
      <c r="E158" s="12"/>
    </row>
    <row r="159">
      <c r="C159" s="12">
        <v>144</v>
      </c>
      <c r="D159" s="12">
        <v>1</v>
      </c>
      <c r="E159" s="12"/>
    </row>
    <row r="160">
      <c r="C160" s="12">
        <v>145</v>
      </c>
      <c r="D160" s="12">
        <v>2</v>
      </c>
      <c r="E160" s="12"/>
    </row>
    <row r="161">
      <c r="C161" s="12">
        <v>146</v>
      </c>
      <c r="D161" s="12">
        <v>1</v>
      </c>
      <c r="E161" s="12"/>
    </row>
    <row r="162">
      <c r="C162" s="12">
        <v>147</v>
      </c>
      <c r="D162" s="12">
        <v>3</v>
      </c>
      <c r="E162" s="12" t="s">
        <v>495</v>
      </c>
    </row>
    <row r="163">
      <c r="C163" s="12">
        <v>148</v>
      </c>
      <c r="D163" s="12">
        <v>1</v>
      </c>
      <c r="E163" s="12"/>
    </row>
    <row r="164">
      <c r="C164" s="12">
        <v>149</v>
      </c>
      <c r="D164" s="12">
        <v>3</v>
      </c>
      <c r="E164" s="12" t="s">
        <v>495</v>
      </c>
    </row>
    <row r="165">
      <c r="C165" s="12">
        <v>150</v>
      </c>
      <c r="D165" s="12">
        <v>3</v>
      </c>
      <c r="E165" s="12" t="s">
        <v>495</v>
      </c>
    </row>
    <row r="166">
      <c r="C166" s="12">
        <v>151</v>
      </c>
      <c r="D166" s="12">
        <v>3</v>
      </c>
      <c r="E166" s="12" t="s">
        <v>495</v>
      </c>
    </row>
    <row r="167">
      <c r="C167" s="12">
        <v>152</v>
      </c>
      <c r="D167" s="12">
        <v>3</v>
      </c>
      <c r="E167" s="12" t="s">
        <v>495</v>
      </c>
    </row>
    <row r="168">
      <c r="C168" s="12">
        <v>153</v>
      </c>
      <c r="D168" s="12">
        <v>2</v>
      </c>
      <c r="E168" s="12"/>
    </row>
    <row r="169">
      <c r="C169" s="12">
        <v>154</v>
      </c>
      <c r="D169" s="12">
        <v>3</v>
      </c>
      <c r="E169" s="12" t="s">
        <v>495</v>
      </c>
    </row>
    <row r="170">
      <c r="C170" s="12">
        <v>155</v>
      </c>
      <c r="D170" s="12">
        <v>1</v>
      </c>
      <c r="E170" s="12"/>
    </row>
    <row r="171">
      <c r="C171" s="12">
        <v>156</v>
      </c>
      <c r="D171" s="12">
        <v>3</v>
      </c>
      <c r="E171" s="12" t="s">
        <v>495</v>
      </c>
    </row>
    <row r="172">
      <c r="C172" s="12">
        <v>157</v>
      </c>
      <c r="D172" s="12">
        <v>2</v>
      </c>
      <c r="E172" s="12"/>
    </row>
    <row r="173">
      <c r="C173" s="12">
        <v>158</v>
      </c>
      <c r="D173" s="12">
        <v>3</v>
      </c>
      <c r="E173" s="12" t="s">
        <v>495</v>
      </c>
    </row>
    <row r="174">
      <c r="C174" s="12">
        <v>159</v>
      </c>
      <c r="D174" s="12">
        <v>2</v>
      </c>
      <c r="E174" s="12"/>
    </row>
    <row r="175">
      <c r="C175" s="12">
        <v>160</v>
      </c>
      <c r="D175" s="12">
        <v>1</v>
      </c>
      <c r="E175" s="12"/>
    </row>
    <row r="176">
      <c r="C176" s="12">
        <v>161</v>
      </c>
      <c r="D176" s="12">
        <v>2</v>
      </c>
      <c r="E176" s="12"/>
    </row>
    <row r="177">
      <c r="C177" s="12">
        <v>162</v>
      </c>
      <c r="D177" s="12">
        <v>2</v>
      </c>
      <c r="E177" s="12"/>
    </row>
    <row r="178">
      <c r="C178" s="12">
        <v>163</v>
      </c>
      <c r="D178" s="12">
        <v>2</v>
      </c>
      <c r="E178" s="12"/>
    </row>
    <row r="179">
      <c r="C179" s="12">
        <v>164</v>
      </c>
      <c r="D179" s="12">
        <v>2</v>
      </c>
      <c r="E179" s="12"/>
    </row>
    <row r="180">
      <c r="C180" s="12">
        <v>165</v>
      </c>
      <c r="D180" s="12">
        <v>2</v>
      </c>
      <c r="E180" s="12"/>
    </row>
    <row r="181">
      <c r="C181" s="12">
        <v>166</v>
      </c>
      <c r="D181" s="12">
        <v>2</v>
      </c>
      <c r="E181" s="12"/>
    </row>
    <row r="182">
      <c r="C182" s="12">
        <v>167</v>
      </c>
      <c r="D182" s="12">
        <v>3</v>
      </c>
      <c r="E182" s="12" t="s">
        <v>495</v>
      </c>
    </row>
    <row r="183">
      <c r="C183" s="12">
        <v>168</v>
      </c>
      <c r="D183" s="12">
        <v>2</v>
      </c>
      <c r="E183" s="12"/>
    </row>
    <row r="184">
      <c r="C184" s="12">
        <v>169</v>
      </c>
      <c r="D184" s="12">
        <v>2</v>
      </c>
      <c r="E184" s="12"/>
    </row>
    <row r="185">
      <c r="C185" s="12">
        <v>170</v>
      </c>
      <c r="D185" s="12">
        <v>3</v>
      </c>
      <c r="E185" s="12" t="s">
        <v>495</v>
      </c>
    </row>
    <row r="186">
      <c r="C186" s="12">
        <v>171</v>
      </c>
      <c r="D186" s="12">
        <v>1</v>
      </c>
      <c r="E186" s="12"/>
    </row>
    <row r="187">
      <c r="C187" s="12">
        <v>172</v>
      </c>
      <c r="D187" s="12">
        <v>3</v>
      </c>
      <c r="E187" s="12" t="s">
        <v>495</v>
      </c>
    </row>
    <row r="188">
      <c r="C188" s="12">
        <v>173</v>
      </c>
      <c r="D188" s="12">
        <v>3</v>
      </c>
      <c r="E188" s="12" t="s">
        <v>495</v>
      </c>
    </row>
    <row r="189">
      <c r="C189" s="12">
        <v>174</v>
      </c>
      <c r="D189" s="12">
        <v>2</v>
      </c>
      <c r="E189" s="12"/>
    </row>
    <row r="190">
      <c r="C190" s="12">
        <v>175</v>
      </c>
      <c r="D190" s="12">
        <v>3</v>
      </c>
      <c r="E190" s="12" t="s">
        <v>495</v>
      </c>
    </row>
    <row r="191">
      <c r="C191" s="12">
        <v>176</v>
      </c>
      <c r="D191" s="12">
        <v>1</v>
      </c>
      <c r="E191" s="12"/>
    </row>
    <row r="192">
      <c r="C192" s="12">
        <v>177</v>
      </c>
      <c r="D192" s="12">
        <v>3</v>
      </c>
      <c r="E192" s="12" t="s">
        <v>495</v>
      </c>
    </row>
    <row r="193">
      <c r="C193" s="12">
        <v>178</v>
      </c>
      <c r="D193" s="12">
        <v>1</v>
      </c>
      <c r="E193" s="12"/>
    </row>
    <row r="194">
      <c r="C194" s="12">
        <v>179</v>
      </c>
      <c r="D194" s="12">
        <v>1</v>
      </c>
      <c r="E194" s="12"/>
    </row>
    <row r="195">
      <c r="C195" s="12">
        <v>180</v>
      </c>
      <c r="D195" s="12">
        <v>2</v>
      </c>
      <c r="E195" s="12"/>
    </row>
    <row r="196">
      <c r="C196" s="12">
        <v>181</v>
      </c>
      <c r="D196" s="12">
        <v>3</v>
      </c>
      <c r="E196" s="12" t="s">
        <v>495</v>
      </c>
    </row>
    <row r="197">
      <c r="C197" s="12">
        <v>182</v>
      </c>
      <c r="D197" s="12">
        <v>3</v>
      </c>
      <c r="E197" s="12" t="s">
        <v>495</v>
      </c>
    </row>
    <row r="198">
      <c r="C198" s="12">
        <v>183</v>
      </c>
      <c r="D198" s="12">
        <v>3</v>
      </c>
      <c r="E198" s="12" t="s">
        <v>495</v>
      </c>
    </row>
    <row r="199">
      <c r="C199" s="12">
        <v>184</v>
      </c>
      <c r="D199" s="12">
        <v>2</v>
      </c>
      <c r="E199" s="12"/>
    </row>
    <row r="200">
      <c r="C200" s="12">
        <v>185</v>
      </c>
      <c r="D200" s="12">
        <v>3</v>
      </c>
      <c r="E200" s="12" t="s">
        <v>495</v>
      </c>
    </row>
    <row r="201">
      <c r="C201" s="12">
        <v>186</v>
      </c>
      <c r="D201" s="12">
        <v>2</v>
      </c>
      <c r="E201" s="12"/>
    </row>
    <row r="202">
      <c r="C202" s="12">
        <v>187</v>
      </c>
      <c r="D202" s="12">
        <v>3</v>
      </c>
      <c r="E202" s="12" t="s">
        <v>495</v>
      </c>
    </row>
    <row r="203">
      <c r="C203" s="12">
        <v>188</v>
      </c>
      <c r="D203" s="12">
        <v>1</v>
      </c>
      <c r="E203" s="12"/>
    </row>
    <row r="204">
      <c r="C204" s="12">
        <v>189</v>
      </c>
      <c r="D204" s="12">
        <v>3</v>
      </c>
      <c r="E204" s="12" t="s">
        <v>495</v>
      </c>
    </row>
    <row r="205">
      <c r="C205" s="12">
        <v>190</v>
      </c>
      <c r="D205" s="12">
        <v>3</v>
      </c>
      <c r="E205" s="12" t="s">
        <v>495</v>
      </c>
    </row>
    <row r="206">
      <c r="C206" s="12">
        <v>191</v>
      </c>
      <c r="D206" s="12">
        <v>3</v>
      </c>
      <c r="E206" s="12" t="s">
        <v>495</v>
      </c>
    </row>
    <row r="207">
      <c r="C207" s="12">
        <v>192</v>
      </c>
      <c r="D207" s="12">
        <v>3</v>
      </c>
      <c r="E207" s="12" t="s">
        <v>495</v>
      </c>
    </row>
    <row r="208">
      <c r="C208" s="12">
        <v>193</v>
      </c>
      <c r="D208" s="12">
        <v>3</v>
      </c>
      <c r="E208" s="12" t="s">
        <v>495</v>
      </c>
    </row>
    <row r="209">
      <c r="C209" s="12">
        <v>194</v>
      </c>
      <c r="D209" s="12">
        <v>3</v>
      </c>
      <c r="E209" s="12" t="s">
        <v>495</v>
      </c>
    </row>
    <row r="210">
      <c r="C210" s="12">
        <v>195</v>
      </c>
      <c r="D210" s="12">
        <v>3</v>
      </c>
      <c r="E210" s="12" t="s">
        <v>495</v>
      </c>
    </row>
    <row r="211">
      <c r="C211" s="12">
        <v>196</v>
      </c>
      <c r="D211" s="12">
        <v>3</v>
      </c>
      <c r="E211" s="12" t="s">
        <v>495</v>
      </c>
    </row>
    <row r="212">
      <c r="C212" s="12">
        <v>197</v>
      </c>
      <c r="D212" s="12">
        <v>1</v>
      </c>
      <c r="E212" s="12"/>
    </row>
    <row r="213">
      <c r="C213" s="12">
        <v>198</v>
      </c>
      <c r="D213" s="12">
        <v>2</v>
      </c>
      <c r="E213" s="12"/>
    </row>
    <row r="214">
      <c r="C214" s="12">
        <v>199</v>
      </c>
      <c r="D214" s="12">
        <v>3</v>
      </c>
      <c r="E214" s="12" t="s">
        <v>495</v>
      </c>
    </row>
    <row r="215">
      <c r="C215" s="12">
        <v>200</v>
      </c>
      <c r="D215" s="12">
        <v>3</v>
      </c>
      <c r="E215" s="12" t="s">
        <v>495</v>
      </c>
    </row>
    <row r="216">
      <c r="C216" s="12">
        <v>201</v>
      </c>
      <c r="D216" s="12">
        <v>2</v>
      </c>
      <c r="E216" s="12"/>
    </row>
    <row r="217">
      <c r="C217" s="12">
        <v>202</v>
      </c>
      <c r="D217" s="12">
        <v>3</v>
      </c>
      <c r="E217" s="12" t="s">
        <v>495</v>
      </c>
    </row>
    <row r="218">
      <c r="C218" s="12">
        <v>203</v>
      </c>
      <c r="D218" s="12">
        <v>3</v>
      </c>
      <c r="E218" s="12" t="s">
        <v>495</v>
      </c>
    </row>
    <row r="219">
      <c r="C219" s="12">
        <v>204</v>
      </c>
      <c r="D219" s="12">
        <v>3</v>
      </c>
      <c r="E219" s="12" t="s">
        <v>495</v>
      </c>
    </row>
    <row r="220">
      <c r="C220" s="12">
        <v>205</v>
      </c>
      <c r="D220" s="12">
        <v>3</v>
      </c>
      <c r="E220" s="12" t="s">
        <v>495</v>
      </c>
    </row>
    <row r="221">
      <c r="C221" s="12">
        <v>206</v>
      </c>
      <c r="D221" s="12">
        <v>3</v>
      </c>
      <c r="E221" s="12" t="s">
        <v>495</v>
      </c>
    </row>
    <row r="222">
      <c r="C222" s="12">
        <v>207</v>
      </c>
      <c r="D222" s="12">
        <v>3</v>
      </c>
      <c r="E222" s="12" t="s">
        <v>495</v>
      </c>
    </row>
    <row r="223">
      <c r="C223" s="12">
        <v>208</v>
      </c>
      <c r="D223" s="12">
        <v>3</v>
      </c>
      <c r="E223" s="12" t="s">
        <v>495</v>
      </c>
    </row>
    <row r="224">
      <c r="C224" s="12">
        <v>209</v>
      </c>
      <c r="D224" s="12">
        <v>2</v>
      </c>
      <c r="E224" s="12"/>
    </row>
    <row r="225">
      <c r="C225" s="12">
        <v>210</v>
      </c>
      <c r="D225" s="12">
        <v>3</v>
      </c>
      <c r="E225" s="12" t="s">
        <v>495</v>
      </c>
    </row>
    <row r="226">
      <c r="C226" s="12">
        <v>211</v>
      </c>
      <c r="D226" s="12">
        <v>3</v>
      </c>
      <c r="E226" s="12" t="s">
        <v>495</v>
      </c>
    </row>
    <row r="227">
      <c r="C227" s="12">
        <v>262</v>
      </c>
      <c r="D227" s="12">
        <v>3</v>
      </c>
      <c r="E227" s="12" t="s">
        <v>495</v>
      </c>
    </row>
    <row r="228">
      <c r="C228" s="12">
        <v>263</v>
      </c>
      <c r="D228" s="12">
        <v>3</v>
      </c>
      <c r="E228" s="12" t="s">
        <v>495</v>
      </c>
    </row>
    <row r="229">
      <c r="C229" s="12">
        <v>264</v>
      </c>
      <c r="D229" s="12">
        <v>3</v>
      </c>
      <c r="E229" s="12" t="s">
        <v>495</v>
      </c>
    </row>
    <row r="230">
      <c r="C230" s="12">
        <v>265</v>
      </c>
      <c r="D230" s="12">
        <v>3</v>
      </c>
      <c r="E230" s="12" t="s">
        <v>495</v>
      </c>
    </row>
    <row r="231">
      <c r="C231" s="12">
        <v>266</v>
      </c>
      <c r="D231" s="12">
        <v>3</v>
      </c>
      <c r="E231" s="12" t="s">
        <v>495</v>
      </c>
    </row>
    <row r="232">
      <c r="C232" s="12">
        <v>267</v>
      </c>
      <c r="D232" s="12">
        <v>2</v>
      </c>
      <c r="E232" s="12"/>
    </row>
    <row r="233">
      <c r="C233" s="12">
        <v>268</v>
      </c>
      <c r="D233" s="12">
        <v>3</v>
      </c>
      <c r="E233" s="12" t="s">
        <v>495</v>
      </c>
    </row>
    <row r="234">
      <c r="C234" s="12">
        <v>269</v>
      </c>
      <c r="D234" s="12">
        <v>3</v>
      </c>
      <c r="E234" s="12" t="s">
        <v>495</v>
      </c>
    </row>
    <row r="235">
      <c r="C235" s="12">
        <v>270</v>
      </c>
      <c r="D235" s="12">
        <v>2</v>
      </c>
      <c r="E235" s="12"/>
    </row>
    <row r="236">
      <c r="C236" s="12">
        <v>271</v>
      </c>
      <c r="D236" s="12">
        <v>2</v>
      </c>
      <c r="E236" s="12"/>
    </row>
    <row r="237">
      <c r="C237" s="12">
        <v>272</v>
      </c>
      <c r="D237" s="12">
        <v>3</v>
      </c>
      <c r="E237" s="12" t="s">
        <v>495</v>
      </c>
    </row>
    <row r="238">
      <c r="C238" s="12">
        <v>273</v>
      </c>
      <c r="D238" s="12">
        <v>3</v>
      </c>
      <c r="E238" s="12" t="s">
        <v>495</v>
      </c>
    </row>
    <row r="239">
      <c r="C239" s="12">
        <v>274</v>
      </c>
      <c r="D239" s="12">
        <v>3</v>
      </c>
      <c r="E239" s="12" t="s">
        <v>495</v>
      </c>
    </row>
    <row r="240">
      <c r="C240" s="12">
        <v>275</v>
      </c>
      <c r="D240" s="12">
        <v>3</v>
      </c>
      <c r="E240" s="12" t="s">
        <v>495</v>
      </c>
    </row>
    <row r="241">
      <c r="C241" s="12">
        <v>276</v>
      </c>
      <c r="D241" s="12">
        <v>3</v>
      </c>
      <c r="E241" s="12" t="s">
        <v>495</v>
      </c>
    </row>
    <row r="242">
      <c r="C242" s="12">
        <v>277</v>
      </c>
      <c r="D242" s="12">
        <v>2</v>
      </c>
      <c r="E242" s="12"/>
    </row>
    <row r="243">
      <c r="C243" s="12">
        <v>278</v>
      </c>
      <c r="D243" s="12">
        <v>3</v>
      </c>
      <c r="E243" s="12" t="s">
        <v>495</v>
      </c>
    </row>
    <row r="244">
      <c r="C244" s="12">
        <v>279</v>
      </c>
      <c r="D244" s="12">
        <v>3</v>
      </c>
      <c r="E244" s="12" t="s">
        <v>495</v>
      </c>
    </row>
    <row r="245">
      <c r="C245" s="12">
        <v>280</v>
      </c>
      <c r="D245" s="12">
        <v>3</v>
      </c>
      <c r="E245" s="12" t="s">
        <v>495</v>
      </c>
    </row>
    <row r="246">
      <c r="C246" s="12">
        <v>281</v>
      </c>
      <c r="D246" s="12">
        <v>3</v>
      </c>
      <c r="E246" s="12" t="s">
        <v>495</v>
      </c>
    </row>
    <row r="247">
      <c r="C247" s="12">
        <v>282</v>
      </c>
      <c r="D247" s="12">
        <v>3</v>
      </c>
      <c r="E247" s="12" t="s">
        <v>495</v>
      </c>
    </row>
    <row r="248">
      <c r="C248" s="12">
        <v>283</v>
      </c>
      <c r="D248" s="12">
        <v>3</v>
      </c>
      <c r="E248" s="12" t="s">
        <v>495</v>
      </c>
    </row>
    <row r="249">
      <c r="C249" s="12">
        <v>284</v>
      </c>
      <c r="D249" s="12">
        <v>3</v>
      </c>
      <c r="E249" s="12" t="s">
        <v>495</v>
      </c>
    </row>
    <row r="250">
      <c r="C250" s="12">
        <v>285</v>
      </c>
      <c r="D250" s="12">
        <v>3</v>
      </c>
      <c r="E250" s="12" t="s">
        <v>495</v>
      </c>
    </row>
    <row r="251">
      <c r="C251" s="12">
        <v>286</v>
      </c>
      <c r="D251" s="12">
        <v>3</v>
      </c>
      <c r="E251" s="12" t="s">
        <v>495</v>
      </c>
    </row>
    <row r="252">
      <c r="C252" s="12">
        <v>287</v>
      </c>
      <c r="D252" s="12">
        <v>2</v>
      </c>
      <c r="E252" s="12"/>
    </row>
    <row r="253">
      <c r="C253" s="12">
        <v>288</v>
      </c>
      <c r="D253" s="12">
        <v>3</v>
      </c>
      <c r="E253" s="12" t="s">
        <v>495</v>
      </c>
    </row>
    <row r="254">
      <c r="C254" s="12">
        <v>289</v>
      </c>
      <c r="D254" s="12">
        <v>3</v>
      </c>
      <c r="E254" s="12" t="s">
        <v>495</v>
      </c>
    </row>
    <row r="255">
      <c r="C255" s="12">
        <v>290</v>
      </c>
      <c r="D255" s="12">
        <v>3</v>
      </c>
      <c r="E255" s="12" t="s">
        <v>495</v>
      </c>
    </row>
    <row r="256">
      <c r="C256" s="12">
        <v>291</v>
      </c>
      <c r="D256" s="12">
        <v>3</v>
      </c>
      <c r="E256" s="12" t="s">
        <v>495</v>
      </c>
    </row>
    <row r="257">
      <c r="C257" s="12">
        <v>292</v>
      </c>
      <c r="D257" s="12">
        <v>3</v>
      </c>
      <c r="E257" s="12" t="s">
        <v>495</v>
      </c>
    </row>
    <row r="258">
      <c r="C258" s="12">
        <v>293</v>
      </c>
      <c r="D258" s="12">
        <v>3</v>
      </c>
      <c r="E258" s="12" t="s">
        <v>495</v>
      </c>
    </row>
    <row r="259">
      <c r="C259" s="12">
        <v>294</v>
      </c>
      <c r="D259" s="12">
        <v>3</v>
      </c>
      <c r="E259" s="12" t="s">
        <v>495</v>
      </c>
    </row>
    <row r="260">
      <c r="C260" s="12">
        <v>295</v>
      </c>
      <c r="D260" s="12">
        <v>3</v>
      </c>
      <c r="E260" s="12" t="s">
        <v>495</v>
      </c>
    </row>
    <row r="261">
      <c r="C261" s="12">
        <v>296</v>
      </c>
      <c r="D261" s="12">
        <v>3</v>
      </c>
      <c r="E261" s="12" t="s">
        <v>495</v>
      </c>
    </row>
    <row r="262">
      <c r="C262" s="12">
        <v>297</v>
      </c>
      <c r="D262" s="12">
        <v>3</v>
      </c>
      <c r="E262" s="12" t="s">
        <v>495</v>
      </c>
    </row>
    <row r="263">
      <c r="C263" s="12">
        <v>298</v>
      </c>
      <c r="D263" s="12">
        <v>3</v>
      </c>
      <c r="E263" s="12" t="s">
        <v>495</v>
      </c>
    </row>
    <row r="264">
      <c r="C264" s="12">
        <v>299</v>
      </c>
      <c r="D264" s="12">
        <v>3</v>
      </c>
      <c r="E264" s="12" t="s">
        <v>495</v>
      </c>
    </row>
    <row r="265">
      <c r="C265" s="12">
        <v>300</v>
      </c>
      <c r="D265" s="12">
        <v>3</v>
      </c>
      <c r="E265" s="12" t="s">
        <v>495</v>
      </c>
    </row>
    <row r="266">
      <c r="C266" s="12">
        <v>301</v>
      </c>
      <c r="D266" s="12">
        <v>3</v>
      </c>
      <c r="E266" s="12" t="s">
        <v>495</v>
      </c>
    </row>
    <row r="267">
      <c r="C267" s="12">
        <v>302</v>
      </c>
      <c r="D267" s="12">
        <v>3</v>
      </c>
      <c r="E267" s="12" t="s">
        <v>495</v>
      </c>
    </row>
    <row r="268">
      <c r="C268" s="12">
        <v>303</v>
      </c>
      <c r="D268" s="12">
        <v>3</v>
      </c>
      <c r="E268" s="12" t="s">
        <v>495</v>
      </c>
    </row>
    <row r="269">
      <c r="C269" s="12">
        <v>304</v>
      </c>
      <c r="D269" s="12">
        <v>3</v>
      </c>
      <c r="E269" s="12" t="s">
        <v>495</v>
      </c>
    </row>
    <row r="270">
      <c r="C270" s="12">
        <v>305</v>
      </c>
      <c r="D270" s="12">
        <v>3</v>
      </c>
      <c r="E270" s="12" t="s">
        <v>495</v>
      </c>
    </row>
    <row r="271">
      <c r="C271" s="12">
        <v>306</v>
      </c>
      <c r="D271" s="12">
        <v>3</v>
      </c>
      <c r="E271" s="12" t="s">
        <v>495</v>
      </c>
    </row>
    <row r="272">
      <c r="C272" s="12">
        <v>307</v>
      </c>
      <c r="D272" s="12">
        <v>3</v>
      </c>
      <c r="E272" s="12" t="s">
        <v>495</v>
      </c>
    </row>
    <row r="273">
      <c r="C273" s="12">
        <v>308</v>
      </c>
      <c r="D273" s="12">
        <v>3</v>
      </c>
      <c r="E273" s="12" t="s">
        <v>495</v>
      </c>
    </row>
    <row r="274">
      <c r="C274" s="12">
        <v>309</v>
      </c>
      <c r="D274" s="12">
        <v>3</v>
      </c>
      <c r="E274" s="12" t="s">
        <v>495</v>
      </c>
    </row>
    <row r="275">
      <c r="C275" s="12">
        <v>310</v>
      </c>
      <c r="D275" s="12">
        <v>2</v>
      </c>
      <c r="E275" s="12"/>
    </row>
    <row r="276">
      <c r="C276" s="12">
        <v>311</v>
      </c>
      <c r="D276" s="12">
        <v>3</v>
      </c>
      <c r="E276" s="12" t="s">
        <v>495</v>
      </c>
    </row>
    <row r="277">
      <c r="C277" s="12">
        <v>312</v>
      </c>
      <c r="D277" s="12">
        <v>3</v>
      </c>
      <c r="E277" s="12" t="s">
        <v>495</v>
      </c>
    </row>
    <row r="278">
      <c r="C278" s="12">
        <v>313</v>
      </c>
      <c r="D278" s="12">
        <v>3</v>
      </c>
      <c r="E278" s="12" t="s">
        <v>495</v>
      </c>
    </row>
    <row r="279">
      <c r="C279" s="12">
        <v>314</v>
      </c>
      <c r="D279" s="12">
        <v>3</v>
      </c>
      <c r="E279" s="12" t="s">
        <v>495</v>
      </c>
    </row>
    <row r="280">
      <c r="C280" s="12">
        <v>315</v>
      </c>
      <c r="D280" s="12">
        <v>3</v>
      </c>
      <c r="E280" s="12" t="s">
        <v>495</v>
      </c>
    </row>
    <row r="281">
      <c r="C281" s="12">
        <v>316</v>
      </c>
      <c r="D281" s="12">
        <v>3</v>
      </c>
      <c r="E281" s="12" t="s">
        <v>495</v>
      </c>
    </row>
    <row r="282">
      <c r="C282" s="12">
        <v>317</v>
      </c>
      <c r="D282" s="12">
        <v>3</v>
      </c>
      <c r="E282" s="12" t="s">
        <v>495</v>
      </c>
    </row>
    <row r="283">
      <c r="C283" s="12">
        <v>318</v>
      </c>
      <c r="D283" s="12">
        <v>3</v>
      </c>
      <c r="E283" s="12" t="s">
        <v>495</v>
      </c>
    </row>
    <row r="284">
      <c r="C284" s="12">
        <v>319</v>
      </c>
      <c r="D284" s="12">
        <v>3</v>
      </c>
      <c r="E284" s="12" t="s">
        <v>495</v>
      </c>
    </row>
    <row r="285">
      <c r="C285" s="12">
        <v>320</v>
      </c>
      <c r="D285" s="12">
        <v>3</v>
      </c>
      <c r="E285" s="12" t="s">
        <v>495</v>
      </c>
    </row>
    <row r="286">
      <c r="C286" s="12">
        <v>321</v>
      </c>
      <c r="D286" s="12">
        <v>2</v>
      </c>
      <c r="E286" s="12"/>
    </row>
    <row r="287">
      <c r="C287" s="12">
        <v>322</v>
      </c>
      <c r="D287" s="12">
        <v>3</v>
      </c>
      <c r="E287" s="12" t="s">
        <v>495</v>
      </c>
    </row>
    <row r="288">
      <c r="C288" s="12">
        <v>212</v>
      </c>
      <c r="D288" s="12">
        <v>1</v>
      </c>
      <c r="E288" s="12"/>
    </row>
    <row r="289">
      <c r="C289" s="12">
        <v>213</v>
      </c>
      <c r="D289" s="12">
        <v>3</v>
      </c>
      <c r="E289" s="12" t="s">
        <v>495</v>
      </c>
    </row>
    <row r="290">
      <c r="C290" s="12">
        <v>214</v>
      </c>
      <c r="D290" s="12">
        <v>3</v>
      </c>
      <c r="E290" s="12" t="s">
        <v>495</v>
      </c>
    </row>
    <row r="291">
      <c r="C291" s="12">
        <v>215</v>
      </c>
      <c r="D291" s="12">
        <v>2</v>
      </c>
      <c r="E291" s="12"/>
    </row>
    <row r="292">
      <c r="C292" s="12">
        <v>216</v>
      </c>
      <c r="D292" s="12">
        <v>2</v>
      </c>
      <c r="E292" s="12"/>
    </row>
    <row r="293">
      <c r="C293" s="12">
        <v>217</v>
      </c>
      <c r="D293" s="12">
        <v>2</v>
      </c>
      <c r="E293" s="12"/>
    </row>
    <row r="294">
      <c r="C294" s="12">
        <v>218</v>
      </c>
      <c r="D294" s="12">
        <v>3</v>
      </c>
      <c r="E294" s="12" t="s">
        <v>495</v>
      </c>
    </row>
    <row r="295">
      <c r="C295" s="12">
        <v>219</v>
      </c>
      <c r="D295" s="12">
        <v>3</v>
      </c>
      <c r="E295" s="12" t="s">
        <v>495</v>
      </c>
    </row>
    <row r="296">
      <c r="C296" s="12">
        <v>220</v>
      </c>
      <c r="D296" s="12">
        <v>2</v>
      </c>
      <c r="E296" s="12"/>
    </row>
    <row r="297">
      <c r="C297" s="12">
        <v>221</v>
      </c>
      <c r="D297" s="12">
        <v>1</v>
      </c>
      <c r="E297" s="12"/>
    </row>
    <row r="298">
      <c r="C298" s="12">
        <v>222</v>
      </c>
      <c r="D298" s="12">
        <v>2</v>
      </c>
      <c r="E298" s="12"/>
    </row>
    <row r="299">
      <c r="C299" s="12">
        <v>223</v>
      </c>
      <c r="D299" s="12">
        <v>1</v>
      </c>
      <c r="E299" s="12"/>
    </row>
    <row r="300">
      <c r="C300" s="12">
        <v>224</v>
      </c>
      <c r="D300" s="12">
        <v>2</v>
      </c>
      <c r="E300" s="12"/>
    </row>
    <row r="301">
      <c r="C301" s="12">
        <v>225</v>
      </c>
      <c r="D301" s="12">
        <v>2</v>
      </c>
      <c r="E301" s="12"/>
    </row>
    <row r="302">
      <c r="C302" s="12">
        <v>226</v>
      </c>
      <c r="D302" s="12">
        <v>2</v>
      </c>
      <c r="E302" s="12"/>
    </row>
    <row r="303">
      <c r="C303" s="12">
        <v>227</v>
      </c>
      <c r="D303" s="12">
        <v>1</v>
      </c>
      <c r="E303" s="12"/>
    </row>
    <row r="304">
      <c r="C304" s="12">
        <v>228</v>
      </c>
      <c r="D304" s="12">
        <v>2</v>
      </c>
      <c r="E304" s="12"/>
    </row>
    <row r="305">
      <c r="C305" s="12">
        <v>229</v>
      </c>
      <c r="D305" s="12">
        <v>1</v>
      </c>
      <c r="E305" s="12"/>
    </row>
    <row r="306">
      <c r="C306" s="12">
        <v>230</v>
      </c>
      <c r="D306" s="12">
        <v>2</v>
      </c>
      <c r="E306" s="12"/>
    </row>
    <row r="307">
      <c r="C307" s="12">
        <v>231</v>
      </c>
      <c r="D307" s="12">
        <v>1</v>
      </c>
      <c r="E307" s="12"/>
    </row>
    <row r="308">
      <c r="C308" s="12">
        <v>232</v>
      </c>
      <c r="D308" s="12">
        <v>1</v>
      </c>
      <c r="E308" s="12"/>
    </row>
    <row r="309">
      <c r="C309" s="12">
        <v>233</v>
      </c>
      <c r="D309" s="12">
        <v>1</v>
      </c>
      <c r="E309" s="12"/>
    </row>
    <row r="310">
      <c r="C310" s="12">
        <v>234</v>
      </c>
      <c r="D310" s="12">
        <v>1</v>
      </c>
      <c r="E310" s="12"/>
    </row>
    <row r="311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2026-10-23T14:11:50Z</dcterms:modified>
</cp:coreProperties>
</file>