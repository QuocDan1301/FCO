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OneDrive\Tài liệu\FCOvv\"/>
    </mc:Choice>
  </mc:AlternateContent>
  <xr:revisionPtr revIDLastSave="0" documentId="13_ncr:1_{057B4CC4-7DBE-4C21-9255-1453EF9A28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iá cầu thủ" sheetId="1" r:id="rId1"/>
    <sheet name="Hướng dẫn" sheetId="2" r:id="rId2"/>
  </sheets>
  <definedNames>
    <definedName name="_xlnm._FilterDatabase" localSheetId="0" hidden="1">'Giá cầu thủ'!$A$1:$AH$312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2" i="1" l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</calcChain>
</file>

<file path=xl/sharedStrings.xml><?xml version="1.0" encoding="utf-8"?>
<sst xmlns="http://schemas.openxmlformats.org/spreadsheetml/2006/main" count="1742" uniqueCount="496">
  <si>
    <t>ID</t>
  </si>
  <si>
    <t>Tên</t>
  </si>
  <si>
    <t>Mùa thẻ</t>
  </si>
  <si>
    <t>Vị trí</t>
  </si>
  <si>
    <t>OVR gốc</t>
  </si>
  <si>
    <t>Quốc tịch</t>
  </si>
  <si>
    <t>CLB</t>
  </si>
  <si>
    <t>Lương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</si>
  <si>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</si>
  <si>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</si>
  <si>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</si>
  <si>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</si>
  <si>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</si>
  <si>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</si>
  <si>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</si>
  <si>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</si>
  <si>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</si>
  <si>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</si>
  <si>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</si>
  <si>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</si>
  <si>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</si>
  <si>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OVR</t>
  </si>
  <si>
    <t>Giá BP</t>
  </si>
  <si>
    <t>D. Maradona</t>
  </si>
  <si>
    <t>ICON TM</t>
  </si>
  <si>
    <t>CAM</t>
  </si>
  <si>
    <t>Argentina</t>
  </si>
  <si>
    <t>Napoli</t>
  </si>
  <si>
    <t>Pelé</t>
  </si>
  <si>
    <t>CF</t>
  </si>
  <si>
    <t>Brazil</t>
  </si>
  <si>
    <t>Santos</t>
  </si>
  <si>
    <t>F. Beckenbauer</t>
  </si>
  <si>
    <t>CB</t>
  </si>
  <si>
    <t>Đức</t>
  </si>
  <si>
    <t>Bayern</t>
  </si>
  <si>
    <t>Ferenc Puskás</t>
  </si>
  <si>
    <t>Hungary</t>
  </si>
  <si>
    <t>Madrid</t>
  </si>
  <si>
    <t>G. Müller</t>
  </si>
  <si>
    <t>ST</t>
  </si>
  <si>
    <t>J. Cruyff</t>
  </si>
  <si>
    <t>Hà Lan</t>
  </si>
  <si>
    <t>Ajax</t>
  </si>
  <si>
    <t>L. Matthäus</t>
  </si>
  <si>
    <t>CM</t>
  </si>
  <si>
    <t>L. Yashin</t>
  </si>
  <si>
    <t>GK</t>
  </si>
  <si>
    <t>Nga</t>
  </si>
  <si>
    <t>Dynamo</t>
  </si>
  <si>
    <t>M. van Basten</t>
  </si>
  <si>
    <t>Milano</t>
  </si>
  <si>
    <t>Ronaldo</t>
  </si>
  <si>
    <t>Z. Zidane</t>
  </si>
  <si>
    <t>Pháp</t>
  </si>
  <si>
    <t>B. Charlton</t>
  </si>
  <si>
    <t>Anh</t>
  </si>
  <si>
    <t>Manchester Đỏ</t>
  </si>
  <si>
    <t>Eusébio</t>
  </si>
  <si>
    <t>Bồ Đào Nha</t>
  </si>
  <si>
    <t>Benfica</t>
  </si>
  <si>
    <t>F. Baresi</t>
  </si>
  <si>
    <t>Ý</t>
  </si>
  <si>
    <t>G. Best</t>
  </si>
  <si>
    <t>RW</t>
  </si>
  <si>
    <t>Bắc Ireland</t>
  </si>
  <si>
    <t>G. Buffon</t>
  </si>
  <si>
    <t>Torino</t>
  </si>
  <si>
    <t>Garrincha</t>
  </si>
  <si>
    <t>Botafogo</t>
  </si>
  <si>
    <t>Iniesta</t>
  </si>
  <si>
    <t>Tây Ban Nha</t>
  </si>
  <si>
    <t>Barcelona</t>
  </si>
  <si>
    <t>Jairzinho</t>
  </si>
  <si>
    <t>P. Maldini</t>
  </si>
  <si>
    <t>LB</t>
  </si>
  <si>
    <t>R. Baggio</t>
  </si>
  <si>
    <t>R. Gullit</t>
  </si>
  <si>
    <t>Ronaldinho</t>
  </si>
  <si>
    <t>LW</t>
  </si>
  <si>
    <t>Xavi</t>
  </si>
  <si>
    <t>Zico</t>
  </si>
  <si>
    <t>Flamengo</t>
  </si>
  <si>
    <t>A. Nesta</t>
  </si>
  <si>
    <t>A. Pirlo</t>
  </si>
  <si>
    <t>A. Shearer</t>
  </si>
  <si>
    <t>Newcastle</t>
  </si>
  <si>
    <t>A. Shevchenko</t>
  </si>
  <si>
    <t>Ukraine</t>
  </si>
  <si>
    <t>Cafu</t>
  </si>
  <si>
    <t>RB</t>
  </si>
  <si>
    <t>Casillas</t>
  </si>
  <si>
    <t>D. Beckham</t>
  </si>
  <si>
    <t>RM</t>
  </si>
  <si>
    <t>D. Bergkamp</t>
  </si>
  <si>
    <t>Arsenal</t>
  </si>
  <si>
    <t>D. Drogba</t>
  </si>
  <si>
    <t>Bờ Biển Ngà</t>
  </si>
  <si>
    <t>Chelsea</t>
  </si>
  <si>
    <t>E. Cantona</t>
  </si>
  <si>
    <t>F. Cannavaro</t>
  </si>
  <si>
    <t>F. Rijkaard</t>
  </si>
  <si>
    <t>CDM</t>
  </si>
  <si>
    <t>F. Totti</t>
  </si>
  <si>
    <t>Roma</t>
  </si>
  <si>
    <t>Gabriel Batistuta</t>
  </si>
  <si>
    <t>Fiorentina</t>
  </si>
  <si>
    <t>H. Sánchez</t>
  </si>
  <si>
    <t>Mexico</t>
  </si>
  <si>
    <t>Kaká</t>
  </si>
  <si>
    <t>Luís Figo</t>
  </si>
  <si>
    <t>O. Kahn</t>
  </si>
  <si>
    <t>R. van Nistelrooy</t>
  </si>
  <si>
    <t>Rivaldo</t>
  </si>
  <si>
    <t>Roberto Carlos</t>
  </si>
  <si>
    <t>S. Eto'o</t>
  </si>
  <si>
    <t>Cameroon</t>
  </si>
  <si>
    <t>T. Henry</t>
  </si>
  <si>
    <t>W. Rooney</t>
  </si>
  <si>
    <t>Z. Ibrahimović</t>
  </si>
  <si>
    <t>Thụy Điển</t>
  </si>
  <si>
    <t>A. Del Piero</t>
  </si>
  <si>
    <t>B. Cha</t>
  </si>
  <si>
    <t>Hàn Quốc</t>
  </si>
  <si>
    <t>Leverkusen</t>
  </si>
  <si>
    <t>B. Moore</t>
  </si>
  <si>
    <t>West Ham</t>
  </si>
  <si>
    <t>C. Puyol</t>
  </si>
  <si>
    <t>Carlos Alberto</t>
  </si>
  <si>
    <t>Dunga</t>
  </si>
  <si>
    <t>F. Lampard</t>
  </si>
  <si>
    <t>I. Rush</t>
  </si>
  <si>
    <t>Wales</t>
  </si>
  <si>
    <t>Liverpool</t>
  </si>
  <si>
    <t>J. Zanetti</t>
  </si>
  <si>
    <t>K. Dalglish</t>
  </si>
  <si>
    <t>Scotland</t>
  </si>
  <si>
    <t>L. Thuram</t>
  </si>
  <si>
    <t>M. Ballack</t>
  </si>
  <si>
    <t>M. Klose</t>
  </si>
  <si>
    <t>M. Owen</t>
  </si>
  <si>
    <t>Marcelo</t>
  </si>
  <si>
    <t>P. Lahm</t>
  </si>
  <si>
    <t>P. Nedvěd</t>
  </si>
  <si>
    <t>Séc</t>
  </si>
  <si>
    <t>P. Schmeichel</t>
  </si>
  <si>
    <t>Đan Mạch</t>
  </si>
  <si>
    <t>P. Scholes</t>
  </si>
  <si>
    <t>P. Vieira</t>
  </si>
  <si>
    <t>R. Ferdinand</t>
  </si>
  <si>
    <t>R. Koeman</t>
  </si>
  <si>
    <t>R. van Persie</t>
  </si>
  <si>
    <t>Raúl</t>
  </si>
  <si>
    <t>S. Gerrard</t>
  </si>
  <si>
    <t>T. Kroos</t>
  </si>
  <si>
    <t>Xabi Alonso</t>
  </si>
  <si>
    <t>B. Schweinsteiger</t>
  </si>
  <si>
    <t>Butragueño</t>
  </si>
  <si>
    <t>C. Makélélé</t>
  </si>
  <si>
    <t>C. Seedorf</t>
  </si>
  <si>
    <t>D. Trezeguet</t>
  </si>
  <si>
    <t>F. Ribéry</t>
  </si>
  <si>
    <t>Fernando Hierro</t>
  </si>
  <si>
    <t>Fernando Torres</t>
  </si>
  <si>
    <t>G. Bale</t>
  </si>
  <si>
    <t>LM</t>
  </si>
  <si>
    <t>G. Chiellini</t>
  </si>
  <si>
    <t>G. Hagi</t>
  </si>
  <si>
    <t>Romania</t>
  </si>
  <si>
    <t>Galatasaray</t>
  </si>
  <si>
    <t>G. Lineker</t>
  </si>
  <si>
    <t>Tottenham</t>
  </si>
  <si>
    <t>H. Crespo</t>
  </si>
  <si>
    <t>H. Stoichkov</t>
  </si>
  <si>
    <t>Bulgaria</t>
  </si>
  <si>
    <t>L. Blanc</t>
  </si>
  <si>
    <t>M. Desailly</t>
  </si>
  <si>
    <t>M. Laudrup</t>
  </si>
  <si>
    <t>N. Vidić</t>
  </si>
  <si>
    <t>Serbia</t>
  </si>
  <si>
    <t>P. Čech</t>
  </si>
  <si>
    <t>Park Ji-sung</t>
  </si>
  <si>
    <t>R. Keane</t>
  </si>
  <si>
    <t>Ireland</t>
  </si>
  <si>
    <t>Y. Touré</t>
  </si>
  <si>
    <t>Manchester Xanh</t>
  </si>
  <si>
    <t>A. Cole</t>
  </si>
  <si>
    <t>E. Petit</t>
  </si>
  <si>
    <t>E. van der Sar</t>
  </si>
  <si>
    <t>G. Gattuso</t>
  </si>
  <si>
    <t>G. Zambrotta</t>
  </si>
  <si>
    <t>H. Larsson</t>
  </si>
  <si>
    <t>I. Wright</t>
  </si>
  <si>
    <t>M. Essien</t>
  </si>
  <si>
    <t>Ghana</t>
  </si>
  <si>
    <t>P. Kluivert</t>
  </si>
  <si>
    <t>Rui Costa</t>
  </si>
  <si>
    <t>Sócrates</t>
  </si>
  <si>
    <t>Corinthians</t>
  </si>
  <si>
    <t>Verón</t>
  </si>
  <si>
    <t>Lazio</t>
  </si>
  <si>
    <t>F. Ljungberg</t>
  </si>
  <si>
    <t>G. Zola</t>
  </si>
  <si>
    <t>J. Litmanen</t>
  </si>
  <si>
    <t>Phần Lan</t>
  </si>
  <si>
    <t>Paulo Futre</t>
  </si>
  <si>
    <t>Atlético</t>
  </si>
  <si>
    <t>R. Pirès</t>
  </si>
  <si>
    <t>Riquelme</t>
  </si>
  <si>
    <t>Boca Juniors</t>
  </si>
  <si>
    <t>S. Campbell</t>
  </si>
  <si>
    <t>D. Šuker</t>
  </si>
  <si>
    <t>Croatia</t>
  </si>
  <si>
    <t>Sevilla</t>
  </si>
  <si>
    <t>J. Barnes</t>
  </si>
  <si>
    <t>J. Carragher</t>
  </si>
  <si>
    <t>J. Okocha</t>
  </si>
  <si>
    <t>Nigeria</t>
  </si>
  <si>
    <t>Paris</t>
  </si>
  <si>
    <t>L. Hernández</t>
  </si>
  <si>
    <t>Necaxa</t>
  </si>
  <si>
    <t>O. Bierhoff</t>
  </si>
  <si>
    <t>O. Solskjaer</t>
  </si>
  <si>
    <t>Na Uy</t>
  </si>
  <si>
    <t>H. Nakata</t>
  </si>
  <si>
    <t>Nhật Bản</t>
  </si>
  <si>
    <t>Parma</t>
  </si>
  <si>
    <t>H. Kane</t>
  </si>
  <si>
    <t>26TS</t>
  </si>
  <si>
    <t>K. Mbappé</t>
  </si>
  <si>
    <t>Lamine Yamal</t>
  </si>
  <si>
    <t>M. Olise</t>
  </si>
  <si>
    <t>Bruno Fernandes</t>
  </si>
  <si>
    <t>D. Rice</t>
  </si>
  <si>
    <t>E. Haaland</t>
  </si>
  <si>
    <t>Gabriel</t>
  </si>
  <si>
    <t>L. Díaz</t>
  </si>
  <si>
    <t>Colombia</t>
  </si>
  <si>
    <t>Pedri</t>
  </si>
  <si>
    <t>Vitinha</t>
  </si>
  <si>
    <t>F. Dimarco</t>
  </si>
  <si>
    <t>LWB</t>
  </si>
  <si>
    <t>Inter</t>
  </si>
  <si>
    <t>Igor Thiago</t>
  </si>
  <si>
    <t>Brentford</t>
  </si>
  <si>
    <t>L. Modrić</t>
  </si>
  <si>
    <t>Nico Paz</t>
  </si>
  <si>
    <t>Como</t>
  </si>
  <si>
    <t>W. Saliba</t>
  </si>
  <si>
    <t>A. Semenyo</t>
  </si>
  <si>
    <t>Bruno Guimarães</t>
  </si>
  <si>
    <t>Cristiano Ronaldo</t>
  </si>
  <si>
    <t>Al Nassr</t>
  </si>
  <si>
    <t>D. Raum</t>
  </si>
  <si>
    <t>Leipzig</t>
  </si>
  <si>
    <t>D. Szoboszlai</t>
  </si>
  <si>
    <t>David Raya</t>
  </si>
  <si>
    <t>F. Valverde</t>
  </si>
  <si>
    <t>Uruguay</t>
  </si>
  <si>
    <t>J. Kimmich</t>
  </si>
  <si>
    <t>J. Veerman</t>
  </si>
  <si>
    <t>PSV</t>
  </si>
  <si>
    <t>Jacobo Ramón</t>
  </si>
  <si>
    <t>João Pedro</t>
  </si>
  <si>
    <t>K. Kvaratskhelia</t>
  </si>
  <si>
    <t>Georgia</t>
  </si>
  <si>
    <t>K. Yıldız</t>
  </si>
  <si>
    <t>Thổ Nhĩ Kỳ</t>
  </si>
  <si>
    <t>L. Martínez</t>
  </si>
  <si>
    <t>L. Messi</t>
  </si>
  <si>
    <t>Inter Miami</t>
  </si>
  <si>
    <t>L. Suárez</t>
  </si>
  <si>
    <t>Sporting</t>
  </si>
  <si>
    <t>L. Vušković</t>
  </si>
  <si>
    <t>Hamburg</t>
  </si>
  <si>
    <t>Marcos Llorente</t>
  </si>
  <si>
    <t>N. Schlotterbeck</t>
  </si>
  <si>
    <t>Dortmund</t>
  </si>
  <si>
    <t>Nuno Mendes</t>
  </si>
  <si>
    <t>O. Dembélé</t>
  </si>
  <si>
    <t>V. Muriqi</t>
  </si>
  <si>
    <t>Kosovo</t>
  </si>
  <si>
    <t>Mallorca</t>
  </si>
  <si>
    <t>V. van Dijk</t>
  </si>
  <si>
    <t>A. Pavlović</t>
  </si>
  <si>
    <t>A. Rabiot</t>
  </si>
  <si>
    <t>A. Tchouaméni</t>
  </si>
  <si>
    <t>Bremer</t>
  </si>
  <si>
    <t>Casemiro</t>
  </si>
  <si>
    <t>D. Undav</t>
  </si>
  <si>
    <t>Stuttgart</t>
  </si>
  <si>
    <t>D. Upamecano</t>
  </si>
  <si>
    <t>E. Fernández</t>
  </si>
  <si>
    <t>Eric García</t>
  </si>
  <si>
    <t>F. Thauvin</t>
  </si>
  <si>
    <t>Lens</t>
  </si>
  <si>
    <t>G. Donnarumma</t>
  </si>
  <si>
    <t>G. Kobel</t>
  </si>
  <si>
    <t>Thụy Sĩ</t>
  </si>
  <si>
    <t>G. Xhaka</t>
  </si>
  <si>
    <t>Sunderland</t>
  </si>
  <si>
    <t>Grimaldo</t>
  </si>
  <si>
    <t>I. Saibari</t>
  </si>
  <si>
    <t>Ma-rốc</t>
  </si>
  <si>
    <t>J. Alvarez</t>
  </si>
  <si>
    <t>J. Tah</t>
  </si>
  <si>
    <t>J. Timber</t>
  </si>
  <si>
    <t>Joan García</t>
  </si>
  <si>
    <t>João Félix</t>
  </si>
  <si>
    <t>M. Godts</t>
  </si>
  <si>
    <t>Bỉ</t>
  </si>
  <si>
    <t>M. Locatelli</t>
  </si>
  <si>
    <t>M. Sangaré</t>
  </si>
  <si>
    <t>Mali</t>
  </si>
  <si>
    <t>M. Sarr</t>
  </si>
  <si>
    <t>M. Udol</t>
  </si>
  <si>
    <t>Mauro Júnior</t>
  </si>
  <si>
    <t>N. O'Reilly</t>
  </si>
  <si>
    <t>Oyarzabal</t>
  </si>
  <si>
    <t>Real Sociedad</t>
  </si>
  <si>
    <t>R. Cherki</t>
  </si>
  <si>
    <t>R. James</t>
  </si>
  <si>
    <t>Raphinha</t>
  </si>
  <si>
    <t>S. Gnabry</t>
  </si>
  <si>
    <t>S. McTominay</t>
  </si>
  <si>
    <t>S. Mouriño</t>
  </si>
  <si>
    <t>Villarreal</t>
  </si>
  <si>
    <t>T. Courtois</t>
  </si>
  <si>
    <t>A. Ezzalzouli</t>
  </si>
  <si>
    <t>Real Betis</t>
  </si>
  <si>
    <t>A. Saelemaekers</t>
  </si>
  <si>
    <t>RWB</t>
  </si>
  <si>
    <t>A. Stiller</t>
  </si>
  <si>
    <t>A. Thomasson</t>
  </si>
  <si>
    <t>Aleix García</t>
  </si>
  <si>
    <t>B. Barcola</t>
  </si>
  <si>
    <t>C. Tolisso</t>
  </si>
  <si>
    <t>Lyon</t>
  </si>
  <si>
    <t>Carlos Romero</t>
  </si>
  <si>
    <t>Espanyol</t>
  </si>
  <si>
    <t>D. Bouanga</t>
  </si>
  <si>
    <t>Gabon</t>
  </si>
  <si>
    <t>LAFC</t>
  </si>
  <si>
    <t>E. Ndicka</t>
  </si>
  <si>
    <t>H. Koffi</t>
  </si>
  <si>
    <t>Burkina Faso</t>
  </si>
  <si>
    <t>Angers</t>
  </si>
  <si>
    <t>H. Son</t>
  </si>
  <si>
    <t>H. Wilson</t>
  </si>
  <si>
    <t>Fulham</t>
  </si>
  <si>
    <t>I. Toney</t>
  </si>
  <si>
    <t>Al Ahli</t>
  </si>
  <si>
    <t>J. Bednarek</t>
  </si>
  <si>
    <t>Ba Lan</t>
  </si>
  <si>
    <t>Porto</t>
  </si>
  <si>
    <t>J. Panichelli</t>
  </si>
  <si>
    <t>Strasbourg</t>
  </si>
  <si>
    <t>J. Quiñones</t>
  </si>
  <si>
    <t>Al Qadsiah</t>
  </si>
  <si>
    <t>J. Ryerson</t>
  </si>
  <si>
    <t>L. Karl</t>
  </si>
  <si>
    <t>Luis Milla</t>
  </si>
  <si>
    <t>Getafe</t>
  </si>
  <si>
    <t>M. Akanji</t>
  </si>
  <si>
    <t>M. Maignan</t>
  </si>
  <si>
    <t>M. Palestra</t>
  </si>
  <si>
    <t>Cagliari</t>
  </si>
  <si>
    <t>M. Svilar</t>
  </si>
  <si>
    <t>Marc Cucurella</t>
  </si>
  <si>
    <t>P. Zieliński</t>
  </si>
  <si>
    <t>Pablo Fornals</t>
  </si>
  <si>
    <t>Pau Cubarsí</t>
  </si>
  <si>
    <t>Pubill</t>
  </si>
  <si>
    <t>Rúben Neves</t>
  </si>
  <si>
    <t>Al Hilal</t>
  </si>
  <si>
    <t>S. Guirassy</t>
  </si>
  <si>
    <t>Guinea</t>
  </si>
  <si>
    <t>Trincão</t>
  </si>
  <si>
    <t>V. Coufal</t>
  </si>
  <si>
    <t>CH Séc</t>
  </si>
  <si>
    <t>Hoffenheim</t>
  </si>
  <si>
    <t>V. Rongier</t>
  </si>
  <si>
    <t>Rennes</t>
  </si>
  <si>
    <t>W. McKennie</t>
  </si>
  <si>
    <t>Mỹ</t>
  </si>
  <si>
    <t>W. Pacho</t>
  </si>
  <si>
    <t>Ecuador</t>
  </si>
  <si>
    <t>W. Zaïre-Emery</t>
  </si>
  <si>
    <t>Wesley</t>
  </si>
  <si>
    <t>A. Dreyer</t>
  </si>
  <si>
    <t>San Diego FC</t>
  </si>
  <si>
    <t>A. Kramarić</t>
  </si>
  <si>
    <t>A. Ueda</t>
  </si>
  <si>
    <t>Feyenoord</t>
  </si>
  <si>
    <t>Aleix Febas</t>
  </si>
  <si>
    <t>Elche</t>
  </si>
  <si>
    <t>B. André</t>
  </si>
  <si>
    <t>Lille</t>
  </si>
  <si>
    <t>Borja Iglesias</t>
  </si>
  <si>
    <t>Celta</t>
  </si>
  <si>
    <t>C. Baumgartner</t>
  </si>
  <si>
    <t>Áo</t>
  </si>
  <si>
    <t>D. Welbeck</t>
  </si>
  <si>
    <t>Brighton</t>
  </si>
  <si>
    <t>E. Lepaul</t>
  </si>
  <si>
    <t>Evander</t>
  </si>
  <si>
    <t>FC Cincinnati</t>
  </si>
  <si>
    <t>J. Kiwior</t>
  </si>
  <si>
    <t>J. Schouten</t>
  </si>
  <si>
    <t>K. Fortounis</t>
  </si>
  <si>
    <t>Hy Lạp</t>
  </si>
  <si>
    <t>Al Khaleej</t>
  </si>
  <si>
    <t>K. Koulibaly</t>
  </si>
  <si>
    <t>Senegal</t>
  </si>
  <si>
    <t>K. Sano</t>
  </si>
  <si>
    <t>NEC Nijmegen</t>
  </si>
  <si>
    <t>L. Camara</t>
  </si>
  <si>
    <t>Monaco</t>
  </si>
  <si>
    <t>M. Akliouche</t>
  </si>
  <si>
    <t>M. Niakhaté</t>
  </si>
  <si>
    <t>M. Perrone</t>
  </si>
  <si>
    <t>M. Simakan</t>
  </si>
  <si>
    <t>Moleiro</t>
  </si>
  <si>
    <t>N. Vlašić</t>
  </si>
  <si>
    <t>Torino FC</t>
  </si>
  <si>
    <t>P. Aubameyang</t>
  </si>
  <si>
    <t>Marseille</t>
  </si>
  <si>
    <t>P. Šulc</t>
  </si>
  <si>
    <t>R. Højlund</t>
  </si>
  <si>
    <t>R. Zalazar</t>
  </si>
  <si>
    <t>Braga</t>
  </si>
  <si>
    <t>S. Al Dawsari</t>
  </si>
  <si>
    <t>Ả Rập Xê Út</t>
  </si>
  <si>
    <t>S. Surridge</t>
  </si>
  <si>
    <t>Nashville SC</t>
  </si>
  <si>
    <t>T. Douvikas</t>
  </si>
  <si>
    <t>V. Pavlidis</t>
  </si>
  <si>
    <t>Y. Carrasco</t>
  </si>
  <si>
    <t>Al Shabab</t>
  </si>
  <si>
    <t>B. van Rooij</t>
  </si>
  <si>
    <t>Twente</t>
  </si>
  <si>
    <t>D. Nejašmić</t>
  </si>
  <si>
    <t>F. Aursnes</t>
  </si>
  <si>
    <t>Ibañez</t>
  </si>
  <si>
    <t>L. Carević</t>
  </si>
  <si>
    <t>Montenegro</t>
  </si>
  <si>
    <t>Famalicão</t>
  </si>
  <si>
    <t>O. Baumann</t>
  </si>
  <si>
    <t>R. Koeman Jr.</t>
  </si>
  <si>
    <t>Telstar</t>
  </si>
  <si>
    <t>S. Berhalter</t>
  </si>
  <si>
    <t>Hoa Kỳ</t>
  </si>
  <si>
    <t>Vancouver Whitecaps</t>
  </si>
  <si>
    <t>T. Watanabe</t>
  </si>
  <si>
    <t>V. Froholdt</t>
  </si>
  <si>
    <t>Y. Begraoui</t>
  </si>
  <si>
    <t>Estoril</t>
  </si>
  <si>
    <t>A. Najar</t>
  </si>
  <si>
    <t>Honduras</t>
  </si>
  <si>
    <t>C. Roldan</t>
  </si>
  <si>
    <t>Seattle Sounders</t>
  </si>
  <si>
    <t>D. St. Clair</t>
  </si>
  <si>
    <t>Canada</t>
  </si>
  <si>
    <t>J. Glesnes</t>
  </si>
  <si>
    <t>LA Galaxy</t>
  </si>
  <si>
    <t>Mailson</t>
  </si>
  <si>
    <t>Al Taawoun</t>
  </si>
  <si>
    <t>T. Blackmon</t>
  </si>
  <si>
    <t>NO.7</t>
  </si>
  <si>
    <t>B. Saka</t>
  </si>
  <si>
    <t>D. Forlán</t>
  </si>
  <si>
    <t>E. Butragueño</t>
  </si>
  <si>
    <t>Los Angeles FC</t>
  </si>
  <si>
    <t>N. Kanté</t>
  </si>
  <si>
    <t>Al Ittihad</t>
  </si>
  <si>
    <t>Park Ji Sung</t>
  </si>
  <si>
    <t>Celtic</t>
  </si>
  <si>
    <t>Ramires</t>
  </si>
  <si>
    <t>T. Rosický</t>
  </si>
  <si>
    <t>Pedro Neto</t>
  </si>
  <si>
    <t>R. Mahrez</t>
  </si>
  <si>
    <t>Algeria</t>
  </si>
  <si>
    <t>Bảng OVR và giá BP +1 đến +13 — mô hình nâng cấp theo phân nhóm CSV</t>
  </si>
  <si>
    <t>Nhóm CSV</t>
  </si>
  <si>
    <t>Ghi chú +9…+13</t>
  </si>
  <si>
    <t>Nguồn nhóm: phan_loai_cau_thu_fco.csv (người dùng cung cấp, 23/10/2026). 83 Nhóm 1, 96 Nhóm 2, 131 Nhóm 3.</t>
  </si>
  <si>
    <t>Giữ nguyên giá +1 ở cột J. Giá +2…+13 là công thức ROUND(giá +1 × hệ số tích lũy × điều chỉnh nhóm,0).</t>
  </si>
  <si>
    <t>Hệ số từng bước: 1.637; 1.75; 2.1; 2.3; 2.6; 3.2; 4.2; 2.4; 2.5; 2.8; 3.2; 3.8. Chỉ làm tròn ở giá cuối.</t>
  </si>
  <si>
    <t>Nhóm 1: biên nhiệt 25% từ +5 trở lên, giữ biên qua +8, không nhân chồng. Nhóm 2: giữ 100% giá chuẩn.</t>
  </si>
  <si>
    <t>Nhóm 3: +2…+4 giảm 20%; +5 = 7.5× giá +1; +6/+7 nội suy biên giảm; +8…+13 giảm 45% so với chuẩn.</t>
  </si>
  <si>
    <t>Nhóm 3 từ +9: Đóng băng thanh khoản (ghi chú mô phỏng, không khóa giao dịch). CSV không cung cấp số BP sàn OVR.</t>
  </si>
  <si>
    <t>Bảo hiểm từ +8 đến +12: 95% nếu OVR gốc ≤92; 80% nếu 93…100; 60% nếu ≥101. Không cộng phí vào giá thẻ.</t>
  </si>
  <si>
    <t>OVR cộng thêm: 0,1,2,4,6,8,11,15,17,19,21,24,27. Không tự triển khai Team Color hoặc chọn chỉ số ẩn.</t>
  </si>
  <si>
    <t>Sửa giá +1 rồi lưu và chạy npm run build để cập nhật game. Nhóm chỉnh bằng CSV rồi chạy script nhập nhóm. Giá cấp cao trong game luôn được tính từ +1.</t>
  </si>
  <si>
    <t>Không đổi ID hoặc tiêu đề. Cột OVR +2…+13 là công thức liên kết OVR gốc E. Lưu Excel để tính lại trước khi import.</t>
  </si>
  <si>
    <t>Đóng băng thanh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</si>
</sst>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000000000]0.0#,,,&quot; tỷ&quot;;[&gt;=1000000]0.0#,,&quot; tr&quot;;#,##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2"/>
      <name val="Arial"/>
    </font>
    <font>
      <sz val="10"/>
      <color rgb="FF000000"/>
      <name val="Arial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5577"/>
      </patternFill>
    </fill>
    <fill>
      <patternFill patternType="solid">
        <fgColor rgb="FFEEF3F8"/>
      </patternFill>
    </fill>
    <fill>
      <patternFill patternType="solid">
        <fgColor rgb="FFFFF2B3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1F3B5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0" fontId="4" fillId="0" borderId="0" xfId="0" applyFont="1"/>
    <xf numFmtId="0" fontId="2" fillId="0" borderId="0" xfId="0" applyFont="1"/>
    <xf numFmtId="164" fontId="5" fillId="6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0" fontId="6" fillId="8" borderId="0" xfId="0" applyFont="1" applyFill="1"/>
    <xf numFmtId="0" fontId="7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2"/>
  <sheetViews>
    <sheetView tabSelected="1" workbookViewId="0">
      <pane xSplit="2" ySplit="2" topLeftCell="C292" activePane="bottomRight" state="frozen"/>
      <selection pane="topRight"/>
      <selection pane="bottomLeft"/>
      <selection pane="bottomRight" activeCell="C1" sqref="C1:C2"/>
    </sheetView>
  </sheetViews>
  <sheetFormatPr defaultRowHeight="14.4" x14ac:dyDescent="0.3"/>
  <cols>
    <col min="1" max="1" width="5" customWidth="1"/>
    <col min="2" max="2" width="20" customWidth="1"/>
    <col min="4" max="4" width="7" customWidth="1"/>
    <col min="5" max="5" width="8" customWidth="1"/>
    <col min="6" max="6" width="13" customWidth="1"/>
    <col min="7" max="7" width="15" customWidth="1"/>
    <col min="8" max="8" width="7" customWidth="1"/>
    <col min="9" max="9" width="5.44140625" customWidth="1"/>
    <col min="10" max="10" width="10.44140625" customWidth="1"/>
    <col min="11" max="11" width="5.44140625" customWidth="1"/>
    <col min="12" max="12" width="10.44140625" customWidth="1"/>
    <col min="13" max="13" width="5.44140625" customWidth="1"/>
    <col min="14" max="14" width="10.44140625" customWidth="1"/>
    <col min="15" max="15" width="5.44140625" customWidth="1"/>
    <col min="16" max="16" width="10.44140625" customWidth="1"/>
    <col min="17" max="17" width="5.44140625" customWidth="1"/>
    <col min="18" max="18" width="10.44140625" customWidth="1"/>
    <col min="19" max="19" width="5.44140625" customWidth="1"/>
    <col min="20" max="20" width="10.44140625" customWidth="1"/>
    <col min="21" max="21" width="5.44140625" customWidth="1"/>
    <col min="22" max="22" width="10.44140625" customWidth="1"/>
    <col min="23" max="23" width="5.44140625" customWidth="1"/>
    <col min="24" max="24" width="10.44140625" customWidth="1"/>
    <col min="25" max="25" width="5.44140625" customWidth="1"/>
    <col min="26" max="26" width="10.44140625" customWidth="1"/>
    <col min="27" max="27" width="5.44140625" customWidth="1"/>
    <col min="28" max="28" width="10.44140625" customWidth="1"/>
    <col min="29" max="29" width="5.44140625" customWidth="1"/>
    <col min="30" max="30" width="10.44140625" customWidth="1"/>
    <col min="31" max="31" width="5.44140625" customWidth="1"/>
    <col min="32" max="32" width="10.44140625" customWidth="1"/>
    <col min="33" max="33" width="5.44140625" customWidth="1"/>
    <col min="34" max="34" width="10.44140625" customWidth="1"/>
  </cols>
  <sheetData>
    <row r="1" spans="1:34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/>
      <c r="K1" s="13" t="s">
        <v>9</v>
      </c>
      <c r="L1" s="13"/>
      <c r="M1" s="13" t="s">
        <v>10</v>
      </c>
      <c r="N1" s="13"/>
      <c r="O1" s="13" t="s">
        <v>11</v>
      </c>
      <c r="P1" s="13"/>
      <c r="Q1" s="13" t="s">
        <v>12</v>
      </c>
      <c r="R1" s="13"/>
      <c r="S1" s="13" t="s">
        <v>13</v>
      </c>
      <c r="T1" s="13"/>
      <c r="U1" s="13" t="s">
        <v>14</v>
      </c>
      <c r="V1" s="13"/>
      <c r="W1" s="13" t="s">
        <v>15</v>
      </c>
      <c r="X1" s="13"/>
      <c r="Y1" s="13" t="s">
        <v>16</v>
      </c>
      <c r="Z1" s="13"/>
      <c r="AA1" s="13" t="s">
        <v>17</v>
      </c>
      <c r="AB1" s="13"/>
      <c r="AC1" s="13" t="s">
        <v>18</v>
      </c>
      <c r="AD1" s="13"/>
      <c r="AE1" s="13" t="s">
        <v>19</v>
      </c>
      <c r="AF1" s="13"/>
      <c r="AG1" s="13" t="s">
        <v>20</v>
      </c>
      <c r="AH1" s="13"/>
    </row>
    <row r="2" spans="1:34" x14ac:dyDescent="0.3">
      <c r="A2" s="13"/>
      <c r="B2" s="13"/>
      <c r="C2" s="13"/>
      <c r="D2" s="13"/>
      <c r="E2" s="13"/>
      <c r="F2" s="13"/>
      <c r="G2" s="13"/>
      <c r="H2" s="13"/>
      <c r="I2" s="1" t="s">
        <v>21</v>
      </c>
      <c r="J2" s="1" t="s">
        <v>22</v>
      </c>
      <c r="K2" s="1" t="s">
        <v>21</v>
      </c>
      <c r="L2" s="1" t="s">
        <v>22</v>
      </c>
      <c r="M2" s="1" t="s">
        <v>21</v>
      </c>
      <c r="N2" s="1" t="s">
        <v>22</v>
      </c>
      <c r="O2" s="1" t="s">
        <v>21</v>
      </c>
      <c r="P2" s="1" t="s">
        <v>22</v>
      </c>
      <c r="Q2" s="1" t="s">
        <v>21</v>
      </c>
      <c r="R2" s="1" t="s">
        <v>22</v>
      </c>
      <c r="S2" s="1" t="s">
        <v>21</v>
      </c>
      <c r="T2" s="1" t="s">
        <v>22</v>
      </c>
      <c r="U2" s="1" t="s">
        <v>21</v>
      </c>
      <c r="V2" s="1" t="s">
        <v>22</v>
      </c>
      <c r="W2" s="1" t="s">
        <v>21</v>
      </c>
      <c r="X2" s="1" t="s">
        <v>22</v>
      </c>
      <c r="Y2" s="1" t="s">
        <v>21</v>
      </c>
      <c r="Z2" s="1" t="s">
        <v>22</v>
      </c>
      <c r="AA2" s="1" t="s">
        <v>21</v>
      </c>
      <c r="AB2" s="1" t="s">
        <v>22</v>
      </c>
      <c r="AC2" s="1" t="s">
        <v>21</v>
      </c>
      <c r="AD2" s="1" t="s">
        <v>22</v>
      </c>
      <c r="AE2" s="1" t="s">
        <v>21</v>
      </c>
      <c r="AF2" s="1" t="s">
        <v>22</v>
      </c>
      <c r="AG2" s="1" t="s">
        <v>21</v>
      </c>
      <c r="AH2" s="1" t="s">
        <v>22</v>
      </c>
    </row>
    <row r="3" spans="1:34" x14ac:dyDescent="0.3">
      <c r="A3" s="2">
        <v>49</v>
      </c>
      <c r="B3" s="2" t="s">
        <v>23</v>
      </c>
      <c r="C3" s="2" t="s">
        <v>24</v>
      </c>
      <c r="D3" s="2" t="s">
        <v>25</v>
      </c>
      <c r="E3" s="2">
        <v>127</v>
      </c>
      <c r="F3" s="2" t="s">
        <v>26</v>
      </c>
      <c r="G3" s="2" t="s">
        <v>27</v>
      </c>
      <c r="H3" s="2">
        <v>33</v>
      </c>
      <c r="I3" s="3">
        <v>127</v>
      </c>
      <c r="J3" s="4">
        <v>5100000000</v>
      </c>
      <c r="K3" s="5">
        <f t="shared" ref="K3:K66" si="0">$E3+1</f>
        <v>128</v>
      </c>
      <c r="L3" s="9">
        <f t="shared" ref="L3:L9" si="1">ROUND($J3*1.637*1,0)</f>
        <v>8348700000</v>
      </c>
      <c r="M3" s="3">
        <f t="shared" ref="M3:M66" si="2">$E3+2</f>
        <v>129</v>
      </c>
      <c r="N3" s="10">
        <f t="shared" ref="N3:N9" si="3">ROUND($J3*1.637*1.75*1,0)</f>
        <v>14610225000</v>
      </c>
      <c r="O3" s="5">
        <f t="shared" ref="O3:O66" si="4">$E3+4</f>
        <v>131</v>
      </c>
      <c r="P3" s="9">
        <f t="shared" ref="P3:P9" si="5">ROUND($J3*1.637*1.75*2.1*1,0)</f>
        <v>30681472500</v>
      </c>
      <c r="Q3" s="3">
        <f t="shared" ref="Q3:Q66" si="6">$E3+6</f>
        <v>133</v>
      </c>
      <c r="R3" s="10">
        <f>ROUND($J3*1.637*1.75*2.1*2.3*1.25,0)</f>
        <v>88209233438</v>
      </c>
      <c r="S3" s="5">
        <f t="shared" ref="S3:S66" si="7">$E3+8</f>
        <v>135</v>
      </c>
      <c r="T3" s="9">
        <f>ROUND($J3*1.637*1.75*2.1*2.3*2.6*1.25,0)</f>
        <v>229344006938</v>
      </c>
      <c r="U3" s="3">
        <f t="shared" ref="U3:U66" si="8">$E3+11</f>
        <v>138</v>
      </c>
      <c r="V3" s="10">
        <f>ROUND($J3*1.637*1.75*2.1*2.3*2.6*3.2*1.25,0)</f>
        <v>733900822200</v>
      </c>
      <c r="W3" s="5">
        <f t="shared" ref="W3:W66" si="9">$E3+15</f>
        <v>142</v>
      </c>
      <c r="X3" s="9">
        <f>ROUND($J3*1.637*1.75*2.1*2.3*2.6*3.2*4.2*1.25,0)</f>
        <v>3082383453240</v>
      </c>
      <c r="Y3" s="3">
        <f t="shared" ref="Y3:Y66" si="10">$E3+17</f>
        <v>144</v>
      </c>
      <c r="Z3" s="10">
        <f>ROUND($J3*1.637*1.75*2.1*2.3*2.6*3.2*4.2*2.4*1.25,0)</f>
        <v>7397720287776</v>
      </c>
      <c r="AA3" s="5">
        <f t="shared" ref="AA3:AA66" si="11">$E3+19</f>
        <v>146</v>
      </c>
      <c r="AB3" s="9">
        <f>ROUND($J3*1.637*1.75*2.1*2.3*2.6*3.2*4.2*2.4*2.5*1.25,0)</f>
        <v>18494300719440</v>
      </c>
      <c r="AC3" s="3">
        <f t="shared" ref="AC3:AC66" si="12">$E3+21</f>
        <v>148</v>
      </c>
      <c r="AD3" s="10">
        <f>ROUND($J3*1.637*1.75*2.1*2.3*2.6*3.2*4.2*2.4*2.5*2.8*1.25,0)</f>
        <v>51784042014432</v>
      </c>
      <c r="AE3" s="5">
        <f t="shared" ref="AE3:AE66" si="13">$E3+24</f>
        <v>151</v>
      </c>
      <c r="AF3" s="9">
        <f>ROUND($J3*1.637*1.75*2.1*2.3*2.6*3.2*4.2*2.4*2.5*2.8*3.2*1.25,0)</f>
        <v>165708934446182</v>
      </c>
      <c r="AG3" s="3">
        <f t="shared" ref="AG3:AG66" si="14">$E3+27</f>
        <v>154</v>
      </c>
      <c r="AH3" s="10">
        <f>ROUND($J3*1.637*1.75*2.1*2.3*2.6*3.2*4.2*2.4*2.5*2.8*3.2*3.8*1.25,0)</f>
        <v>629693950895493</v>
      </c>
    </row>
    <row r="4" spans="1:34" x14ac:dyDescent="0.3">
      <c r="A4" s="2">
        <v>31</v>
      </c>
      <c r="B4" s="2" t="s">
        <v>28</v>
      </c>
      <c r="C4" s="2" t="s">
        <v>24</v>
      </c>
      <c r="D4" s="2" t="s">
        <v>29</v>
      </c>
      <c r="E4" s="2">
        <v>127</v>
      </c>
      <c r="F4" s="2" t="s">
        <v>30</v>
      </c>
      <c r="G4" s="2" t="s">
        <v>31</v>
      </c>
      <c r="H4" s="2">
        <v>34</v>
      </c>
      <c r="I4" s="3">
        <v>127</v>
      </c>
      <c r="J4" s="4">
        <v>5820000000</v>
      </c>
      <c r="K4" s="5">
        <f t="shared" si="0"/>
        <v>128</v>
      </c>
      <c r="L4" s="9">
        <f t="shared" si="1"/>
        <v>9527340000</v>
      </c>
      <c r="M4" s="3">
        <f t="shared" si="2"/>
        <v>129</v>
      </c>
      <c r="N4" s="10">
        <f t="shared" si="3"/>
        <v>16672845000</v>
      </c>
      <c r="O4" s="5">
        <f t="shared" si="4"/>
        <v>131</v>
      </c>
      <c r="P4" s="9">
        <f t="shared" si="5"/>
        <v>35012974500</v>
      </c>
      <c r="Q4" s="3">
        <f t="shared" si="6"/>
        <v>133</v>
      </c>
      <c r="R4" s="10">
        <f>ROUND($J4*1.637*1.75*2.1*2.3*1.25,0)</f>
        <v>100662301688</v>
      </c>
      <c r="S4" s="5">
        <f t="shared" si="7"/>
        <v>135</v>
      </c>
      <c r="T4" s="9">
        <f>ROUND($J4*1.637*1.75*2.1*2.3*2.6*1.25,0)</f>
        <v>261721984388</v>
      </c>
      <c r="U4" s="3">
        <f t="shared" si="8"/>
        <v>138</v>
      </c>
      <c r="V4" s="10">
        <f>ROUND($J4*1.637*1.75*2.1*2.3*2.6*3.2*1.25,0)</f>
        <v>837510350040</v>
      </c>
      <c r="W4" s="5">
        <f t="shared" si="9"/>
        <v>142</v>
      </c>
      <c r="X4" s="9">
        <f>ROUND($J4*1.637*1.75*2.1*2.3*2.6*3.2*4.2*1.25,0)</f>
        <v>3517543470168</v>
      </c>
      <c r="Y4" s="3">
        <f t="shared" si="10"/>
        <v>144</v>
      </c>
      <c r="Z4" s="10">
        <f>ROUND($J4*1.637*1.75*2.1*2.3*2.6*3.2*4.2*2.4*1.25,0)</f>
        <v>8442104328403</v>
      </c>
      <c r="AA4" s="5">
        <f t="shared" si="11"/>
        <v>146</v>
      </c>
      <c r="AB4" s="9">
        <f>ROUND($J4*1.637*1.75*2.1*2.3*2.6*3.2*4.2*2.4*2.5*1.25,0)</f>
        <v>21105260821008</v>
      </c>
      <c r="AC4" s="3">
        <f t="shared" si="12"/>
        <v>148</v>
      </c>
      <c r="AD4" s="10">
        <f>ROUND($J4*1.637*1.75*2.1*2.3*2.6*3.2*4.2*2.4*2.5*2.8*1.25,0)</f>
        <v>59094730298822</v>
      </c>
      <c r="AE4" s="5">
        <f t="shared" si="13"/>
        <v>151</v>
      </c>
      <c r="AF4" s="9">
        <f>ROUND($J4*1.637*1.75*2.1*2.3*2.6*3.2*4.2*2.4*2.5*2.8*3.2*1.25,0)</f>
        <v>189103136956232</v>
      </c>
      <c r="AG4" s="3">
        <f t="shared" si="14"/>
        <v>154</v>
      </c>
      <c r="AH4" s="10">
        <f>ROUND($J4*1.637*1.75*2.1*2.3*2.6*3.2*4.2*2.4*2.5*2.8*3.2*3.8*1.25,0)</f>
        <v>718591920433680</v>
      </c>
    </row>
    <row r="5" spans="1:34" x14ac:dyDescent="0.3">
      <c r="A5" s="2">
        <v>52</v>
      </c>
      <c r="B5" s="2" t="s">
        <v>32</v>
      </c>
      <c r="C5" s="2" t="s">
        <v>24</v>
      </c>
      <c r="D5" s="2" t="s">
        <v>33</v>
      </c>
      <c r="E5" s="2">
        <v>126</v>
      </c>
      <c r="F5" s="2" t="s">
        <v>34</v>
      </c>
      <c r="G5" s="2" t="s">
        <v>35</v>
      </c>
      <c r="H5" s="2">
        <v>33</v>
      </c>
      <c r="I5" s="3">
        <v>126</v>
      </c>
      <c r="J5" s="4">
        <v>16400000000</v>
      </c>
      <c r="K5" s="5">
        <f t="shared" si="0"/>
        <v>127</v>
      </c>
      <c r="L5" s="9">
        <f t="shared" si="1"/>
        <v>26846800000</v>
      </c>
      <c r="M5" s="3">
        <f t="shared" si="2"/>
        <v>128</v>
      </c>
      <c r="N5" s="10">
        <f t="shared" si="3"/>
        <v>46981900000</v>
      </c>
      <c r="O5" s="5">
        <f t="shared" si="4"/>
        <v>130</v>
      </c>
      <c r="P5" s="9">
        <f t="shared" si="5"/>
        <v>98661990000</v>
      </c>
      <c r="Q5" s="3">
        <f t="shared" si="6"/>
        <v>132</v>
      </c>
      <c r="R5" s="10">
        <f>ROUND($J5*1.637*1.75*2.1*2.3*1.25,0)</f>
        <v>283653221250</v>
      </c>
      <c r="S5" s="5">
        <f t="shared" si="7"/>
        <v>134</v>
      </c>
      <c r="T5" s="9">
        <f>ROUND($J5*1.637*1.75*2.1*2.3*2.6*1.25,0)</f>
        <v>737498375250</v>
      </c>
      <c r="U5" s="3">
        <f t="shared" si="8"/>
        <v>137</v>
      </c>
      <c r="V5" s="10">
        <f>ROUND($J5*1.637*1.75*2.1*2.3*2.6*3.2*1.25,0)</f>
        <v>2359994800800</v>
      </c>
      <c r="W5" s="5">
        <f t="shared" si="9"/>
        <v>141</v>
      </c>
      <c r="X5" s="9">
        <f>ROUND($J5*1.637*1.75*2.1*2.3*2.6*3.2*4.2*1.25,0)</f>
        <v>9911978163360</v>
      </c>
      <c r="Y5" s="3">
        <f t="shared" si="10"/>
        <v>143</v>
      </c>
      <c r="Z5" s="10">
        <f>ROUND($J5*1.637*1.75*2.1*2.3*2.6*3.2*4.2*2.4*1.25,0)</f>
        <v>23788747592064</v>
      </c>
      <c r="AA5" s="5">
        <f t="shared" si="11"/>
        <v>145</v>
      </c>
      <c r="AB5" s="9">
        <f>ROUND($J5*1.637*1.75*2.1*2.3*2.6*3.2*4.2*2.4*2.5*1.25,0)</f>
        <v>59471868980160</v>
      </c>
      <c r="AC5" s="3">
        <f t="shared" si="12"/>
        <v>147</v>
      </c>
      <c r="AD5" s="10">
        <f>ROUND($J5*1.637*1.75*2.1*2.3*2.6*3.2*4.2*2.4*2.5*2.8*1.25,0)</f>
        <v>166521233144448</v>
      </c>
      <c r="AE5" s="5">
        <f t="shared" si="13"/>
        <v>150</v>
      </c>
      <c r="AF5" s="9">
        <f>ROUND($J5*1.637*1.75*2.1*2.3*2.6*3.2*4.2*2.4*2.5*2.8*3.2*1.25,0)</f>
        <v>532867946062234</v>
      </c>
      <c r="AG5" s="3">
        <f t="shared" si="14"/>
        <v>153</v>
      </c>
      <c r="AH5" s="10">
        <f>ROUND($J5*1.637*1.75*2.1*2.3*2.6*3.2*4.2*2.4*2.5*2.8*3.2*3.8*1.25,0)</f>
        <v>2024898195036490</v>
      </c>
    </row>
    <row r="6" spans="1:34" x14ac:dyDescent="0.3">
      <c r="A6" s="2">
        <v>53</v>
      </c>
      <c r="B6" s="2" t="s">
        <v>36</v>
      </c>
      <c r="C6" s="2" t="s">
        <v>24</v>
      </c>
      <c r="D6" s="2" t="s">
        <v>29</v>
      </c>
      <c r="E6" s="2">
        <v>126</v>
      </c>
      <c r="F6" s="2" t="s">
        <v>37</v>
      </c>
      <c r="G6" s="2" t="s">
        <v>38</v>
      </c>
      <c r="H6" s="2">
        <v>32</v>
      </c>
      <c r="I6" s="3">
        <v>126</v>
      </c>
      <c r="J6" s="4">
        <v>1968000000</v>
      </c>
      <c r="K6" s="5">
        <f t="shared" si="0"/>
        <v>127</v>
      </c>
      <c r="L6" s="9">
        <f t="shared" si="1"/>
        <v>3221616000</v>
      </c>
      <c r="M6" s="3">
        <f t="shared" si="2"/>
        <v>128</v>
      </c>
      <c r="N6" s="10">
        <f t="shared" si="3"/>
        <v>5637828000</v>
      </c>
      <c r="O6" s="5">
        <f t="shared" si="4"/>
        <v>130</v>
      </c>
      <c r="P6" s="9">
        <f t="shared" si="5"/>
        <v>11839438800</v>
      </c>
      <c r="Q6" s="3">
        <f t="shared" si="6"/>
        <v>132</v>
      </c>
      <c r="R6" s="10">
        <f>ROUND($J6*1.637*1.75*2.1*2.3*1,0)</f>
        <v>27230709240</v>
      </c>
      <c r="S6" s="5">
        <f t="shared" si="7"/>
        <v>134</v>
      </c>
      <c r="T6" s="9">
        <f>ROUND($J6*1.637*1.75*2.1*2.3*2.6*1,0)</f>
        <v>70799844024</v>
      </c>
      <c r="U6" s="3">
        <f t="shared" si="8"/>
        <v>137</v>
      </c>
      <c r="V6" s="10">
        <f>ROUND($J6*1.637*1.75*2.1*2.3*2.6*3.2*1,0)</f>
        <v>226559500877</v>
      </c>
      <c r="W6" s="5">
        <f t="shared" si="9"/>
        <v>141</v>
      </c>
      <c r="X6" s="9">
        <f>ROUND($J6*1.637*1.75*2.1*2.3*2.6*3.2*4.2*1,0)</f>
        <v>951549903683</v>
      </c>
      <c r="Y6" s="3">
        <f t="shared" si="10"/>
        <v>143</v>
      </c>
      <c r="Z6" s="10">
        <f>ROUND($J6*1.637*1.75*2.1*2.3*2.6*3.2*4.2*2.4*1,0)</f>
        <v>2283719768838</v>
      </c>
      <c r="AA6" s="5">
        <f t="shared" si="11"/>
        <v>145</v>
      </c>
      <c r="AB6" s="9">
        <f>ROUND($J6*1.637*1.75*2.1*2.3*2.6*3.2*4.2*2.4*2.5*1,0)</f>
        <v>5709299422095</v>
      </c>
      <c r="AC6" s="3">
        <f t="shared" si="12"/>
        <v>147</v>
      </c>
      <c r="AD6" s="10">
        <f>ROUND($J6*1.637*1.75*2.1*2.3*2.6*3.2*4.2*2.4*2.5*2.8*1,0)</f>
        <v>15986038381867</v>
      </c>
      <c r="AE6" s="5">
        <f t="shared" si="13"/>
        <v>150</v>
      </c>
      <c r="AF6" s="9">
        <f>ROUND($J6*1.637*1.75*2.1*2.3*2.6*3.2*4.2*2.4*2.5*2.8*3.2*1,0)</f>
        <v>51155322821974</v>
      </c>
      <c r="AG6" s="3">
        <f t="shared" si="14"/>
        <v>153</v>
      </c>
      <c r="AH6" s="10">
        <f>ROUND($J6*1.637*1.75*2.1*2.3*2.6*3.2*4.2*2.4*2.5*2.8*3.2*3.8*1,0)</f>
        <v>194390226723503</v>
      </c>
    </row>
    <row r="7" spans="1:34" x14ac:dyDescent="0.3">
      <c r="A7" s="2">
        <v>51</v>
      </c>
      <c r="B7" s="2" t="s">
        <v>39</v>
      </c>
      <c r="C7" s="2" t="s">
        <v>24</v>
      </c>
      <c r="D7" s="2" t="s">
        <v>40</v>
      </c>
      <c r="E7" s="2">
        <v>126</v>
      </c>
      <c r="F7" s="2" t="s">
        <v>34</v>
      </c>
      <c r="G7" s="2" t="s">
        <v>35</v>
      </c>
      <c r="H7" s="2">
        <v>34</v>
      </c>
      <c r="I7" s="3">
        <v>126</v>
      </c>
      <c r="J7" s="4">
        <v>3859600000</v>
      </c>
      <c r="K7" s="5">
        <f t="shared" si="0"/>
        <v>127</v>
      </c>
      <c r="L7" s="9">
        <f t="shared" si="1"/>
        <v>6318165200</v>
      </c>
      <c r="M7" s="3">
        <f t="shared" si="2"/>
        <v>128</v>
      </c>
      <c r="N7" s="10">
        <f t="shared" si="3"/>
        <v>11056789100</v>
      </c>
      <c r="O7" s="5">
        <f t="shared" si="4"/>
        <v>130</v>
      </c>
      <c r="P7" s="9">
        <f t="shared" si="5"/>
        <v>23219257110</v>
      </c>
      <c r="Q7" s="3">
        <f t="shared" si="6"/>
        <v>132</v>
      </c>
      <c r="R7" s="10">
        <f>ROUND($J7*1.637*1.75*2.1*2.3*1.25,0)</f>
        <v>66755364191</v>
      </c>
      <c r="S7" s="5">
        <f t="shared" si="7"/>
        <v>134</v>
      </c>
      <c r="T7" s="9">
        <f>ROUND($J7*1.637*1.75*2.1*2.3*2.6*1.25,0)</f>
        <v>173563946897</v>
      </c>
      <c r="U7" s="3">
        <f t="shared" si="8"/>
        <v>137</v>
      </c>
      <c r="V7" s="10">
        <f>ROUND($J7*1.637*1.75*2.1*2.3*2.6*3.2*1.25,0)</f>
        <v>555404630071</v>
      </c>
      <c r="W7" s="5">
        <f t="shared" si="9"/>
        <v>141</v>
      </c>
      <c r="X7" s="9">
        <f>ROUND($J7*1.637*1.75*2.1*2.3*2.6*3.2*4.2*1.25,0)</f>
        <v>2332699446299</v>
      </c>
      <c r="Y7" s="3">
        <f t="shared" si="10"/>
        <v>143</v>
      </c>
      <c r="Z7" s="10">
        <f>ROUND($J7*1.637*1.75*2.1*2.3*2.6*3.2*4.2*2.4*1.25,0)</f>
        <v>5598478671118</v>
      </c>
      <c r="AA7" s="5">
        <f t="shared" si="11"/>
        <v>145</v>
      </c>
      <c r="AB7" s="9">
        <f>ROUND($J7*1.637*1.75*2.1*2.3*2.6*3.2*4.2*2.4*2.5*1.25,0)</f>
        <v>13996196677794</v>
      </c>
      <c r="AC7" s="3">
        <f t="shared" si="12"/>
        <v>147</v>
      </c>
      <c r="AD7" s="10">
        <f>ROUND($J7*1.637*1.75*2.1*2.3*2.6*3.2*4.2*2.4*2.5*2.8*1.25,0)</f>
        <v>39189350697824</v>
      </c>
      <c r="AE7" s="5">
        <f t="shared" si="13"/>
        <v>150</v>
      </c>
      <c r="AF7" s="9">
        <f>ROUND($J7*1.637*1.75*2.1*2.3*2.6*3.2*4.2*2.4*2.5*2.8*3.2*1.25,0)</f>
        <v>125405922233036</v>
      </c>
      <c r="AG7" s="3">
        <f t="shared" si="14"/>
        <v>153</v>
      </c>
      <c r="AH7" s="10">
        <f>ROUND($J7*1.637*1.75*2.1*2.3*2.6*3.2*4.2*2.4*2.5*2.8*3.2*3.8*1.25,0)</f>
        <v>476542504485538</v>
      </c>
    </row>
    <row r="8" spans="1:34" x14ac:dyDescent="0.3">
      <c r="A8" s="2">
        <v>32</v>
      </c>
      <c r="B8" s="2" t="s">
        <v>41</v>
      </c>
      <c r="C8" s="2" t="s">
        <v>24</v>
      </c>
      <c r="D8" s="2" t="s">
        <v>29</v>
      </c>
      <c r="E8" s="2">
        <v>126</v>
      </c>
      <c r="F8" s="2" t="s">
        <v>42</v>
      </c>
      <c r="G8" s="2" t="s">
        <v>43</v>
      </c>
      <c r="H8" s="2">
        <v>33</v>
      </c>
      <c r="I8" s="3">
        <v>126</v>
      </c>
      <c r="J8" s="4">
        <v>2760000000</v>
      </c>
      <c r="K8" s="5">
        <f t="shared" si="0"/>
        <v>127</v>
      </c>
      <c r="L8" s="9">
        <f t="shared" si="1"/>
        <v>4518120000</v>
      </c>
      <c r="M8" s="3">
        <f t="shared" si="2"/>
        <v>128</v>
      </c>
      <c r="N8" s="10">
        <f t="shared" si="3"/>
        <v>7906710000</v>
      </c>
      <c r="O8" s="5">
        <f t="shared" si="4"/>
        <v>130</v>
      </c>
      <c r="P8" s="9">
        <f t="shared" si="5"/>
        <v>16604091000</v>
      </c>
      <c r="Q8" s="3">
        <f t="shared" si="6"/>
        <v>132</v>
      </c>
      <c r="R8" s="10">
        <f>ROUND($J8*1.637*1.75*2.1*2.3*1.25,0)</f>
        <v>47736761625</v>
      </c>
      <c r="S8" s="5">
        <f t="shared" si="7"/>
        <v>134</v>
      </c>
      <c r="T8" s="9">
        <f>ROUND($J8*1.637*1.75*2.1*2.3*2.6*1.25,0)</f>
        <v>124115580225</v>
      </c>
      <c r="U8" s="3">
        <f t="shared" si="8"/>
        <v>137</v>
      </c>
      <c r="V8" s="10">
        <f>ROUND($J8*1.637*1.75*2.1*2.3*2.6*3.2*1.25,0)</f>
        <v>397169856720</v>
      </c>
      <c r="W8" s="5">
        <f t="shared" si="9"/>
        <v>141</v>
      </c>
      <c r="X8" s="9">
        <f>ROUND($J8*1.637*1.75*2.1*2.3*2.6*3.2*4.2*1.25,0)</f>
        <v>1668113398224</v>
      </c>
      <c r="Y8" s="3">
        <f t="shared" si="10"/>
        <v>143</v>
      </c>
      <c r="Z8" s="10">
        <f>ROUND($J8*1.637*1.75*2.1*2.3*2.6*3.2*4.2*2.4*1.25,0)</f>
        <v>4003472155738</v>
      </c>
      <c r="AA8" s="5">
        <f t="shared" si="11"/>
        <v>145</v>
      </c>
      <c r="AB8" s="9">
        <f>ROUND($J8*1.637*1.75*2.1*2.3*2.6*3.2*4.2*2.4*2.5*1.25,0)</f>
        <v>10008680389344</v>
      </c>
      <c r="AC8" s="3">
        <f t="shared" si="12"/>
        <v>147</v>
      </c>
      <c r="AD8" s="10">
        <f>ROUND($J8*1.637*1.75*2.1*2.3*2.6*3.2*4.2*2.4*2.5*2.8*1.25,0)</f>
        <v>28024305090163</v>
      </c>
      <c r="AE8" s="5">
        <f t="shared" si="13"/>
        <v>150</v>
      </c>
      <c r="AF8" s="9">
        <f>ROUND($J8*1.637*1.75*2.1*2.3*2.6*3.2*4.2*2.4*2.5*2.8*3.2*1.25,0)</f>
        <v>89677776288522</v>
      </c>
      <c r="AG8" s="3">
        <f t="shared" si="14"/>
        <v>153</v>
      </c>
      <c r="AH8" s="10">
        <f>ROUND($J8*1.637*1.75*2.1*2.3*2.6*3.2*4.2*2.4*2.5*2.8*3.2*3.8*1.25,0)</f>
        <v>340775549896384</v>
      </c>
    </row>
    <row r="9" spans="1:34" x14ac:dyDescent="0.3">
      <c r="A9" s="2">
        <v>236</v>
      </c>
      <c r="B9" s="2" t="s">
        <v>44</v>
      </c>
      <c r="C9" s="2" t="s">
        <v>24</v>
      </c>
      <c r="D9" s="2" t="s">
        <v>45</v>
      </c>
      <c r="E9" s="2">
        <v>126</v>
      </c>
      <c r="F9" s="2" t="s">
        <v>34</v>
      </c>
      <c r="G9" s="2" t="s">
        <v>35</v>
      </c>
      <c r="H9" s="2">
        <v>33</v>
      </c>
      <c r="I9" s="3">
        <v>126</v>
      </c>
      <c r="J9" s="4">
        <v>6430000000</v>
      </c>
      <c r="K9" s="5">
        <f t="shared" si="0"/>
        <v>127</v>
      </c>
      <c r="L9" s="9">
        <f t="shared" si="1"/>
        <v>10525910000</v>
      </c>
      <c r="M9" s="3">
        <f t="shared" si="2"/>
        <v>128</v>
      </c>
      <c r="N9" s="10">
        <f t="shared" si="3"/>
        <v>18420342500</v>
      </c>
      <c r="O9" s="5">
        <f t="shared" si="4"/>
        <v>130</v>
      </c>
      <c r="P9" s="9">
        <f t="shared" si="5"/>
        <v>38682719250</v>
      </c>
      <c r="Q9" s="3">
        <f t="shared" si="6"/>
        <v>132</v>
      </c>
      <c r="R9" s="10">
        <f>ROUND($J9*1.637*1.75*2.1*2.3*1.25,0)</f>
        <v>111212817844</v>
      </c>
      <c r="S9" s="5">
        <f t="shared" si="7"/>
        <v>134</v>
      </c>
      <c r="T9" s="9">
        <f>ROUND($J9*1.637*1.75*2.1*2.3*2.6*1.25,0)</f>
        <v>289153326394</v>
      </c>
      <c r="U9" s="3">
        <f t="shared" si="8"/>
        <v>137</v>
      </c>
      <c r="V9" s="10">
        <f>ROUND($J9*1.637*1.75*2.1*2.3*2.6*3.2*1.25,0)</f>
        <v>925290644460</v>
      </c>
      <c r="W9" s="5">
        <f t="shared" si="9"/>
        <v>141</v>
      </c>
      <c r="X9" s="9">
        <f>ROUND($J9*1.637*1.75*2.1*2.3*2.6*3.2*4.2*1.25,0)</f>
        <v>3886220706732</v>
      </c>
      <c r="Y9" s="3">
        <f t="shared" si="10"/>
        <v>143</v>
      </c>
      <c r="Z9" s="10">
        <f>ROUND($J9*1.637*1.75*2.1*2.3*2.6*3.2*4.2*2.4*1.25,0)</f>
        <v>9326929696157</v>
      </c>
      <c r="AA9" s="5">
        <f t="shared" si="11"/>
        <v>145</v>
      </c>
      <c r="AB9" s="9">
        <f>ROUND($J9*1.637*1.75*2.1*2.3*2.6*3.2*4.2*2.4*2.5*1.25,0)</f>
        <v>23317324240392</v>
      </c>
      <c r="AC9" s="3">
        <f t="shared" si="12"/>
        <v>147</v>
      </c>
      <c r="AD9" s="10">
        <f>ROUND($J9*1.637*1.75*2.1*2.3*2.6*3.2*4.2*2.4*2.5*2.8*1.25,0)</f>
        <v>65288507873098</v>
      </c>
      <c r="AE9" s="5">
        <f t="shared" si="13"/>
        <v>150</v>
      </c>
      <c r="AF9" s="9">
        <f>ROUND($J9*1.637*1.75*2.1*2.3*2.6*3.2*4.2*2.4*2.5*2.8*3.2*1.25,0)</f>
        <v>208923225193912</v>
      </c>
      <c r="AG9" s="3">
        <f t="shared" si="14"/>
        <v>153</v>
      </c>
      <c r="AH9" s="10">
        <f>ROUND($J9*1.637*1.75*2.1*2.3*2.6*3.2*4.2*2.4*2.5*2.8*3.2*3.8*1.25,0)</f>
        <v>793908255736867</v>
      </c>
    </row>
    <row r="10" spans="1:34" x14ac:dyDescent="0.3">
      <c r="A10" s="2">
        <v>46</v>
      </c>
      <c r="B10" s="2" t="s">
        <v>46</v>
      </c>
      <c r="C10" s="2" t="s">
        <v>24</v>
      </c>
      <c r="D10" s="2" t="s">
        <v>47</v>
      </c>
      <c r="E10" s="2">
        <v>126</v>
      </c>
      <c r="F10" s="2" t="s">
        <v>48</v>
      </c>
      <c r="G10" s="2" t="s">
        <v>49</v>
      </c>
      <c r="H10" s="2">
        <v>29</v>
      </c>
      <c r="I10" s="3">
        <v>126</v>
      </c>
      <c r="J10" s="4">
        <v>844800000</v>
      </c>
      <c r="K10" s="5">
        <f t="shared" si="0"/>
        <v>127</v>
      </c>
      <c r="L10" s="9">
        <f>ROUND($J10*1.637*0.8,0)</f>
        <v>1106350080</v>
      </c>
      <c r="M10" s="3">
        <f t="shared" si="2"/>
        <v>128</v>
      </c>
      <c r="N10" s="10">
        <f>ROUND($J10*1.637*1.75*0.8,0)</f>
        <v>1936112640</v>
      </c>
      <c r="O10" s="5">
        <f t="shared" si="4"/>
        <v>130</v>
      </c>
      <c r="P10" s="9">
        <f>ROUND($J10*1.637*1.75*2.1*0.8,0)</f>
        <v>4065836544</v>
      </c>
      <c r="Q10" s="3">
        <f t="shared" si="6"/>
        <v>132</v>
      </c>
      <c r="R10" s="10">
        <f>ROUND($J10*1.637*1.75*2.1*2.3*0.542035092435954,0)</f>
        <v>6336000000</v>
      </c>
      <c r="S10" s="5">
        <f t="shared" si="7"/>
        <v>134</v>
      </c>
      <c r="T10" s="9">
        <f>ROUND($J10*1.637*1.75*2.1*2.3*2.6*0.544690061623969,0)</f>
        <v>16554290164</v>
      </c>
      <c r="U10" s="3">
        <f t="shared" si="8"/>
        <v>137</v>
      </c>
      <c r="V10" s="10">
        <f>ROUND($J10*1.637*1.75*2.1*2.3*2.6*3.2*0.547345030811984,0)</f>
        <v>53231937049</v>
      </c>
      <c r="W10" s="5">
        <f t="shared" si="9"/>
        <v>141</v>
      </c>
      <c r="X10" s="9">
        <f>ROUND($J10*1.637*1.75*2.1*2.3*2.6*3.2*4.2*0.55,0)</f>
        <v>224658611406</v>
      </c>
      <c r="Y10" s="3">
        <f t="shared" si="10"/>
        <v>143</v>
      </c>
      <c r="Z10" s="10">
        <f>ROUND($J10*1.637*1.75*2.1*2.3*2.6*3.2*4.2*2.4*0.55,0)</f>
        <v>539180667374</v>
      </c>
      <c r="AA10" s="5">
        <f t="shared" si="11"/>
        <v>145</v>
      </c>
      <c r="AB10" s="9">
        <f>ROUND($J10*1.637*1.75*2.1*2.3*2.6*3.2*4.2*2.4*2.5*0.55,0)</f>
        <v>1347951668436</v>
      </c>
      <c r="AC10" s="3">
        <f t="shared" si="12"/>
        <v>147</v>
      </c>
      <c r="AD10" s="10">
        <f>ROUND($J10*1.637*1.75*2.1*2.3*2.6*3.2*4.2*2.4*2.5*2.8*0.55,0)</f>
        <v>3774264671621</v>
      </c>
      <c r="AE10" s="5">
        <f t="shared" si="13"/>
        <v>150</v>
      </c>
      <c r="AF10" s="9">
        <f>ROUND($J10*1.637*1.75*2.1*2.3*2.6*3.2*4.2*2.4*2.5*2.8*3.2*0.55,0)</f>
        <v>12077646949188</v>
      </c>
      <c r="AG10" s="3">
        <f t="shared" si="14"/>
        <v>153</v>
      </c>
      <c r="AH10" s="10">
        <f>ROUND($J10*1.637*1.75*2.1*2.3*2.6*3.2*4.2*2.4*2.5*2.8*3.2*3.8*0.55,0)</f>
        <v>45895058406915</v>
      </c>
    </row>
    <row r="11" spans="1:34" x14ac:dyDescent="0.3">
      <c r="A11" s="2">
        <v>50</v>
      </c>
      <c r="B11" s="2" t="s">
        <v>50</v>
      </c>
      <c r="C11" s="2" t="s">
        <v>24</v>
      </c>
      <c r="D11" s="2" t="s">
        <v>40</v>
      </c>
      <c r="E11" s="2">
        <v>126</v>
      </c>
      <c r="F11" s="2" t="s">
        <v>42</v>
      </c>
      <c r="G11" s="2" t="s">
        <v>51</v>
      </c>
      <c r="H11" s="2">
        <v>34</v>
      </c>
      <c r="I11" s="3">
        <v>126</v>
      </c>
      <c r="J11" s="4">
        <v>6500000000</v>
      </c>
      <c r="K11" s="5">
        <f t="shared" si="0"/>
        <v>127</v>
      </c>
      <c r="L11" s="9">
        <f t="shared" ref="L11:L17" si="15">ROUND($J11*1.637*1,0)</f>
        <v>10640500000</v>
      </c>
      <c r="M11" s="3">
        <f t="shared" si="2"/>
        <v>128</v>
      </c>
      <c r="N11" s="10">
        <f t="shared" ref="N11:N17" si="16">ROUND($J11*1.637*1.75*1,0)</f>
        <v>18620875000</v>
      </c>
      <c r="O11" s="5">
        <f t="shared" si="4"/>
        <v>130</v>
      </c>
      <c r="P11" s="9">
        <f t="shared" ref="P11:P17" si="17">ROUND($J11*1.637*1.75*2.1*1,0)</f>
        <v>39103837500</v>
      </c>
      <c r="Q11" s="3">
        <f t="shared" si="6"/>
        <v>132</v>
      </c>
      <c r="R11" s="10">
        <f>ROUND($J11*1.637*1.75*2.1*2.3*1.25,0)</f>
        <v>112423532813</v>
      </c>
      <c r="S11" s="5">
        <f t="shared" si="7"/>
        <v>134</v>
      </c>
      <c r="T11" s="9">
        <f>ROUND($J11*1.637*1.75*2.1*2.3*2.6*1.25,0)</f>
        <v>292301185313</v>
      </c>
      <c r="U11" s="3">
        <f t="shared" si="8"/>
        <v>137</v>
      </c>
      <c r="V11" s="10">
        <f>ROUND($J11*1.637*1.75*2.1*2.3*2.6*3.2*1.25,0)</f>
        <v>935363793000</v>
      </c>
      <c r="W11" s="5">
        <f t="shared" si="9"/>
        <v>141</v>
      </c>
      <c r="X11" s="9">
        <f>ROUND($J11*1.637*1.75*2.1*2.3*2.6*3.2*4.2*1.25,0)</f>
        <v>3928527930600</v>
      </c>
      <c r="Y11" s="3">
        <f t="shared" si="10"/>
        <v>143</v>
      </c>
      <c r="Z11" s="10">
        <f>ROUND($J11*1.637*1.75*2.1*2.3*2.6*3.2*4.2*2.4*1.25,0)</f>
        <v>9428467033440</v>
      </c>
      <c r="AA11" s="5">
        <f t="shared" si="11"/>
        <v>145</v>
      </c>
      <c r="AB11" s="9">
        <f>ROUND($J11*1.637*1.75*2.1*2.3*2.6*3.2*4.2*2.4*2.5*1.25,0)</f>
        <v>23571167583600</v>
      </c>
      <c r="AC11" s="3">
        <f t="shared" si="12"/>
        <v>147</v>
      </c>
      <c r="AD11" s="10">
        <f>ROUND($J11*1.637*1.75*2.1*2.3*2.6*3.2*4.2*2.4*2.5*2.8*1.25,0)</f>
        <v>65999269234080</v>
      </c>
      <c r="AE11" s="5">
        <f t="shared" si="13"/>
        <v>150</v>
      </c>
      <c r="AF11" s="9">
        <f>ROUND($J11*1.637*1.75*2.1*2.3*2.6*3.2*4.2*2.4*2.5*2.8*3.2*1.25,0)</f>
        <v>211197661549056</v>
      </c>
      <c r="AG11" s="3">
        <f t="shared" si="14"/>
        <v>153</v>
      </c>
      <c r="AH11" s="10">
        <f>ROUND($J11*1.637*1.75*2.1*2.3*2.6*3.2*4.2*2.4*2.5*2.8*3.2*3.8*1.25,0)</f>
        <v>802551113886413</v>
      </c>
    </row>
    <row r="12" spans="1:34" x14ac:dyDescent="0.3">
      <c r="A12" s="2">
        <v>1</v>
      </c>
      <c r="B12" s="2" t="s">
        <v>52</v>
      </c>
      <c r="C12" s="2" t="s">
        <v>24</v>
      </c>
      <c r="D12" s="2" t="s">
        <v>40</v>
      </c>
      <c r="E12" s="2">
        <v>126</v>
      </c>
      <c r="F12" s="2" t="s">
        <v>30</v>
      </c>
      <c r="G12" s="2" t="s">
        <v>51</v>
      </c>
      <c r="H12" s="2">
        <v>34</v>
      </c>
      <c r="I12" s="3">
        <v>126</v>
      </c>
      <c r="J12" s="4">
        <v>25600000000</v>
      </c>
      <c r="K12" s="5">
        <f t="shared" si="0"/>
        <v>127</v>
      </c>
      <c r="L12" s="9">
        <f t="shared" si="15"/>
        <v>41907200000</v>
      </c>
      <c r="M12" s="3">
        <f t="shared" si="2"/>
        <v>128</v>
      </c>
      <c r="N12" s="10">
        <f t="shared" si="16"/>
        <v>73337600000</v>
      </c>
      <c r="O12" s="5">
        <f t="shared" si="4"/>
        <v>130</v>
      </c>
      <c r="P12" s="9">
        <f t="shared" si="17"/>
        <v>154008960000</v>
      </c>
      <c r="Q12" s="3">
        <f t="shared" si="6"/>
        <v>132</v>
      </c>
      <c r="R12" s="10">
        <f>ROUND($J12*1.637*1.75*2.1*2.3*1.25,0)</f>
        <v>442775760000</v>
      </c>
      <c r="S12" s="5">
        <f t="shared" si="7"/>
        <v>134</v>
      </c>
      <c r="T12" s="9">
        <f>ROUND($J12*1.637*1.75*2.1*2.3*2.6*1.25,0)</f>
        <v>1151216976000</v>
      </c>
      <c r="U12" s="3">
        <f t="shared" si="8"/>
        <v>137</v>
      </c>
      <c r="V12" s="10">
        <f>ROUND($J12*1.637*1.75*2.1*2.3*2.6*3.2*1.25,0)</f>
        <v>3683894323200</v>
      </c>
      <c r="W12" s="5">
        <f t="shared" si="9"/>
        <v>141</v>
      </c>
      <c r="X12" s="9">
        <f>ROUND($J12*1.637*1.75*2.1*2.3*2.6*3.2*4.2*1.25,0)</f>
        <v>15472356157440</v>
      </c>
      <c r="Y12" s="3">
        <f t="shared" si="10"/>
        <v>143</v>
      </c>
      <c r="Z12" s="10">
        <f>ROUND($J12*1.637*1.75*2.1*2.3*2.6*3.2*4.2*2.4*1.25,0)</f>
        <v>37133654777856</v>
      </c>
      <c r="AA12" s="5">
        <f t="shared" si="11"/>
        <v>145</v>
      </c>
      <c r="AB12" s="9">
        <f>ROUND($J12*1.637*1.75*2.1*2.3*2.6*3.2*4.2*2.4*2.5*1.25,0)</f>
        <v>92834136944640</v>
      </c>
      <c r="AC12" s="3">
        <f t="shared" si="12"/>
        <v>147</v>
      </c>
      <c r="AD12" s="10">
        <f>ROUND($J12*1.637*1.75*2.1*2.3*2.6*3.2*4.2*2.4*2.5*2.8*1.25,0)</f>
        <v>259935583444992</v>
      </c>
      <c r="AE12" s="5">
        <f t="shared" si="13"/>
        <v>150</v>
      </c>
      <c r="AF12" s="9">
        <f>ROUND($J12*1.637*1.75*2.1*2.3*2.6*3.2*4.2*2.4*2.5*2.8*3.2*1.25,0)</f>
        <v>831793867023974</v>
      </c>
      <c r="AG12" s="3">
        <f t="shared" si="14"/>
        <v>153</v>
      </c>
      <c r="AH12" s="10">
        <f>ROUND($J12*1.637*1.75*2.1*2.3*2.6*3.2*4.2*2.4*2.5*2.8*3.2*3.8*1.25,0)</f>
        <v>3160816694691100</v>
      </c>
    </row>
    <row r="13" spans="1:34" x14ac:dyDescent="0.3">
      <c r="A13" s="2">
        <v>3</v>
      </c>
      <c r="B13" s="2" t="s">
        <v>53</v>
      </c>
      <c r="C13" s="2" t="s">
        <v>24</v>
      </c>
      <c r="D13" s="2" t="s">
        <v>25</v>
      </c>
      <c r="E13" s="2">
        <v>126</v>
      </c>
      <c r="F13" s="2" t="s">
        <v>54</v>
      </c>
      <c r="G13" s="2" t="s">
        <v>38</v>
      </c>
      <c r="H13" s="2">
        <v>34</v>
      </c>
      <c r="I13" s="3">
        <v>126</v>
      </c>
      <c r="J13" s="4">
        <v>21700000000</v>
      </c>
      <c r="K13" s="5">
        <f t="shared" si="0"/>
        <v>127</v>
      </c>
      <c r="L13" s="9">
        <f t="shared" si="15"/>
        <v>35522900000</v>
      </c>
      <c r="M13" s="3">
        <f t="shared" si="2"/>
        <v>128</v>
      </c>
      <c r="N13" s="10">
        <f t="shared" si="16"/>
        <v>62165075000</v>
      </c>
      <c r="O13" s="5">
        <f t="shared" si="4"/>
        <v>130</v>
      </c>
      <c r="P13" s="9">
        <f t="shared" si="17"/>
        <v>130546657500</v>
      </c>
      <c r="Q13" s="3">
        <f t="shared" si="6"/>
        <v>132</v>
      </c>
      <c r="R13" s="10">
        <f>ROUND($J13*1.637*1.75*2.1*2.3*1.25,0)</f>
        <v>375321640313</v>
      </c>
      <c r="S13" s="5">
        <f t="shared" si="7"/>
        <v>134</v>
      </c>
      <c r="T13" s="9">
        <f>ROUND($J13*1.637*1.75*2.1*2.3*2.6*1.25,0)</f>
        <v>975836264813</v>
      </c>
      <c r="U13" s="3">
        <f t="shared" si="8"/>
        <v>137</v>
      </c>
      <c r="V13" s="10">
        <f>ROUND($J13*1.637*1.75*2.1*2.3*2.6*3.2*1.25,0)</f>
        <v>3122676047400</v>
      </c>
      <c r="W13" s="5">
        <f t="shared" si="9"/>
        <v>141</v>
      </c>
      <c r="X13" s="9">
        <f>ROUND($J13*1.637*1.75*2.1*2.3*2.6*3.2*4.2*1.25,0)</f>
        <v>13115239399080</v>
      </c>
      <c r="Y13" s="3">
        <f t="shared" si="10"/>
        <v>143</v>
      </c>
      <c r="Z13" s="10">
        <f>ROUND($J13*1.637*1.75*2.1*2.3*2.6*3.2*4.2*2.4*1.25,0)</f>
        <v>31476574557792</v>
      </c>
      <c r="AA13" s="5">
        <f t="shared" si="11"/>
        <v>145</v>
      </c>
      <c r="AB13" s="9">
        <f>ROUND($J13*1.637*1.75*2.1*2.3*2.6*3.2*4.2*2.4*2.5*1.25,0)</f>
        <v>78691436394480</v>
      </c>
      <c r="AC13" s="3">
        <f t="shared" si="12"/>
        <v>147</v>
      </c>
      <c r="AD13" s="10">
        <f>ROUND($J13*1.637*1.75*2.1*2.3*2.6*3.2*4.2*2.4*2.5*2.8*1.25,0)</f>
        <v>220336021904544</v>
      </c>
      <c r="AE13" s="5">
        <f t="shared" si="13"/>
        <v>150</v>
      </c>
      <c r="AF13" s="9">
        <f>ROUND($J13*1.637*1.75*2.1*2.3*2.6*3.2*4.2*2.4*2.5*2.8*3.2*1.25,0)</f>
        <v>705075270094541</v>
      </c>
      <c r="AG13" s="3">
        <f t="shared" si="14"/>
        <v>153</v>
      </c>
      <c r="AH13" s="10">
        <f>ROUND($J13*1.637*1.75*2.1*2.3*2.6*3.2*4.2*2.4*2.5*2.8*3.2*3.8*1.25,0)</f>
        <v>2679286026359250</v>
      </c>
    </row>
    <row r="14" spans="1:34" x14ac:dyDescent="0.3">
      <c r="A14" s="2">
        <v>58</v>
      </c>
      <c r="B14" s="2" t="s">
        <v>55</v>
      </c>
      <c r="C14" s="2" t="s">
        <v>24</v>
      </c>
      <c r="D14" s="2" t="s">
        <v>25</v>
      </c>
      <c r="E14" s="2">
        <v>125</v>
      </c>
      <c r="F14" s="2" t="s">
        <v>56</v>
      </c>
      <c r="G14" s="2" t="s">
        <v>57</v>
      </c>
      <c r="H14" s="2">
        <v>32</v>
      </c>
      <c r="I14" s="3">
        <v>125</v>
      </c>
      <c r="J14" s="4">
        <v>3810000000</v>
      </c>
      <c r="K14" s="5">
        <f t="shared" si="0"/>
        <v>126</v>
      </c>
      <c r="L14" s="9">
        <f t="shared" si="15"/>
        <v>6236970000</v>
      </c>
      <c r="M14" s="3">
        <f t="shared" si="2"/>
        <v>127</v>
      </c>
      <c r="N14" s="10">
        <f t="shared" si="16"/>
        <v>10914697500</v>
      </c>
      <c r="O14" s="5">
        <f t="shared" si="4"/>
        <v>129</v>
      </c>
      <c r="P14" s="9">
        <f t="shared" si="17"/>
        <v>22920864750</v>
      </c>
      <c r="Q14" s="3">
        <f t="shared" si="6"/>
        <v>131</v>
      </c>
      <c r="R14" s="10">
        <f>ROUND($J14*1.637*1.75*2.1*2.3*1.25,0)</f>
        <v>65897486156</v>
      </c>
      <c r="S14" s="5">
        <f t="shared" si="7"/>
        <v>133</v>
      </c>
      <c r="T14" s="9">
        <f>ROUND($J14*1.637*1.75*2.1*2.3*2.6*1.25,0)</f>
        <v>171333464006</v>
      </c>
      <c r="U14" s="3">
        <f t="shared" si="8"/>
        <v>136</v>
      </c>
      <c r="V14" s="10">
        <f>ROUND($J14*1.637*1.75*2.1*2.3*2.6*3.2*1.25,0)</f>
        <v>548267084820</v>
      </c>
      <c r="W14" s="5">
        <f t="shared" si="9"/>
        <v>140</v>
      </c>
      <c r="X14" s="9">
        <f>ROUND($J14*1.637*1.75*2.1*2.3*2.6*3.2*4.2*1.25,0)</f>
        <v>2302721756244</v>
      </c>
      <c r="Y14" s="3">
        <f t="shared" si="10"/>
        <v>142</v>
      </c>
      <c r="Z14" s="10">
        <f>ROUND($J14*1.637*1.75*2.1*2.3*2.6*3.2*4.2*2.4*1.25,0)</f>
        <v>5526532214986</v>
      </c>
      <c r="AA14" s="5">
        <f t="shared" si="11"/>
        <v>144</v>
      </c>
      <c r="AB14" s="9">
        <f>ROUND($J14*1.637*1.75*2.1*2.3*2.6*3.2*4.2*2.4*2.5*1.25,0)</f>
        <v>13816330537464</v>
      </c>
      <c r="AC14" s="3">
        <f t="shared" si="12"/>
        <v>146</v>
      </c>
      <c r="AD14" s="10">
        <f>ROUND($J14*1.637*1.75*2.1*2.3*2.6*3.2*4.2*2.4*2.5*2.8*1.25,0)</f>
        <v>38685725504899</v>
      </c>
      <c r="AE14" s="5">
        <f t="shared" si="13"/>
        <v>149</v>
      </c>
      <c r="AF14" s="9">
        <f>ROUND($J14*1.637*1.75*2.1*2.3*2.6*3.2*4.2*2.4*2.5*2.8*3.2*1.25,0)</f>
        <v>123794321615677</v>
      </c>
      <c r="AG14" s="3">
        <f t="shared" si="14"/>
        <v>152</v>
      </c>
      <c r="AH14" s="10">
        <f>ROUND($J14*1.637*1.75*2.1*2.3*2.6*3.2*4.2*2.4*2.5*2.8*3.2*3.8*1.25,0)</f>
        <v>470418422139574</v>
      </c>
    </row>
    <row r="15" spans="1:34" x14ac:dyDescent="0.3">
      <c r="A15" s="2">
        <v>34</v>
      </c>
      <c r="B15" s="2" t="s">
        <v>58</v>
      </c>
      <c r="C15" s="2" t="s">
        <v>24</v>
      </c>
      <c r="D15" s="2" t="s">
        <v>40</v>
      </c>
      <c r="E15" s="2">
        <v>125</v>
      </c>
      <c r="F15" s="2" t="s">
        <v>59</v>
      </c>
      <c r="G15" s="2" t="s">
        <v>60</v>
      </c>
      <c r="H15" s="2">
        <v>33</v>
      </c>
      <c r="I15" s="3">
        <v>125</v>
      </c>
      <c r="J15" s="4">
        <v>1878000000</v>
      </c>
      <c r="K15" s="5">
        <f t="shared" si="0"/>
        <v>126</v>
      </c>
      <c r="L15" s="9">
        <f t="shared" si="15"/>
        <v>3074286000</v>
      </c>
      <c r="M15" s="3">
        <f t="shared" si="2"/>
        <v>127</v>
      </c>
      <c r="N15" s="10">
        <f t="shared" si="16"/>
        <v>5380000500</v>
      </c>
      <c r="O15" s="5">
        <f t="shared" si="4"/>
        <v>129</v>
      </c>
      <c r="P15" s="9">
        <f t="shared" si="17"/>
        <v>11298001050</v>
      </c>
      <c r="Q15" s="3">
        <f t="shared" si="6"/>
        <v>131</v>
      </c>
      <c r="R15" s="10">
        <f>ROUND($J15*1.637*1.75*2.1*2.3*1.25,0)</f>
        <v>32481753019</v>
      </c>
      <c r="S15" s="5">
        <f t="shared" si="7"/>
        <v>133</v>
      </c>
      <c r="T15" s="9">
        <f>ROUND($J15*1.637*1.75*2.1*2.3*2.6*1.25,0)</f>
        <v>84452557849</v>
      </c>
      <c r="U15" s="3">
        <f t="shared" si="8"/>
        <v>136</v>
      </c>
      <c r="V15" s="10">
        <f>ROUND($J15*1.637*1.75*2.1*2.3*2.6*3.2*1.25,0)</f>
        <v>270248185116</v>
      </c>
      <c r="W15" s="5">
        <f t="shared" si="9"/>
        <v>140</v>
      </c>
      <c r="X15" s="9">
        <f>ROUND($J15*1.637*1.75*2.1*2.3*2.6*3.2*4.2*1.25,0)</f>
        <v>1135042377487</v>
      </c>
      <c r="Y15" s="3">
        <f t="shared" si="10"/>
        <v>142</v>
      </c>
      <c r="Z15" s="10">
        <f>ROUND($J15*1.637*1.75*2.1*2.3*2.6*3.2*4.2*2.4*1.25,0)</f>
        <v>2724101705969</v>
      </c>
      <c r="AA15" s="5">
        <f t="shared" si="11"/>
        <v>144</v>
      </c>
      <c r="AB15" s="9">
        <f>ROUND($J15*1.637*1.75*2.1*2.3*2.6*3.2*4.2*2.4*2.5*1.25,0)</f>
        <v>6810254264923</v>
      </c>
      <c r="AC15" s="3">
        <f t="shared" si="12"/>
        <v>146</v>
      </c>
      <c r="AD15" s="10">
        <f>ROUND($J15*1.637*1.75*2.1*2.3*2.6*3.2*4.2*2.4*2.5*2.8*1.25,0)</f>
        <v>19068711941785</v>
      </c>
      <c r="AE15" s="5">
        <f t="shared" si="13"/>
        <v>149</v>
      </c>
      <c r="AF15" s="9">
        <f>ROUND($J15*1.637*1.75*2.1*2.3*2.6*3.2*4.2*2.4*2.5*2.8*3.2*1.25,0)</f>
        <v>61019878213712</v>
      </c>
      <c r="AG15" s="3">
        <f t="shared" si="14"/>
        <v>152</v>
      </c>
      <c r="AH15" s="10">
        <f>ROUND($J15*1.637*1.75*2.1*2.3*2.6*3.2*4.2*2.4*2.5*2.8*3.2*3.8*1.25,0)</f>
        <v>231875537212105</v>
      </c>
    </row>
    <row r="16" spans="1:34" x14ac:dyDescent="0.3">
      <c r="A16" s="2">
        <v>59</v>
      </c>
      <c r="B16" s="2" t="s">
        <v>61</v>
      </c>
      <c r="C16" s="2" t="s">
        <v>24</v>
      </c>
      <c r="D16" s="2" t="s">
        <v>33</v>
      </c>
      <c r="E16" s="2">
        <v>125</v>
      </c>
      <c r="F16" s="2" t="s">
        <v>62</v>
      </c>
      <c r="G16" s="2" t="s">
        <v>51</v>
      </c>
      <c r="H16" s="2">
        <v>32</v>
      </c>
      <c r="I16" s="3">
        <v>125</v>
      </c>
      <c r="J16" s="4">
        <v>460000000</v>
      </c>
      <c r="K16" s="5">
        <f t="shared" si="0"/>
        <v>126</v>
      </c>
      <c r="L16" s="9">
        <f t="shared" si="15"/>
        <v>753020000</v>
      </c>
      <c r="M16" s="3">
        <f t="shared" si="2"/>
        <v>127</v>
      </c>
      <c r="N16" s="10">
        <f t="shared" si="16"/>
        <v>1317785000</v>
      </c>
      <c r="O16" s="5">
        <f t="shared" si="4"/>
        <v>129</v>
      </c>
      <c r="P16" s="9">
        <f t="shared" si="17"/>
        <v>2767348500</v>
      </c>
      <c r="Q16" s="3">
        <f t="shared" si="6"/>
        <v>131</v>
      </c>
      <c r="R16" s="10">
        <f>ROUND($J16*1.637*1.75*2.1*2.3*1,0)</f>
        <v>6364901550</v>
      </c>
      <c r="S16" s="5">
        <f t="shared" si="7"/>
        <v>133</v>
      </c>
      <c r="T16" s="9">
        <f>ROUND($J16*1.637*1.75*2.1*2.3*2.6*1,0)</f>
        <v>16548744030</v>
      </c>
      <c r="U16" s="3">
        <f t="shared" si="8"/>
        <v>136</v>
      </c>
      <c r="V16" s="10">
        <f>ROUND($J16*1.637*1.75*2.1*2.3*2.6*3.2*1,0)</f>
        <v>52955980896</v>
      </c>
      <c r="W16" s="5">
        <f t="shared" si="9"/>
        <v>140</v>
      </c>
      <c r="X16" s="9">
        <f>ROUND($J16*1.637*1.75*2.1*2.3*2.6*3.2*4.2*1,0)</f>
        <v>222415119763</v>
      </c>
      <c r="Y16" s="3">
        <f t="shared" si="10"/>
        <v>142</v>
      </c>
      <c r="Z16" s="10">
        <f>ROUND($J16*1.637*1.75*2.1*2.3*2.6*3.2*4.2*2.4*1,0)</f>
        <v>533796287432</v>
      </c>
      <c r="AA16" s="5">
        <f t="shared" si="11"/>
        <v>144</v>
      </c>
      <c r="AB16" s="9">
        <f>ROUND($J16*1.637*1.75*2.1*2.3*2.6*3.2*4.2*2.4*2.5*1,0)</f>
        <v>1334490718579</v>
      </c>
      <c r="AC16" s="3">
        <f t="shared" si="12"/>
        <v>146</v>
      </c>
      <c r="AD16" s="10">
        <f>ROUND($J16*1.637*1.75*2.1*2.3*2.6*3.2*4.2*2.4*2.5*2.8*1,0)</f>
        <v>3736574012022</v>
      </c>
      <c r="AE16" s="5">
        <f t="shared" si="13"/>
        <v>149</v>
      </c>
      <c r="AF16" s="9">
        <f>ROUND($J16*1.637*1.75*2.1*2.3*2.6*3.2*4.2*2.4*2.5*2.8*3.2*1,0)</f>
        <v>11957036838470</v>
      </c>
      <c r="AG16" s="3">
        <f t="shared" si="14"/>
        <v>152</v>
      </c>
      <c r="AH16" s="10">
        <f>ROUND($J16*1.637*1.75*2.1*2.3*2.6*3.2*4.2*2.4*2.5*2.8*3.2*3.8*1,0)</f>
        <v>45436739986185</v>
      </c>
    </row>
    <row r="17" spans="1:34" x14ac:dyDescent="0.3">
      <c r="A17" s="2">
        <v>54</v>
      </c>
      <c r="B17" s="2" t="s">
        <v>63</v>
      </c>
      <c r="C17" s="2" t="s">
        <v>24</v>
      </c>
      <c r="D17" s="2" t="s">
        <v>64</v>
      </c>
      <c r="E17" s="2">
        <v>125</v>
      </c>
      <c r="F17" s="2" t="s">
        <v>65</v>
      </c>
      <c r="G17" s="2" t="s">
        <v>57</v>
      </c>
      <c r="H17" s="2">
        <v>33</v>
      </c>
      <c r="I17" s="3">
        <v>125</v>
      </c>
      <c r="J17" s="4">
        <v>7800000000</v>
      </c>
      <c r="K17" s="5">
        <f t="shared" si="0"/>
        <v>126</v>
      </c>
      <c r="L17" s="9">
        <f t="shared" si="15"/>
        <v>12768600000</v>
      </c>
      <c r="M17" s="3">
        <f t="shared" si="2"/>
        <v>127</v>
      </c>
      <c r="N17" s="10">
        <f t="shared" si="16"/>
        <v>22345050000</v>
      </c>
      <c r="O17" s="5">
        <f t="shared" si="4"/>
        <v>129</v>
      </c>
      <c r="P17" s="9">
        <f t="shared" si="17"/>
        <v>46924605000</v>
      </c>
      <c r="Q17" s="3">
        <f t="shared" si="6"/>
        <v>131</v>
      </c>
      <c r="R17" s="10">
        <f>ROUND($J17*1.637*1.75*2.1*2.3*1.25,0)</f>
        <v>134908239375</v>
      </c>
      <c r="S17" s="5">
        <f t="shared" si="7"/>
        <v>133</v>
      </c>
      <c r="T17" s="9">
        <f>ROUND($J17*1.637*1.75*2.1*2.3*2.6*1.25,0)</f>
        <v>350761422375</v>
      </c>
      <c r="U17" s="3">
        <f t="shared" si="8"/>
        <v>136</v>
      </c>
      <c r="V17" s="10">
        <f>ROUND($J17*1.637*1.75*2.1*2.3*2.6*3.2*1.25,0)</f>
        <v>1122436551600</v>
      </c>
      <c r="W17" s="5">
        <f t="shared" si="9"/>
        <v>140</v>
      </c>
      <c r="X17" s="9">
        <f>ROUND($J17*1.637*1.75*2.1*2.3*2.6*3.2*4.2*1.25,0)</f>
        <v>4714233516720</v>
      </c>
      <c r="Y17" s="3">
        <f t="shared" si="10"/>
        <v>142</v>
      </c>
      <c r="Z17" s="10">
        <f>ROUND($J17*1.637*1.75*2.1*2.3*2.6*3.2*4.2*2.4*1.25,0)</f>
        <v>11314160440128</v>
      </c>
      <c r="AA17" s="5">
        <f t="shared" si="11"/>
        <v>144</v>
      </c>
      <c r="AB17" s="9">
        <f>ROUND($J17*1.637*1.75*2.1*2.3*2.6*3.2*4.2*2.4*2.5*1.25,0)</f>
        <v>28285401100320</v>
      </c>
      <c r="AC17" s="3">
        <f t="shared" si="12"/>
        <v>146</v>
      </c>
      <c r="AD17" s="10">
        <f>ROUND($J17*1.637*1.75*2.1*2.3*2.6*3.2*4.2*2.4*2.5*2.8*1.25,0)</f>
        <v>79199123080896</v>
      </c>
      <c r="AE17" s="5">
        <f t="shared" si="13"/>
        <v>149</v>
      </c>
      <c r="AF17" s="9">
        <f>ROUND($J17*1.637*1.75*2.1*2.3*2.6*3.2*4.2*2.4*2.5*2.8*3.2*1.25,0)</f>
        <v>253437193858867</v>
      </c>
      <c r="AG17" s="3">
        <f t="shared" si="14"/>
        <v>152</v>
      </c>
      <c r="AH17" s="10">
        <f>ROUND($J17*1.637*1.75*2.1*2.3*2.6*3.2*4.2*2.4*2.5*2.8*3.2*3.8*1.25,0)</f>
        <v>963061336663695</v>
      </c>
    </row>
    <row r="18" spans="1:34" x14ac:dyDescent="0.3">
      <c r="A18" s="2">
        <v>63</v>
      </c>
      <c r="B18" s="2" t="s">
        <v>66</v>
      </c>
      <c r="C18" s="2" t="s">
        <v>24</v>
      </c>
      <c r="D18" s="2" t="s">
        <v>47</v>
      </c>
      <c r="E18" s="2">
        <v>125</v>
      </c>
      <c r="F18" s="2" t="s">
        <v>62</v>
      </c>
      <c r="G18" s="2" t="s">
        <v>67</v>
      </c>
      <c r="H18" s="2">
        <v>29</v>
      </c>
      <c r="I18" s="3">
        <v>125</v>
      </c>
      <c r="J18" s="4">
        <v>164000000</v>
      </c>
      <c r="K18" s="5">
        <f t="shared" si="0"/>
        <v>126</v>
      </c>
      <c r="L18" s="9">
        <f>ROUND($J18*1.637*0.8,0)</f>
        <v>214774400</v>
      </c>
      <c r="M18" s="3">
        <f t="shared" si="2"/>
        <v>127</v>
      </c>
      <c r="N18" s="10">
        <f>ROUND($J18*1.637*1.75*0.8,0)</f>
        <v>375855200</v>
      </c>
      <c r="O18" s="5">
        <f t="shared" si="4"/>
        <v>129</v>
      </c>
      <c r="P18" s="9">
        <f>ROUND($J18*1.637*1.75*2.1*0.8,0)</f>
        <v>789295920</v>
      </c>
      <c r="Q18" s="3">
        <f t="shared" si="6"/>
        <v>131</v>
      </c>
      <c r="R18" s="10">
        <f>ROUND($J18*1.637*1.75*2.1*2.3*0.542035092435954,0)</f>
        <v>1230000000</v>
      </c>
      <c r="S18" s="5">
        <f t="shared" si="7"/>
        <v>133</v>
      </c>
      <c r="T18" s="9">
        <f>ROUND($J18*1.637*1.75*2.1*2.3*2.6*0.544690061623969,0)</f>
        <v>3213664284</v>
      </c>
      <c r="U18" s="3">
        <f t="shared" si="8"/>
        <v>136</v>
      </c>
      <c r="V18" s="10">
        <f>ROUND($J18*1.637*1.75*2.1*2.3*2.6*3.2*0.547345030811984,0)</f>
        <v>10333851416</v>
      </c>
      <c r="W18" s="5">
        <f t="shared" si="9"/>
        <v>140</v>
      </c>
      <c r="X18" s="9">
        <f>ROUND($J18*1.637*1.75*2.1*2.3*2.6*3.2*4.2*0.55,0)</f>
        <v>43612703919</v>
      </c>
      <c r="Y18" s="3">
        <f t="shared" si="10"/>
        <v>142</v>
      </c>
      <c r="Z18" s="10">
        <f>ROUND($J18*1.637*1.75*2.1*2.3*2.6*3.2*4.2*2.4*0.55,0)</f>
        <v>104670489405</v>
      </c>
      <c r="AA18" s="5">
        <f t="shared" si="11"/>
        <v>144</v>
      </c>
      <c r="AB18" s="9">
        <f>ROUND($J18*1.637*1.75*2.1*2.3*2.6*3.2*4.2*2.4*2.5*0.55,0)</f>
        <v>261676223513</v>
      </c>
      <c r="AC18" s="3">
        <f t="shared" si="12"/>
        <v>146</v>
      </c>
      <c r="AD18" s="10">
        <f>ROUND($J18*1.637*1.75*2.1*2.3*2.6*3.2*4.2*2.4*2.5*2.8*0.55,0)</f>
        <v>732693425836</v>
      </c>
      <c r="AE18" s="5">
        <f t="shared" si="13"/>
        <v>149</v>
      </c>
      <c r="AF18" s="9">
        <f>ROUND($J18*1.637*1.75*2.1*2.3*2.6*3.2*4.2*2.4*2.5*2.8*3.2*0.55,0)</f>
        <v>2344618962674</v>
      </c>
      <c r="AG18" s="3">
        <f t="shared" si="14"/>
        <v>152</v>
      </c>
      <c r="AH18" s="10">
        <f>ROUND($J18*1.637*1.75*2.1*2.3*2.6*3.2*4.2*2.4*2.5*2.8*3.2*3.8*0.55,0)</f>
        <v>8909552058161</v>
      </c>
    </row>
    <row r="19" spans="1:34" x14ac:dyDescent="0.3">
      <c r="A19" s="2">
        <v>57</v>
      </c>
      <c r="B19" s="2" t="s">
        <v>68</v>
      </c>
      <c r="C19" s="2" t="s">
        <v>24</v>
      </c>
      <c r="D19" s="2" t="s">
        <v>64</v>
      </c>
      <c r="E19" s="2">
        <v>125</v>
      </c>
      <c r="F19" s="2" t="s">
        <v>30</v>
      </c>
      <c r="G19" s="2" t="s">
        <v>69</v>
      </c>
      <c r="H19" s="2">
        <v>32</v>
      </c>
      <c r="I19" s="3">
        <v>125</v>
      </c>
      <c r="J19" s="4">
        <v>482000000</v>
      </c>
      <c r="K19" s="5">
        <f t="shared" si="0"/>
        <v>126</v>
      </c>
      <c r="L19" s="9">
        <f t="shared" ref="L19:L29" si="18">ROUND($J19*1.637*1,0)</f>
        <v>789034000</v>
      </c>
      <c r="M19" s="3">
        <f t="shared" si="2"/>
        <v>127</v>
      </c>
      <c r="N19" s="10">
        <f t="shared" ref="N19:N29" si="19">ROUND($J19*1.637*1.75*1,0)</f>
        <v>1380809500</v>
      </c>
      <c r="O19" s="5">
        <f t="shared" si="4"/>
        <v>129</v>
      </c>
      <c r="P19" s="9">
        <f t="shared" ref="P19:P29" si="20">ROUND($J19*1.637*1.75*2.1*1,0)</f>
        <v>2899699950</v>
      </c>
      <c r="Q19" s="3">
        <f t="shared" si="6"/>
        <v>131</v>
      </c>
      <c r="R19" s="10">
        <f>ROUND($J19*1.637*1.75*2.1*2.3*1,0)</f>
        <v>6669309885</v>
      </c>
      <c r="S19" s="5">
        <f t="shared" si="7"/>
        <v>133</v>
      </c>
      <c r="T19" s="9">
        <f>ROUND($J19*1.637*1.75*2.1*2.3*2.6*1,0)</f>
        <v>17340205701</v>
      </c>
      <c r="U19" s="3">
        <f t="shared" si="8"/>
        <v>136</v>
      </c>
      <c r="V19" s="10">
        <f>ROUND($J19*1.637*1.75*2.1*2.3*2.6*3.2*1,0)</f>
        <v>55488658243</v>
      </c>
      <c r="W19" s="5">
        <f t="shared" si="9"/>
        <v>140</v>
      </c>
      <c r="X19" s="9">
        <f>ROUND($J19*1.637*1.75*2.1*2.3*2.6*3.2*4.2*1,0)</f>
        <v>233052364621</v>
      </c>
      <c r="Y19" s="3">
        <f t="shared" si="10"/>
        <v>142</v>
      </c>
      <c r="Z19" s="10">
        <f>ROUND($J19*1.637*1.75*2.1*2.3*2.6*3.2*4.2*2.4*1,0)</f>
        <v>559325675091</v>
      </c>
      <c r="AA19" s="5">
        <f t="shared" si="11"/>
        <v>144</v>
      </c>
      <c r="AB19" s="9">
        <f>ROUND($J19*1.637*1.75*2.1*2.3*2.6*3.2*4.2*2.4*2.5*1,0)</f>
        <v>1398314187729</v>
      </c>
      <c r="AC19" s="3">
        <f t="shared" si="12"/>
        <v>146</v>
      </c>
      <c r="AD19" s="10">
        <f>ROUND($J19*1.637*1.75*2.1*2.3*2.6*3.2*4.2*2.4*2.5*2.8*1,0)</f>
        <v>3915279725640</v>
      </c>
      <c r="AE19" s="5">
        <f t="shared" si="13"/>
        <v>149</v>
      </c>
      <c r="AF19" s="9">
        <f>ROUND($J19*1.637*1.75*2.1*2.3*2.6*3.2*4.2*2.4*2.5*2.8*3.2*1,0)</f>
        <v>12528895122049</v>
      </c>
      <c r="AG19" s="3">
        <f t="shared" si="14"/>
        <v>152</v>
      </c>
      <c r="AH19" s="10">
        <f>ROUND($J19*1.637*1.75*2.1*2.3*2.6*3.2*4.2*2.4*2.5*2.8*3.2*3.8*1,0)</f>
        <v>47609801463785</v>
      </c>
    </row>
    <row r="20" spans="1:34" x14ac:dyDescent="0.3">
      <c r="A20" s="2">
        <v>61</v>
      </c>
      <c r="B20" s="2" t="s">
        <v>70</v>
      </c>
      <c r="C20" s="2" t="s">
        <v>24</v>
      </c>
      <c r="D20" s="2" t="s">
        <v>45</v>
      </c>
      <c r="E20" s="2">
        <v>125</v>
      </c>
      <c r="F20" s="2" t="s">
        <v>71</v>
      </c>
      <c r="G20" s="2" t="s">
        <v>72</v>
      </c>
      <c r="H20" s="2">
        <v>32</v>
      </c>
      <c r="I20" s="3">
        <v>125</v>
      </c>
      <c r="J20" s="4">
        <v>9690000000</v>
      </c>
      <c r="K20" s="5">
        <f t="shared" si="0"/>
        <v>126</v>
      </c>
      <c r="L20" s="9">
        <f t="shared" si="18"/>
        <v>15862530000</v>
      </c>
      <c r="M20" s="3">
        <f t="shared" si="2"/>
        <v>127</v>
      </c>
      <c r="N20" s="10">
        <f t="shared" si="19"/>
        <v>27759427500</v>
      </c>
      <c r="O20" s="5">
        <f t="shared" si="4"/>
        <v>129</v>
      </c>
      <c r="P20" s="9">
        <f t="shared" si="20"/>
        <v>58294797750</v>
      </c>
      <c r="Q20" s="3">
        <f t="shared" si="6"/>
        <v>131</v>
      </c>
      <c r="R20" s="10">
        <f>ROUND($J20*1.637*1.75*2.1*2.3*1.25,0)</f>
        <v>167597543531</v>
      </c>
      <c r="S20" s="5">
        <f t="shared" si="7"/>
        <v>133</v>
      </c>
      <c r="T20" s="9">
        <f>ROUND($J20*1.637*1.75*2.1*2.3*2.6*1.25,0)</f>
        <v>435753613181</v>
      </c>
      <c r="U20" s="3">
        <f t="shared" si="8"/>
        <v>136</v>
      </c>
      <c r="V20" s="10">
        <f>ROUND($J20*1.637*1.75*2.1*2.3*2.6*3.2*1.25,0)</f>
        <v>1394411562180</v>
      </c>
      <c r="W20" s="5">
        <f t="shared" si="9"/>
        <v>140</v>
      </c>
      <c r="X20" s="9">
        <f>ROUND($J20*1.637*1.75*2.1*2.3*2.6*3.2*4.2*1.25,0)</f>
        <v>5856528561156</v>
      </c>
      <c r="Y20" s="3">
        <f t="shared" si="10"/>
        <v>142</v>
      </c>
      <c r="Z20" s="10">
        <f>ROUND($J20*1.637*1.75*2.1*2.3*2.6*3.2*4.2*2.4*1.25,0)</f>
        <v>14055668546774</v>
      </c>
      <c r="AA20" s="5">
        <f t="shared" si="11"/>
        <v>144</v>
      </c>
      <c r="AB20" s="9">
        <f>ROUND($J20*1.637*1.75*2.1*2.3*2.6*3.2*4.2*2.4*2.5*1.25,0)</f>
        <v>35139171366936</v>
      </c>
      <c r="AC20" s="3">
        <f t="shared" si="12"/>
        <v>146</v>
      </c>
      <c r="AD20" s="10">
        <f>ROUND($J20*1.637*1.75*2.1*2.3*2.6*3.2*4.2*2.4*2.5*2.8*1.25,0)</f>
        <v>98389679827421</v>
      </c>
      <c r="AE20" s="5">
        <f t="shared" si="13"/>
        <v>149</v>
      </c>
      <c r="AF20" s="9">
        <f>ROUND($J20*1.637*1.75*2.1*2.3*2.6*3.2*4.2*2.4*2.5*2.8*3.2*1.25,0)</f>
        <v>314846975447746</v>
      </c>
      <c r="AG20" s="3">
        <f t="shared" si="14"/>
        <v>152</v>
      </c>
      <c r="AH20" s="10">
        <f>ROUND($J20*1.637*1.75*2.1*2.3*2.6*3.2*4.2*2.4*2.5*2.8*3.2*3.8*1.25,0)</f>
        <v>1196418506701440</v>
      </c>
    </row>
    <row r="21" spans="1:34" x14ac:dyDescent="0.3">
      <c r="A21" s="2">
        <v>56</v>
      </c>
      <c r="B21" s="2" t="s">
        <v>73</v>
      </c>
      <c r="C21" s="2" t="s">
        <v>24</v>
      </c>
      <c r="D21" s="2" t="s">
        <v>64</v>
      </c>
      <c r="E21" s="2">
        <v>125</v>
      </c>
      <c r="F21" s="2" t="s">
        <v>30</v>
      </c>
      <c r="G21" s="2" t="s">
        <v>69</v>
      </c>
      <c r="H21" s="2">
        <v>32</v>
      </c>
      <c r="I21" s="3">
        <v>125</v>
      </c>
      <c r="J21" s="4">
        <v>451000000</v>
      </c>
      <c r="K21" s="5">
        <f t="shared" si="0"/>
        <v>126</v>
      </c>
      <c r="L21" s="9">
        <f t="shared" si="18"/>
        <v>738287000</v>
      </c>
      <c r="M21" s="3">
        <f t="shared" si="2"/>
        <v>127</v>
      </c>
      <c r="N21" s="10">
        <f t="shared" si="19"/>
        <v>1292002250</v>
      </c>
      <c r="O21" s="5">
        <f t="shared" si="4"/>
        <v>129</v>
      </c>
      <c r="P21" s="9">
        <f t="shared" si="20"/>
        <v>2713204725</v>
      </c>
      <c r="Q21" s="3">
        <f t="shared" si="6"/>
        <v>131</v>
      </c>
      <c r="R21" s="10">
        <f>ROUND($J21*1.637*1.75*2.1*2.3*1,0)</f>
        <v>6240370868</v>
      </c>
      <c r="S21" s="5">
        <f t="shared" si="7"/>
        <v>133</v>
      </c>
      <c r="T21" s="9">
        <f>ROUND($J21*1.637*1.75*2.1*2.3*2.6*1,0)</f>
        <v>16224964256</v>
      </c>
      <c r="U21" s="3">
        <f t="shared" si="8"/>
        <v>136</v>
      </c>
      <c r="V21" s="10">
        <f>ROUND($J21*1.637*1.75*2.1*2.3*2.6*3.2*1,0)</f>
        <v>51919885618</v>
      </c>
      <c r="W21" s="5">
        <f t="shared" si="9"/>
        <v>140</v>
      </c>
      <c r="X21" s="9">
        <f>ROUND($J21*1.637*1.75*2.1*2.3*2.6*3.2*4.2*1,0)</f>
        <v>218063519594</v>
      </c>
      <c r="Y21" s="3">
        <f t="shared" si="10"/>
        <v>142</v>
      </c>
      <c r="Z21" s="10">
        <f>ROUND($J21*1.637*1.75*2.1*2.3*2.6*3.2*4.2*2.4*1,0)</f>
        <v>523352447025</v>
      </c>
      <c r="AA21" s="5">
        <f t="shared" si="11"/>
        <v>144</v>
      </c>
      <c r="AB21" s="9">
        <f>ROUND($J21*1.637*1.75*2.1*2.3*2.6*3.2*4.2*2.4*2.5*1,0)</f>
        <v>1308381117564</v>
      </c>
      <c r="AC21" s="3">
        <f t="shared" si="12"/>
        <v>146</v>
      </c>
      <c r="AD21" s="10">
        <f>ROUND($J21*1.637*1.75*2.1*2.3*2.6*3.2*4.2*2.4*2.5*2.8*1,0)</f>
        <v>3663467129178</v>
      </c>
      <c r="AE21" s="5">
        <f t="shared" si="13"/>
        <v>149</v>
      </c>
      <c r="AF21" s="9">
        <f>ROUND($J21*1.637*1.75*2.1*2.3*2.6*3.2*4.2*2.4*2.5*2.8*3.2*1,0)</f>
        <v>11723094813369</v>
      </c>
      <c r="AG21" s="3">
        <f t="shared" si="14"/>
        <v>152</v>
      </c>
      <c r="AH21" s="10">
        <f>ROUND($J21*1.637*1.75*2.1*2.3*2.6*3.2*4.2*2.4*2.5*2.8*3.2*3.8*1,0)</f>
        <v>44547760290803</v>
      </c>
    </row>
    <row r="22" spans="1:34" x14ac:dyDescent="0.3">
      <c r="A22" s="2">
        <v>6</v>
      </c>
      <c r="B22" s="2" t="s">
        <v>74</v>
      </c>
      <c r="C22" s="2" t="s">
        <v>24</v>
      </c>
      <c r="D22" s="2" t="s">
        <v>75</v>
      </c>
      <c r="E22" s="2">
        <v>125</v>
      </c>
      <c r="F22" s="2" t="s">
        <v>62</v>
      </c>
      <c r="G22" s="2" t="s">
        <v>51</v>
      </c>
      <c r="H22" s="2">
        <v>32</v>
      </c>
      <c r="I22" s="3">
        <v>125</v>
      </c>
      <c r="J22" s="4">
        <v>6870000000</v>
      </c>
      <c r="K22" s="5">
        <f t="shared" si="0"/>
        <v>126</v>
      </c>
      <c r="L22" s="9">
        <f t="shared" si="18"/>
        <v>11246190000</v>
      </c>
      <c r="M22" s="3">
        <f t="shared" si="2"/>
        <v>127</v>
      </c>
      <c r="N22" s="10">
        <f t="shared" si="19"/>
        <v>19680832500</v>
      </c>
      <c r="O22" s="5">
        <f t="shared" si="4"/>
        <v>129</v>
      </c>
      <c r="P22" s="9">
        <f t="shared" si="20"/>
        <v>41329748250</v>
      </c>
      <c r="Q22" s="3">
        <f t="shared" si="6"/>
        <v>131</v>
      </c>
      <c r="R22" s="10">
        <f>ROUND($J22*1.637*1.75*2.1*2.3*1.25,0)</f>
        <v>118823026219</v>
      </c>
      <c r="S22" s="5">
        <f t="shared" si="7"/>
        <v>133</v>
      </c>
      <c r="T22" s="9">
        <f>ROUND($J22*1.637*1.75*2.1*2.3*2.6*1.25,0)</f>
        <v>308939868169</v>
      </c>
      <c r="U22" s="3">
        <f t="shared" si="8"/>
        <v>136</v>
      </c>
      <c r="V22" s="10">
        <f>ROUND($J22*1.637*1.75*2.1*2.3*2.6*3.2*1.25,0)</f>
        <v>988607578140</v>
      </c>
      <c r="W22" s="5">
        <f t="shared" si="9"/>
        <v>140</v>
      </c>
      <c r="X22" s="9">
        <f>ROUND($J22*1.637*1.75*2.1*2.3*2.6*3.2*4.2*1.25,0)</f>
        <v>4152151828188</v>
      </c>
      <c r="Y22" s="3">
        <f t="shared" si="10"/>
        <v>142</v>
      </c>
      <c r="Z22" s="10">
        <f>ROUND($J22*1.637*1.75*2.1*2.3*2.6*3.2*4.2*2.4*1.25,0)</f>
        <v>9965164387651</v>
      </c>
      <c r="AA22" s="5">
        <f t="shared" si="11"/>
        <v>144</v>
      </c>
      <c r="AB22" s="9">
        <f>ROUND($J22*1.637*1.75*2.1*2.3*2.6*3.2*4.2*2.4*2.5*1.25,0)</f>
        <v>24912910969128</v>
      </c>
      <c r="AC22" s="3">
        <f t="shared" si="12"/>
        <v>146</v>
      </c>
      <c r="AD22" s="10">
        <f>ROUND($J22*1.637*1.75*2.1*2.3*2.6*3.2*4.2*2.4*2.5*2.8*1.25,0)</f>
        <v>69756150713558</v>
      </c>
      <c r="AE22" s="5">
        <f t="shared" si="13"/>
        <v>149</v>
      </c>
      <c r="AF22" s="9">
        <f>ROUND($J22*1.637*1.75*2.1*2.3*2.6*3.2*4.2*2.4*2.5*2.8*3.2*1.25,0)</f>
        <v>223219682283387</v>
      </c>
      <c r="AG22" s="3">
        <f t="shared" si="14"/>
        <v>152</v>
      </c>
      <c r="AH22" s="10">
        <f>ROUND($J22*1.637*1.75*2.1*2.3*2.6*3.2*4.2*2.4*2.5*2.8*3.2*3.8*1.25,0)</f>
        <v>848234792676870</v>
      </c>
    </row>
    <row r="23" spans="1:34" x14ac:dyDescent="0.3">
      <c r="A23" s="2">
        <v>55</v>
      </c>
      <c r="B23" s="2" t="s">
        <v>76</v>
      </c>
      <c r="C23" s="2" t="s">
        <v>24</v>
      </c>
      <c r="D23" s="2" t="s">
        <v>29</v>
      </c>
      <c r="E23" s="2">
        <v>125</v>
      </c>
      <c r="F23" s="2" t="s">
        <v>62</v>
      </c>
      <c r="G23" s="2" t="s">
        <v>67</v>
      </c>
      <c r="H23" s="2">
        <v>33</v>
      </c>
      <c r="I23" s="3">
        <v>125</v>
      </c>
      <c r="J23" s="4">
        <v>2400000000</v>
      </c>
      <c r="K23" s="5">
        <f t="shared" si="0"/>
        <v>126</v>
      </c>
      <c r="L23" s="9">
        <f t="shared" si="18"/>
        <v>3928800000</v>
      </c>
      <c r="M23" s="3">
        <f t="shared" si="2"/>
        <v>127</v>
      </c>
      <c r="N23" s="10">
        <f t="shared" si="19"/>
        <v>6875400000</v>
      </c>
      <c r="O23" s="5">
        <f t="shared" si="4"/>
        <v>129</v>
      </c>
      <c r="P23" s="9">
        <f t="shared" si="20"/>
        <v>14438340000</v>
      </c>
      <c r="Q23" s="3">
        <f t="shared" si="6"/>
        <v>131</v>
      </c>
      <c r="R23" s="10">
        <f>ROUND($J23*1.637*1.75*2.1*2.3*1.25,0)</f>
        <v>41510227500</v>
      </c>
      <c r="S23" s="5">
        <f t="shared" si="7"/>
        <v>133</v>
      </c>
      <c r="T23" s="9">
        <f>ROUND($J23*1.637*1.75*2.1*2.3*2.6*1.25,0)</f>
        <v>107926591500</v>
      </c>
      <c r="U23" s="3">
        <f t="shared" si="8"/>
        <v>136</v>
      </c>
      <c r="V23" s="10">
        <f>ROUND($J23*1.637*1.75*2.1*2.3*2.6*3.2*1.25,0)</f>
        <v>345365092800</v>
      </c>
      <c r="W23" s="5">
        <f t="shared" si="9"/>
        <v>140</v>
      </c>
      <c r="X23" s="9">
        <f>ROUND($J23*1.637*1.75*2.1*2.3*2.6*3.2*4.2*1.25,0)</f>
        <v>1450533389760</v>
      </c>
      <c r="Y23" s="3">
        <f t="shared" si="10"/>
        <v>142</v>
      </c>
      <c r="Z23" s="10">
        <f>ROUND($J23*1.637*1.75*2.1*2.3*2.6*3.2*4.2*2.4*1.25,0)</f>
        <v>3481280135424</v>
      </c>
      <c r="AA23" s="5">
        <f t="shared" si="11"/>
        <v>144</v>
      </c>
      <c r="AB23" s="9">
        <f>ROUND($J23*1.637*1.75*2.1*2.3*2.6*3.2*4.2*2.4*2.5*1.25,0)</f>
        <v>8703200338560</v>
      </c>
      <c r="AC23" s="3">
        <f t="shared" si="12"/>
        <v>146</v>
      </c>
      <c r="AD23" s="10">
        <f>ROUND($J23*1.637*1.75*2.1*2.3*2.6*3.2*4.2*2.4*2.5*2.8*1.25,0)</f>
        <v>24368960947968</v>
      </c>
      <c r="AE23" s="5">
        <f t="shared" si="13"/>
        <v>149</v>
      </c>
      <c r="AF23" s="9">
        <f>ROUND($J23*1.637*1.75*2.1*2.3*2.6*3.2*4.2*2.4*2.5*2.8*3.2*1.25,0)</f>
        <v>77980675033498</v>
      </c>
      <c r="AG23" s="3">
        <f t="shared" si="14"/>
        <v>152</v>
      </c>
      <c r="AH23" s="10">
        <f>ROUND($J23*1.637*1.75*2.1*2.3*2.6*3.2*4.2*2.4*2.5*2.8*3.2*3.8*1.25,0)</f>
        <v>296326565127291</v>
      </c>
    </row>
    <row r="24" spans="1:34" x14ac:dyDescent="0.3">
      <c r="A24" s="2">
        <v>33</v>
      </c>
      <c r="B24" s="2" t="s">
        <v>77</v>
      </c>
      <c r="C24" s="2" t="s">
        <v>24</v>
      </c>
      <c r="D24" s="2" t="s">
        <v>29</v>
      </c>
      <c r="E24" s="2">
        <v>125</v>
      </c>
      <c r="F24" s="2" t="s">
        <v>42</v>
      </c>
      <c r="G24" s="2" t="s">
        <v>51</v>
      </c>
      <c r="H24" s="2">
        <v>34</v>
      </c>
      <c r="I24" s="3">
        <v>125</v>
      </c>
      <c r="J24" s="4">
        <v>22590000000</v>
      </c>
      <c r="K24" s="5">
        <f t="shared" si="0"/>
        <v>126</v>
      </c>
      <c r="L24" s="9">
        <f t="shared" si="18"/>
        <v>36979830000</v>
      </c>
      <c r="M24" s="3">
        <f t="shared" si="2"/>
        <v>127</v>
      </c>
      <c r="N24" s="10">
        <f t="shared" si="19"/>
        <v>64714702500</v>
      </c>
      <c r="O24" s="5">
        <f t="shared" si="4"/>
        <v>129</v>
      </c>
      <c r="P24" s="9">
        <f t="shared" si="20"/>
        <v>135900875250</v>
      </c>
      <c r="Q24" s="3">
        <f t="shared" si="6"/>
        <v>131</v>
      </c>
      <c r="R24" s="10">
        <f>ROUND($J24*1.637*1.75*2.1*2.3*1.25,0)</f>
        <v>390715016344</v>
      </c>
      <c r="S24" s="5">
        <f t="shared" si="7"/>
        <v>133</v>
      </c>
      <c r="T24" s="9">
        <f>ROUND($J24*1.637*1.75*2.1*2.3*2.6*1.25,0)</f>
        <v>1015859042494</v>
      </c>
      <c r="U24" s="3">
        <f t="shared" si="8"/>
        <v>136</v>
      </c>
      <c r="V24" s="10">
        <f>ROUND($J24*1.637*1.75*2.1*2.3*2.6*3.2*1.25,0)</f>
        <v>3250748935980</v>
      </c>
      <c r="W24" s="5">
        <f t="shared" si="9"/>
        <v>140</v>
      </c>
      <c r="X24" s="9">
        <f>ROUND($J24*1.637*1.75*2.1*2.3*2.6*3.2*4.2*1.25,0)</f>
        <v>13653145531116</v>
      </c>
      <c r="Y24" s="3">
        <f t="shared" si="10"/>
        <v>142</v>
      </c>
      <c r="Z24" s="10">
        <f>ROUND($J24*1.637*1.75*2.1*2.3*2.6*3.2*4.2*2.4*1.25,0)</f>
        <v>32767549274678</v>
      </c>
      <c r="AA24" s="5">
        <f t="shared" si="11"/>
        <v>144</v>
      </c>
      <c r="AB24" s="9">
        <f>ROUND($J24*1.637*1.75*2.1*2.3*2.6*3.2*4.2*2.4*2.5*1.25,0)</f>
        <v>81918873186696</v>
      </c>
      <c r="AC24" s="3">
        <f t="shared" si="12"/>
        <v>146</v>
      </c>
      <c r="AD24" s="10">
        <f>ROUND($J24*1.637*1.75*2.1*2.3*2.6*3.2*4.2*2.4*2.5*2.8*1.25,0)</f>
        <v>229372844922749</v>
      </c>
      <c r="AE24" s="5">
        <f t="shared" si="13"/>
        <v>149</v>
      </c>
      <c r="AF24" s="9">
        <f>ROUND($J24*1.637*1.75*2.1*2.3*2.6*3.2*4.2*2.4*2.5*2.8*3.2*1.25,0)</f>
        <v>733993103752796</v>
      </c>
      <c r="AG24" s="3">
        <f t="shared" si="14"/>
        <v>152</v>
      </c>
      <c r="AH24" s="10">
        <f>ROUND($J24*1.637*1.75*2.1*2.3*2.6*3.2*4.2*2.4*2.5*2.8*3.2*3.8*1.25,0)</f>
        <v>2789173794260620</v>
      </c>
    </row>
    <row r="25" spans="1:34" x14ac:dyDescent="0.3">
      <c r="A25" s="2">
        <v>4</v>
      </c>
      <c r="B25" s="2" t="s">
        <v>78</v>
      </c>
      <c r="C25" s="2" t="s">
        <v>24</v>
      </c>
      <c r="D25" s="2" t="s">
        <v>79</v>
      </c>
      <c r="E25" s="2">
        <v>125</v>
      </c>
      <c r="F25" s="2" t="s">
        <v>30</v>
      </c>
      <c r="G25" s="2" t="s">
        <v>72</v>
      </c>
      <c r="H25" s="2">
        <v>32</v>
      </c>
      <c r="I25" s="3">
        <v>125</v>
      </c>
      <c r="J25" s="4">
        <v>1930000000</v>
      </c>
      <c r="K25" s="5">
        <f t="shared" si="0"/>
        <v>126</v>
      </c>
      <c r="L25" s="9">
        <f t="shared" si="18"/>
        <v>3159410000</v>
      </c>
      <c r="M25" s="3">
        <f t="shared" si="2"/>
        <v>127</v>
      </c>
      <c r="N25" s="10">
        <f t="shared" si="19"/>
        <v>5528967500</v>
      </c>
      <c r="O25" s="5">
        <f t="shared" si="4"/>
        <v>129</v>
      </c>
      <c r="P25" s="9">
        <f t="shared" si="20"/>
        <v>11610831750</v>
      </c>
      <c r="Q25" s="3">
        <f t="shared" si="6"/>
        <v>131</v>
      </c>
      <c r="R25" s="10">
        <f>ROUND($J25*1.637*1.75*2.1*2.3*1.25,0)</f>
        <v>33381141281</v>
      </c>
      <c r="S25" s="5">
        <f t="shared" si="7"/>
        <v>133</v>
      </c>
      <c r="T25" s="9">
        <f>ROUND($J25*1.637*1.75*2.1*2.3*2.6*1.25,0)</f>
        <v>86790967331</v>
      </c>
      <c r="U25" s="3">
        <f t="shared" si="8"/>
        <v>136</v>
      </c>
      <c r="V25" s="10">
        <f>ROUND($J25*1.637*1.75*2.1*2.3*2.6*3.2*1.25,0)</f>
        <v>277731095460</v>
      </c>
      <c r="W25" s="5">
        <f t="shared" si="9"/>
        <v>140</v>
      </c>
      <c r="X25" s="9">
        <f>ROUND($J25*1.637*1.75*2.1*2.3*2.6*3.2*4.2*1.25,0)</f>
        <v>1166470600932</v>
      </c>
      <c r="Y25" s="3">
        <f t="shared" si="10"/>
        <v>142</v>
      </c>
      <c r="Z25" s="10">
        <f>ROUND($J25*1.637*1.75*2.1*2.3*2.6*3.2*4.2*2.4*1.25,0)</f>
        <v>2799529442237</v>
      </c>
      <c r="AA25" s="5">
        <f t="shared" si="11"/>
        <v>144</v>
      </c>
      <c r="AB25" s="9">
        <f>ROUND($J25*1.637*1.75*2.1*2.3*2.6*3.2*4.2*2.4*2.5*1.25,0)</f>
        <v>6998823605592</v>
      </c>
      <c r="AC25" s="3">
        <f t="shared" si="12"/>
        <v>146</v>
      </c>
      <c r="AD25" s="10">
        <f>ROUND($J25*1.637*1.75*2.1*2.3*2.6*3.2*4.2*2.4*2.5*2.8*1.25,0)</f>
        <v>19596706095658</v>
      </c>
      <c r="AE25" s="5">
        <f t="shared" si="13"/>
        <v>149</v>
      </c>
      <c r="AF25" s="9">
        <f>ROUND($J25*1.637*1.75*2.1*2.3*2.6*3.2*4.2*2.4*2.5*2.8*3.2*1.25,0)</f>
        <v>62709459506104</v>
      </c>
      <c r="AG25" s="3">
        <f t="shared" si="14"/>
        <v>152</v>
      </c>
      <c r="AH25" s="10">
        <f>ROUND($J25*1.637*1.75*2.1*2.3*2.6*3.2*4.2*2.4*2.5*2.8*3.2*3.8*1.25,0)</f>
        <v>238295946123196</v>
      </c>
    </row>
    <row r="26" spans="1:34" x14ac:dyDescent="0.3">
      <c r="A26" s="2">
        <v>62</v>
      </c>
      <c r="B26" s="2" t="s">
        <v>80</v>
      </c>
      <c r="C26" s="2" t="s">
        <v>24</v>
      </c>
      <c r="D26" s="2" t="s">
        <v>45</v>
      </c>
      <c r="E26" s="2">
        <v>125</v>
      </c>
      <c r="F26" s="2" t="s">
        <v>71</v>
      </c>
      <c r="G26" s="2" t="s">
        <v>72</v>
      </c>
      <c r="H26" s="2">
        <v>31</v>
      </c>
      <c r="I26" s="3">
        <v>125</v>
      </c>
      <c r="J26" s="4">
        <v>1600000000</v>
      </c>
      <c r="K26" s="5">
        <f t="shared" si="0"/>
        <v>126</v>
      </c>
      <c r="L26" s="9">
        <f t="shared" si="18"/>
        <v>2619200000</v>
      </c>
      <c r="M26" s="3">
        <f t="shared" si="2"/>
        <v>127</v>
      </c>
      <c r="N26" s="10">
        <f t="shared" si="19"/>
        <v>4583600000</v>
      </c>
      <c r="O26" s="5">
        <f t="shared" si="4"/>
        <v>129</v>
      </c>
      <c r="P26" s="9">
        <f t="shared" si="20"/>
        <v>9625560000</v>
      </c>
      <c r="Q26" s="3">
        <f t="shared" si="6"/>
        <v>131</v>
      </c>
      <c r="R26" s="10">
        <f>ROUND($J26*1.637*1.75*2.1*2.3*1,0)</f>
        <v>22138788000</v>
      </c>
      <c r="S26" s="5">
        <f t="shared" si="7"/>
        <v>133</v>
      </c>
      <c r="T26" s="9">
        <f>ROUND($J26*1.637*1.75*2.1*2.3*2.6*1,0)</f>
        <v>57560848800</v>
      </c>
      <c r="U26" s="3">
        <f t="shared" si="8"/>
        <v>136</v>
      </c>
      <c r="V26" s="10">
        <f>ROUND($J26*1.637*1.75*2.1*2.3*2.6*3.2*1,0)</f>
        <v>184194716160</v>
      </c>
      <c r="W26" s="5">
        <f t="shared" si="9"/>
        <v>140</v>
      </c>
      <c r="X26" s="9">
        <f>ROUND($J26*1.637*1.75*2.1*2.3*2.6*3.2*4.2*1,0)</f>
        <v>773617807872</v>
      </c>
      <c r="Y26" s="3">
        <f t="shared" si="10"/>
        <v>142</v>
      </c>
      <c r="Z26" s="10">
        <f>ROUND($J26*1.637*1.75*2.1*2.3*2.6*3.2*4.2*2.4*1,0)</f>
        <v>1856682738893</v>
      </c>
      <c r="AA26" s="5">
        <f t="shared" si="11"/>
        <v>144</v>
      </c>
      <c r="AB26" s="9">
        <f>ROUND($J26*1.637*1.75*2.1*2.3*2.6*3.2*4.2*2.4*2.5*1,0)</f>
        <v>4641706847232</v>
      </c>
      <c r="AC26" s="3">
        <f t="shared" si="12"/>
        <v>146</v>
      </c>
      <c r="AD26" s="10">
        <f>ROUND($J26*1.637*1.75*2.1*2.3*2.6*3.2*4.2*2.4*2.5*2.8*1,0)</f>
        <v>12996779172250</v>
      </c>
      <c r="AE26" s="5">
        <f t="shared" si="13"/>
        <v>149</v>
      </c>
      <c r="AF26" s="9">
        <f>ROUND($J26*1.637*1.75*2.1*2.3*2.6*3.2*4.2*2.4*2.5*2.8*3.2*1,0)</f>
        <v>41589693351199</v>
      </c>
      <c r="AG26" s="3">
        <f t="shared" si="14"/>
        <v>152</v>
      </c>
      <c r="AH26" s="10">
        <f>ROUND($J26*1.637*1.75*2.1*2.3*2.6*3.2*4.2*2.4*2.5*2.8*3.2*3.8*1,0)</f>
        <v>158040834734555</v>
      </c>
    </row>
    <row r="27" spans="1:34" x14ac:dyDescent="0.3">
      <c r="A27" s="2">
        <v>60</v>
      </c>
      <c r="B27" s="2" t="s">
        <v>81</v>
      </c>
      <c r="C27" s="2" t="s">
        <v>24</v>
      </c>
      <c r="D27" s="2" t="s">
        <v>25</v>
      </c>
      <c r="E27" s="2">
        <v>125</v>
      </c>
      <c r="F27" s="2" t="s">
        <v>30</v>
      </c>
      <c r="G27" s="2" t="s">
        <v>82</v>
      </c>
      <c r="H27" s="2">
        <v>32</v>
      </c>
      <c r="I27" s="3">
        <v>125</v>
      </c>
      <c r="J27" s="4">
        <v>7160000000</v>
      </c>
      <c r="K27" s="5">
        <f t="shared" si="0"/>
        <v>126</v>
      </c>
      <c r="L27" s="9">
        <f t="shared" si="18"/>
        <v>11720920000</v>
      </c>
      <c r="M27" s="3">
        <f t="shared" si="2"/>
        <v>127</v>
      </c>
      <c r="N27" s="10">
        <f t="shared" si="19"/>
        <v>20511610000</v>
      </c>
      <c r="O27" s="5">
        <f t="shared" si="4"/>
        <v>129</v>
      </c>
      <c r="P27" s="9">
        <f t="shared" si="20"/>
        <v>43074381000</v>
      </c>
      <c r="Q27" s="3">
        <f t="shared" si="6"/>
        <v>131</v>
      </c>
      <c r="R27" s="10">
        <f>ROUND($J27*1.637*1.75*2.1*2.3*1.25,0)</f>
        <v>123838845375</v>
      </c>
      <c r="S27" s="5">
        <f t="shared" si="7"/>
        <v>133</v>
      </c>
      <c r="T27" s="9">
        <f>ROUND($J27*1.637*1.75*2.1*2.3*2.6*1.25,0)</f>
        <v>321980997975</v>
      </c>
      <c r="U27" s="3">
        <f t="shared" si="8"/>
        <v>136</v>
      </c>
      <c r="V27" s="10">
        <f>ROUND($J27*1.637*1.75*2.1*2.3*2.6*3.2*1.25,0)</f>
        <v>1030339193520</v>
      </c>
      <c r="W27" s="5">
        <f t="shared" si="9"/>
        <v>140</v>
      </c>
      <c r="X27" s="9">
        <f>ROUND($J27*1.637*1.75*2.1*2.3*2.6*3.2*4.2*1.25,0)</f>
        <v>4327424612784</v>
      </c>
      <c r="Y27" s="3">
        <f t="shared" si="10"/>
        <v>142</v>
      </c>
      <c r="Z27" s="10">
        <f>ROUND($J27*1.637*1.75*2.1*2.3*2.6*3.2*4.2*2.4*1.25,0)</f>
        <v>10385819070682</v>
      </c>
      <c r="AA27" s="5">
        <f t="shared" si="11"/>
        <v>144</v>
      </c>
      <c r="AB27" s="9">
        <f>ROUND($J27*1.637*1.75*2.1*2.3*2.6*3.2*4.2*2.4*2.5*1.25,0)</f>
        <v>25964547676704</v>
      </c>
      <c r="AC27" s="3">
        <f t="shared" si="12"/>
        <v>146</v>
      </c>
      <c r="AD27" s="10">
        <f>ROUND($J27*1.637*1.75*2.1*2.3*2.6*3.2*4.2*2.4*2.5*2.8*1.25,0)</f>
        <v>72700733494771</v>
      </c>
      <c r="AE27" s="5">
        <f t="shared" si="13"/>
        <v>149</v>
      </c>
      <c r="AF27" s="9">
        <f>ROUND($J27*1.637*1.75*2.1*2.3*2.6*3.2*4.2*2.4*2.5*2.8*3.2*1.25,0)</f>
        <v>232642347183268</v>
      </c>
      <c r="AG27" s="3">
        <f t="shared" si="14"/>
        <v>152</v>
      </c>
      <c r="AH27" s="10">
        <f>ROUND($J27*1.637*1.75*2.1*2.3*2.6*3.2*4.2*2.4*2.5*2.8*3.2*3.8*1.25,0)</f>
        <v>884040919296418</v>
      </c>
    </row>
    <row r="28" spans="1:34" x14ac:dyDescent="0.3">
      <c r="A28" s="2">
        <v>76</v>
      </c>
      <c r="B28" s="2" t="s">
        <v>83</v>
      </c>
      <c r="C28" s="2" t="s">
        <v>24</v>
      </c>
      <c r="D28" s="2" t="s">
        <v>33</v>
      </c>
      <c r="E28" s="2">
        <v>124</v>
      </c>
      <c r="F28" s="2" t="s">
        <v>62</v>
      </c>
      <c r="G28" s="2" t="s">
        <v>51</v>
      </c>
      <c r="H28" s="2">
        <v>32</v>
      </c>
      <c r="I28" s="3">
        <v>124</v>
      </c>
      <c r="J28" s="4">
        <v>1010000000</v>
      </c>
      <c r="K28" s="5">
        <f t="shared" si="0"/>
        <v>125</v>
      </c>
      <c r="L28" s="9">
        <f t="shared" si="18"/>
        <v>1653370000</v>
      </c>
      <c r="M28" s="3">
        <f t="shared" si="2"/>
        <v>126</v>
      </c>
      <c r="N28" s="10">
        <f t="shared" si="19"/>
        <v>2893397500</v>
      </c>
      <c r="O28" s="5">
        <f t="shared" si="4"/>
        <v>128</v>
      </c>
      <c r="P28" s="9">
        <f t="shared" si="20"/>
        <v>6076134750</v>
      </c>
      <c r="Q28" s="3">
        <f t="shared" si="6"/>
        <v>130</v>
      </c>
      <c r="R28" s="10">
        <f>ROUND($J28*1.637*1.75*2.1*2.3*1,0)</f>
        <v>13975109925</v>
      </c>
      <c r="S28" s="5">
        <f t="shared" si="7"/>
        <v>132</v>
      </c>
      <c r="T28" s="9">
        <f>ROUND($J28*1.637*1.75*2.1*2.3*2.6*1,0)</f>
        <v>36335285805</v>
      </c>
      <c r="U28" s="3">
        <f t="shared" si="8"/>
        <v>135</v>
      </c>
      <c r="V28" s="10">
        <f>ROUND($J28*1.637*1.75*2.1*2.3*2.6*3.2*1,0)</f>
        <v>116272914576</v>
      </c>
      <c r="W28" s="5">
        <f t="shared" si="9"/>
        <v>139</v>
      </c>
      <c r="X28" s="9">
        <f>ROUND($J28*1.637*1.75*2.1*2.3*2.6*3.2*4.2*1,0)</f>
        <v>488346241219</v>
      </c>
      <c r="Y28" s="3">
        <f t="shared" si="10"/>
        <v>141</v>
      </c>
      <c r="Z28" s="10">
        <f>ROUND($J28*1.637*1.75*2.1*2.3*2.6*3.2*4.2*2.4*1,0)</f>
        <v>1172030978926</v>
      </c>
      <c r="AA28" s="5">
        <f t="shared" si="11"/>
        <v>143</v>
      </c>
      <c r="AB28" s="9">
        <f>ROUND($J28*1.637*1.75*2.1*2.3*2.6*3.2*4.2*2.4*2.5*1,0)</f>
        <v>2930077447315</v>
      </c>
      <c r="AC28" s="3">
        <f t="shared" si="12"/>
        <v>145</v>
      </c>
      <c r="AD28" s="10">
        <f>ROUND($J28*1.637*1.75*2.1*2.3*2.6*3.2*4.2*2.4*2.5*2.8*1,0)</f>
        <v>8204216852483</v>
      </c>
      <c r="AE28" s="5">
        <f t="shared" si="13"/>
        <v>148</v>
      </c>
      <c r="AF28" s="9">
        <f>ROUND($J28*1.637*1.75*2.1*2.3*2.6*3.2*4.2*2.4*2.5*2.8*3.2*1,0)</f>
        <v>26253493927944</v>
      </c>
      <c r="AG28" s="3">
        <f t="shared" si="14"/>
        <v>151</v>
      </c>
      <c r="AH28" s="10">
        <f>ROUND($J28*1.637*1.75*2.1*2.3*2.6*3.2*4.2*2.4*2.5*2.8*3.2*3.8*1,0)</f>
        <v>99763276926188</v>
      </c>
    </row>
    <row r="29" spans="1:34" x14ac:dyDescent="0.3">
      <c r="A29" s="2">
        <v>9</v>
      </c>
      <c r="B29" s="2" t="s">
        <v>84</v>
      </c>
      <c r="C29" s="2" t="s">
        <v>24</v>
      </c>
      <c r="D29" s="2" t="s">
        <v>45</v>
      </c>
      <c r="E29" s="2">
        <v>124</v>
      </c>
      <c r="F29" s="2" t="s">
        <v>62</v>
      </c>
      <c r="G29" s="2" t="s">
        <v>51</v>
      </c>
      <c r="H29" s="2">
        <v>32</v>
      </c>
      <c r="I29" s="3">
        <v>124</v>
      </c>
      <c r="J29" s="4">
        <v>1092000000</v>
      </c>
      <c r="K29" s="5">
        <f t="shared" si="0"/>
        <v>125</v>
      </c>
      <c r="L29" s="9">
        <f t="shared" si="18"/>
        <v>1787604000</v>
      </c>
      <c r="M29" s="3">
        <f t="shared" si="2"/>
        <v>126</v>
      </c>
      <c r="N29" s="10">
        <f t="shared" si="19"/>
        <v>3128307000</v>
      </c>
      <c r="O29" s="5">
        <f t="shared" si="4"/>
        <v>128</v>
      </c>
      <c r="P29" s="9">
        <f t="shared" si="20"/>
        <v>6569444700</v>
      </c>
      <c r="Q29" s="3">
        <f t="shared" si="6"/>
        <v>130</v>
      </c>
      <c r="R29" s="10">
        <f>ROUND($J29*1.637*1.75*2.1*2.3*1,0)</f>
        <v>15109722810</v>
      </c>
      <c r="S29" s="5">
        <f t="shared" si="7"/>
        <v>132</v>
      </c>
      <c r="T29" s="9">
        <f>ROUND($J29*1.637*1.75*2.1*2.3*2.6*1,0)</f>
        <v>39285279306</v>
      </c>
      <c r="U29" s="3">
        <f t="shared" si="8"/>
        <v>135</v>
      </c>
      <c r="V29" s="10">
        <f>ROUND($J29*1.637*1.75*2.1*2.3*2.6*3.2*1,0)</f>
        <v>125712893779</v>
      </c>
      <c r="W29" s="5">
        <f t="shared" si="9"/>
        <v>139</v>
      </c>
      <c r="X29" s="9">
        <f>ROUND($J29*1.637*1.75*2.1*2.3*2.6*3.2*4.2*1,0)</f>
        <v>527994153873</v>
      </c>
      <c r="Y29" s="3">
        <f t="shared" si="10"/>
        <v>141</v>
      </c>
      <c r="Z29" s="10">
        <f>ROUND($J29*1.637*1.75*2.1*2.3*2.6*3.2*4.2*2.4*1,0)</f>
        <v>1267185969294</v>
      </c>
      <c r="AA29" s="5">
        <f t="shared" si="11"/>
        <v>143</v>
      </c>
      <c r="AB29" s="9">
        <f>ROUND($J29*1.637*1.75*2.1*2.3*2.6*3.2*4.2*2.4*2.5*1,0)</f>
        <v>3167964923236</v>
      </c>
      <c r="AC29" s="3">
        <f t="shared" si="12"/>
        <v>145</v>
      </c>
      <c r="AD29" s="10">
        <f>ROUND($J29*1.637*1.75*2.1*2.3*2.6*3.2*4.2*2.4*2.5*2.8*1,0)</f>
        <v>8870301785060</v>
      </c>
      <c r="AE29" s="5">
        <f t="shared" si="13"/>
        <v>148</v>
      </c>
      <c r="AF29" s="9">
        <f>ROUND($J29*1.637*1.75*2.1*2.3*2.6*3.2*4.2*2.4*2.5*2.8*3.2*1,0)</f>
        <v>28384965712193</v>
      </c>
      <c r="AG29" s="3">
        <f t="shared" si="14"/>
        <v>151</v>
      </c>
      <c r="AH29" s="10">
        <f>ROUND($J29*1.637*1.75*2.1*2.3*2.6*3.2*4.2*2.4*2.5*2.8*3.2*3.8*1,0)</f>
        <v>107862869706334</v>
      </c>
    </row>
    <row r="30" spans="1:34" x14ac:dyDescent="0.3">
      <c r="A30" s="2">
        <v>77</v>
      </c>
      <c r="B30" s="2" t="s">
        <v>85</v>
      </c>
      <c r="C30" s="2" t="s">
        <v>24</v>
      </c>
      <c r="D30" s="2" t="s">
        <v>40</v>
      </c>
      <c r="E30" s="2">
        <v>124</v>
      </c>
      <c r="F30" s="2" t="s">
        <v>56</v>
      </c>
      <c r="G30" s="2" t="s">
        <v>86</v>
      </c>
      <c r="H30" s="2">
        <v>32</v>
      </c>
      <c r="I30" s="3">
        <v>124</v>
      </c>
      <c r="J30" s="4">
        <v>234000000</v>
      </c>
      <c r="K30" s="5">
        <f t="shared" si="0"/>
        <v>125</v>
      </c>
      <c r="L30" s="9">
        <f>ROUND($J30*1.637*0.8,0)</f>
        <v>306446400</v>
      </c>
      <c r="M30" s="3">
        <f t="shared" si="2"/>
        <v>126</v>
      </c>
      <c r="N30" s="10">
        <f>ROUND($J30*1.637*1.75*0.8,0)</f>
        <v>536281200</v>
      </c>
      <c r="O30" s="5">
        <f t="shared" si="4"/>
        <v>128</v>
      </c>
      <c r="P30" s="9">
        <f>ROUND($J30*1.637*1.75*2.1*0.8,0)</f>
        <v>1126190520</v>
      </c>
      <c r="Q30" s="3">
        <f t="shared" si="6"/>
        <v>130</v>
      </c>
      <c r="R30" s="10">
        <f>ROUND($J30*1.637*1.75*2.1*2.3*0.542035092435954,0)</f>
        <v>1755000000</v>
      </c>
      <c r="S30" s="5">
        <f t="shared" si="7"/>
        <v>132</v>
      </c>
      <c r="T30" s="9">
        <f>ROUND($J30*1.637*1.75*2.1*2.3*2.6*0.544690061623969,0)</f>
        <v>4585350258</v>
      </c>
      <c r="U30" s="3">
        <f t="shared" si="8"/>
        <v>135</v>
      </c>
      <c r="V30" s="10">
        <f>ROUND($J30*1.637*1.75*2.1*2.3*2.6*3.2*0.547345030811984,0)</f>
        <v>14744641654</v>
      </c>
      <c r="W30" s="5">
        <f t="shared" si="9"/>
        <v>139</v>
      </c>
      <c r="X30" s="9">
        <f>ROUND($J30*1.637*1.75*2.1*2.3*2.6*3.2*4.2*0.55,0)</f>
        <v>62227882421</v>
      </c>
      <c r="Y30" s="3">
        <f t="shared" si="10"/>
        <v>141</v>
      </c>
      <c r="Z30" s="10">
        <f>ROUND($J30*1.637*1.75*2.1*2.3*2.6*3.2*4.2*2.4*0.55,0)</f>
        <v>149346917810</v>
      </c>
      <c r="AA30" s="5">
        <f t="shared" si="11"/>
        <v>143</v>
      </c>
      <c r="AB30" s="9">
        <f>ROUND($J30*1.637*1.75*2.1*2.3*2.6*3.2*4.2*2.4*2.5*0.55,0)</f>
        <v>373367294524</v>
      </c>
      <c r="AC30" s="3">
        <f t="shared" si="12"/>
        <v>145</v>
      </c>
      <c r="AD30" s="10">
        <f>ROUND($J30*1.637*1.75*2.1*2.3*2.6*3.2*4.2*2.4*2.5*2.8*0.55,0)</f>
        <v>1045428424668</v>
      </c>
      <c r="AE30" s="5">
        <f t="shared" si="13"/>
        <v>148</v>
      </c>
      <c r="AF30" s="9">
        <f>ROUND($J30*1.637*1.75*2.1*2.3*2.6*3.2*4.2*2.4*2.5*2.8*3.2*0.55,0)</f>
        <v>3345370958937</v>
      </c>
      <c r="AG30" s="3">
        <f t="shared" si="14"/>
        <v>151</v>
      </c>
      <c r="AH30" s="10">
        <f>ROUND($J30*1.637*1.75*2.1*2.3*2.6*3.2*4.2*2.4*2.5*2.8*3.2*3.8*0.55,0)</f>
        <v>12712409643961</v>
      </c>
    </row>
    <row r="31" spans="1:34" x14ac:dyDescent="0.3">
      <c r="A31" s="2">
        <v>66</v>
      </c>
      <c r="B31" s="2" t="s">
        <v>87</v>
      </c>
      <c r="C31" s="2" t="s">
        <v>24</v>
      </c>
      <c r="D31" s="2" t="s">
        <v>40</v>
      </c>
      <c r="E31" s="2">
        <v>124</v>
      </c>
      <c r="F31" s="2" t="s">
        <v>88</v>
      </c>
      <c r="G31" s="2" t="s">
        <v>51</v>
      </c>
      <c r="H31" s="2">
        <v>33</v>
      </c>
      <c r="I31" s="3">
        <v>124</v>
      </c>
      <c r="J31" s="4">
        <v>8450000000</v>
      </c>
      <c r="K31" s="5">
        <f t="shared" si="0"/>
        <v>125</v>
      </c>
      <c r="L31" s="9">
        <f>ROUND($J31*1.637*1,0)</f>
        <v>13832650000</v>
      </c>
      <c r="M31" s="3">
        <f t="shared" si="2"/>
        <v>126</v>
      </c>
      <c r="N31" s="10">
        <f>ROUND($J31*1.637*1.75*1,0)</f>
        <v>24207137500</v>
      </c>
      <c r="O31" s="5">
        <f t="shared" si="4"/>
        <v>128</v>
      </c>
      <c r="P31" s="9">
        <f>ROUND($J31*1.637*1.75*2.1*1,0)</f>
        <v>50834988750</v>
      </c>
      <c r="Q31" s="3">
        <f t="shared" si="6"/>
        <v>130</v>
      </c>
      <c r="R31" s="10">
        <f>ROUND($J31*1.637*1.75*2.1*2.3*1.25,0)</f>
        <v>146150592656</v>
      </c>
      <c r="S31" s="5">
        <f t="shared" si="7"/>
        <v>132</v>
      </c>
      <c r="T31" s="9">
        <f>ROUND($J31*1.637*1.75*2.1*2.3*2.6*1.25,0)</f>
        <v>379991540906</v>
      </c>
      <c r="U31" s="3">
        <f t="shared" si="8"/>
        <v>135</v>
      </c>
      <c r="V31" s="10">
        <f>ROUND($J31*1.637*1.75*2.1*2.3*2.6*3.2*1.25,0)</f>
        <v>1215972930900</v>
      </c>
      <c r="W31" s="5">
        <f t="shared" si="9"/>
        <v>139</v>
      </c>
      <c r="X31" s="9">
        <f>ROUND($J31*1.637*1.75*2.1*2.3*2.6*3.2*4.2*1.25,0)</f>
        <v>5107086309780</v>
      </c>
      <c r="Y31" s="3">
        <f t="shared" si="10"/>
        <v>141</v>
      </c>
      <c r="Z31" s="10">
        <f>ROUND($J31*1.637*1.75*2.1*2.3*2.6*3.2*4.2*2.4*1.25,0)</f>
        <v>12257007143472</v>
      </c>
      <c r="AA31" s="5">
        <f t="shared" si="11"/>
        <v>143</v>
      </c>
      <c r="AB31" s="9">
        <f>ROUND($J31*1.637*1.75*2.1*2.3*2.6*3.2*4.2*2.4*2.5*1.25,0)</f>
        <v>30642517858680</v>
      </c>
      <c r="AC31" s="3">
        <f t="shared" si="12"/>
        <v>145</v>
      </c>
      <c r="AD31" s="10">
        <f>ROUND($J31*1.637*1.75*2.1*2.3*2.6*3.2*4.2*2.4*2.5*2.8*1.25,0)</f>
        <v>85799050004304</v>
      </c>
      <c r="AE31" s="5">
        <f t="shared" si="13"/>
        <v>148</v>
      </c>
      <c r="AF31" s="9">
        <f>ROUND($J31*1.637*1.75*2.1*2.3*2.6*3.2*4.2*2.4*2.5*2.8*3.2*1.25,0)</f>
        <v>274556960013773</v>
      </c>
      <c r="AG31" s="3">
        <f t="shared" si="14"/>
        <v>151</v>
      </c>
      <c r="AH31" s="10">
        <f>ROUND($J31*1.637*1.75*2.1*2.3*2.6*3.2*4.2*2.4*2.5*2.8*3.2*3.8*1.25,0)</f>
        <v>1043316448052340</v>
      </c>
    </row>
    <row r="32" spans="1:34" x14ac:dyDescent="0.3">
      <c r="A32" s="2">
        <v>78</v>
      </c>
      <c r="B32" s="2" t="s">
        <v>89</v>
      </c>
      <c r="C32" s="2" t="s">
        <v>24</v>
      </c>
      <c r="D32" s="2" t="s">
        <v>90</v>
      </c>
      <c r="E32" s="2">
        <v>124</v>
      </c>
      <c r="F32" s="2" t="s">
        <v>30</v>
      </c>
      <c r="G32" s="2" t="s">
        <v>51</v>
      </c>
      <c r="H32" s="2">
        <v>31</v>
      </c>
      <c r="I32" s="3">
        <v>124</v>
      </c>
      <c r="J32" s="4">
        <v>404000000</v>
      </c>
      <c r="K32" s="5">
        <f t="shared" si="0"/>
        <v>125</v>
      </c>
      <c r="L32" s="9">
        <f>ROUND($J32*1.637*1,0)</f>
        <v>661348000</v>
      </c>
      <c r="M32" s="3">
        <f t="shared" si="2"/>
        <v>126</v>
      </c>
      <c r="N32" s="10">
        <f>ROUND($J32*1.637*1.75*1,0)</f>
        <v>1157359000</v>
      </c>
      <c r="O32" s="5">
        <f t="shared" si="4"/>
        <v>128</v>
      </c>
      <c r="P32" s="9">
        <f>ROUND($J32*1.637*1.75*2.1*1,0)</f>
        <v>2430453900</v>
      </c>
      <c r="Q32" s="3">
        <f t="shared" si="6"/>
        <v>130</v>
      </c>
      <c r="R32" s="10">
        <f>ROUND($J32*1.637*1.75*2.1*2.3*1,0)</f>
        <v>5590043970</v>
      </c>
      <c r="S32" s="5">
        <f t="shared" si="7"/>
        <v>132</v>
      </c>
      <c r="T32" s="9">
        <f>ROUND($J32*1.637*1.75*2.1*2.3*2.6*1,0)</f>
        <v>14534114322</v>
      </c>
      <c r="U32" s="3">
        <f t="shared" si="8"/>
        <v>135</v>
      </c>
      <c r="V32" s="10">
        <f>ROUND($J32*1.637*1.75*2.1*2.3*2.6*3.2*1,0)</f>
        <v>46509165830</v>
      </c>
      <c r="W32" s="5">
        <f t="shared" si="9"/>
        <v>139</v>
      </c>
      <c r="X32" s="9">
        <f>ROUND($J32*1.637*1.75*2.1*2.3*2.6*3.2*4.2*1,0)</f>
        <v>195338496488</v>
      </c>
      <c r="Y32" s="3">
        <f t="shared" si="10"/>
        <v>141</v>
      </c>
      <c r="Z32" s="10">
        <f>ROUND($J32*1.637*1.75*2.1*2.3*2.6*3.2*4.2*2.4*1,0)</f>
        <v>468812391570</v>
      </c>
      <c r="AA32" s="5">
        <f t="shared" si="11"/>
        <v>143</v>
      </c>
      <c r="AB32" s="9">
        <f>ROUND($J32*1.637*1.75*2.1*2.3*2.6*3.2*4.2*2.4*2.5*1,0)</f>
        <v>1172030978926</v>
      </c>
      <c r="AC32" s="3">
        <f t="shared" si="12"/>
        <v>145</v>
      </c>
      <c r="AD32" s="10">
        <f>ROUND($J32*1.637*1.75*2.1*2.3*2.6*3.2*4.2*2.4*2.5*2.8*1,0)</f>
        <v>3281686740993</v>
      </c>
      <c r="AE32" s="5">
        <f t="shared" si="13"/>
        <v>148</v>
      </c>
      <c r="AF32" s="9">
        <f>ROUND($J32*1.637*1.75*2.1*2.3*2.6*3.2*4.2*2.4*2.5*2.8*3.2*1,0)</f>
        <v>10501397571178</v>
      </c>
      <c r="AG32" s="3">
        <f t="shared" si="14"/>
        <v>151</v>
      </c>
      <c r="AH32" s="10">
        <f>ROUND($J32*1.637*1.75*2.1*2.3*2.6*3.2*4.2*2.4*2.5*2.8*3.2*3.8*1,0)</f>
        <v>39905310770475</v>
      </c>
    </row>
    <row r="33" spans="1:34" x14ac:dyDescent="0.3">
      <c r="A33" s="2">
        <v>10</v>
      </c>
      <c r="B33" s="2" t="s">
        <v>91</v>
      </c>
      <c r="C33" s="2" t="s">
        <v>24</v>
      </c>
      <c r="D33" s="2" t="s">
        <v>47</v>
      </c>
      <c r="E33" s="2">
        <v>124</v>
      </c>
      <c r="F33" s="2" t="s">
        <v>71</v>
      </c>
      <c r="G33" s="2" t="s">
        <v>38</v>
      </c>
      <c r="H33" s="2">
        <v>27</v>
      </c>
      <c r="I33" s="3">
        <v>124</v>
      </c>
      <c r="J33" s="4">
        <v>129000000</v>
      </c>
      <c r="K33" s="5">
        <f t="shared" si="0"/>
        <v>125</v>
      </c>
      <c r="L33" s="9">
        <f>ROUND($J33*1.637*0.8,0)</f>
        <v>168938400</v>
      </c>
      <c r="M33" s="3">
        <f t="shared" si="2"/>
        <v>126</v>
      </c>
      <c r="N33" s="10">
        <f>ROUND($J33*1.637*1.75*0.8,0)</f>
        <v>295642200</v>
      </c>
      <c r="O33" s="5">
        <f t="shared" si="4"/>
        <v>128</v>
      </c>
      <c r="P33" s="9">
        <f>ROUND($J33*1.637*1.75*2.1*0.8,0)</f>
        <v>620848620</v>
      </c>
      <c r="Q33" s="3">
        <f t="shared" si="6"/>
        <v>130</v>
      </c>
      <c r="R33" s="10">
        <f>ROUND($J33*1.637*1.75*2.1*2.3*0.542035092435954,0)</f>
        <v>967500000</v>
      </c>
      <c r="S33" s="5">
        <f t="shared" si="7"/>
        <v>132</v>
      </c>
      <c r="T33" s="9">
        <f>ROUND($J33*1.637*1.75*2.1*2.3*2.6*0.544690061623969,0)</f>
        <v>2527821296</v>
      </c>
      <c r="U33" s="3">
        <f t="shared" si="8"/>
        <v>135</v>
      </c>
      <c r="V33" s="10">
        <f>ROUND($J33*1.637*1.75*2.1*2.3*2.6*3.2*0.547345030811984,0)</f>
        <v>8128456296</v>
      </c>
      <c r="W33" s="5">
        <f t="shared" si="9"/>
        <v>139</v>
      </c>
      <c r="X33" s="9">
        <f>ROUND($J33*1.637*1.75*2.1*2.3*2.6*3.2*4.2*0.55,0)</f>
        <v>34305114668</v>
      </c>
      <c r="Y33" s="3">
        <f t="shared" si="10"/>
        <v>141</v>
      </c>
      <c r="Z33" s="10">
        <f>ROUND($J33*1.637*1.75*2.1*2.3*2.6*3.2*4.2*2.4*0.55,0)</f>
        <v>82332275203</v>
      </c>
      <c r="AA33" s="5">
        <f t="shared" si="11"/>
        <v>143</v>
      </c>
      <c r="AB33" s="9">
        <f>ROUND($J33*1.637*1.75*2.1*2.3*2.6*3.2*4.2*2.4*2.5*0.55,0)</f>
        <v>205830688007</v>
      </c>
      <c r="AC33" s="3">
        <f t="shared" si="12"/>
        <v>145</v>
      </c>
      <c r="AD33" s="10">
        <f>ROUND($J33*1.637*1.75*2.1*2.3*2.6*3.2*4.2*2.4*2.5*2.8*0.55,0)</f>
        <v>576325926419</v>
      </c>
      <c r="AE33" s="5">
        <f t="shared" si="13"/>
        <v>148</v>
      </c>
      <c r="AF33" s="9">
        <f>ROUND($J33*1.637*1.75*2.1*2.3*2.6*3.2*4.2*2.4*2.5*2.8*3.2*0.55,0)</f>
        <v>1844242964542</v>
      </c>
      <c r="AG33" s="3">
        <f t="shared" si="14"/>
        <v>151</v>
      </c>
      <c r="AH33" s="10">
        <f>ROUND($J33*1.637*1.75*2.1*2.3*2.6*3.2*4.2*2.4*2.5*2.8*3.2*3.8*0.55,0)</f>
        <v>7008123265260</v>
      </c>
    </row>
    <row r="34" spans="1:34" x14ac:dyDescent="0.3">
      <c r="A34" s="2">
        <v>8</v>
      </c>
      <c r="B34" s="2" t="s">
        <v>92</v>
      </c>
      <c r="C34" s="2" t="s">
        <v>24</v>
      </c>
      <c r="D34" s="2" t="s">
        <v>93</v>
      </c>
      <c r="E34" s="2">
        <v>124</v>
      </c>
      <c r="F34" s="2" t="s">
        <v>56</v>
      </c>
      <c r="G34" s="2" t="s">
        <v>57</v>
      </c>
      <c r="H34" s="2">
        <v>32</v>
      </c>
      <c r="I34" s="3">
        <v>124</v>
      </c>
      <c r="J34" s="4">
        <v>5000000000</v>
      </c>
      <c r="K34" s="5">
        <f t="shared" si="0"/>
        <v>125</v>
      </c>
      <c r="L34" s="9">
        <f t="shared" ref="L34:L44" si="21">ROUND($J34*1.637*1,0)</f>
        <v>8185000000</v>
      </c>
      <c r="M34" s="3">
        <f t="shared" si="2"/>
        <v>126</v>
      </c>
      <c r="N34" s="10">
        <f t="shared" ref="N34:N44" si="22">ROUND($J34*1.637*1.75*1,0)</f>
        <v>14323750000</v>
      </c>
      <c r="O34" s="5">
        <f t="shared" si="4"/>
        <v>128</v>
      </c>
      <c r="P34" s="9">
        <f t="shared" ref="P34:P44" si="23">ROUND($J34*1.637*1.75*2.1*1,0)</f>
        <v>30079875000</v>
      </c>
      <c r="Q34" s="3">
        <f t="shared" si="6"/>
        <v>130</v>
      </c>
      <c r="R34" s="10">
        <f>ROUND($J34*1.637*1.75*2.1*2.3*1.25,0)</f>
        <v>86479640625</v>
      </c>
      <c r="S34" s="5">
        <f t="shared" si="7"/>
        <v>132</v>
      </c>
      <c r="T34" s="9">
        <f>ROUND($J34*1.637*1.75*2.1*2.3*2.6*1.25,0)</f>
        <v>224847065625</v>
      </c>
      <c r="U34" s="3">
        <f t="shared" si="8"/>
        <v>135</v>
      </c>
      <c r="V34" s="10">
        <f>ROUND($J34*1.637*1.75*2.1*2.3*2.6*3.2*1.25,0)</f>
        <v>719510610000</v>
      </c>
      <c r="W34" s="5">
        <f t="shared" si="9"/>
        <v>139</v>
      </c>
      <c r="X34" s="9">
        <f>ROUND($J34*1.637*1.75*2.1*2.3*2.6*3.2*4.2*1.25,0)</f>
        <v>3021944562000</v>
      </c>
      <c r="Y34" s="3">
        <f t="shared" si="10"/>
        <v>141</v>
      </c>
      <c r="Z34" s="10">
        <f>ROUND($J34*1.637*1.75*2.1*2.3*2.6*3.2*4.2*2.4*1.25,0)</f>
        <v>7252666948800</v>
      </c>
      <c r="AA34" s="5">
        <f t="shared" si="11"/>
        <v>143</v>
      </c>
      <c r="AB34" s="9">
        <f>ROUND($J34*1.637*1.75*2.1*2.3*2.6*3.2*4.2*2.4*2.5*1.25,0)</f>
        <v>18131667372000</v>
      </c>
      <c r="AC34" s="3">
        <f t="shared" si="12"/>
        <v>145</v>
      </c>
      <c r="AD34" s="10">
        <f>ROUND($J34*1.637*1.75*2.1*2.3*2.6*3.2*4.2*2.4*2.5*2.8*1.25,0)</f>
        <v>50768668641600</v>
      </c>
      <c r="AE34" s="5">
        <f t="shared" si="13"/>
        <v>148</v>
      </c>
      <c r="AF34" s="9">
        <f>ROUND($J34*1.637*1.75*2.1*2.3*2.6*3.2*4.2*2.4*2.5*2.8*3.2*1.25,0)</f>
        <v>162459739653120</v>
      </c>
      <c r="AG34" s="3">
        <f t="shared" si="14"/>
        <v>151</v>
      </c>
      <c r="AH34" s="10">
        <f>ROUND($J34*1.637*1.75*2.1*2.3*2.6*3.2*4.2*2.4*2.5*2.8*3.2*3.8*1.25,0)</f>
        <v>617347010681856</v>
      </c>
    </row>
    <row r="35" spans="1:34" x14ac:dyDescent="0.3">
      <c r="A35" s="2">
        <v>75</v>
      </c>
      <c r="B35" s="2" t="s">
        <v>94</v>
      </c>
      <c r="C35" s="2" t="s">
        <v>24</v>
      </c>
      <c r="D35" s="2" t="s">
        <v>29</v>
      </c>
      <c r="E35" s="2">
        <v>124</v>
      </c>
      <c r="F35" s="2" t="s">
        <v>42</v>
      </c>
      <c r="G35" s="2" t="s">
        <v>95</v>
      </c>
      <c r="H35" s="2">
        <v>32</v>
      </c>
      <c r="I35" s="3">
        <v>124</v>
      </c>
      <c r="J35" s="4">
        <v>1200000000</v>
      </c>
      <c r="K35" s="5">
        <f t="shared" si="0"/>
        <v>125</v>
      </c>
      <c r="L35" s="9">
        <f t="shared" si="21"/>
        <v>1964400000</v>
      </c>
      <c r="M35" s="3">
        <f t="shared" si="2"/>
        <v>126</v>
      </c>
      <c r="N35" s="10">
        <f t="shared" si="22"/>
        <v>3437700000</v>
      </c>
      <c r="O35" s="5">
        <f t="shared" si="4"/>
        <v>128</v>
      </c>
      <c r="P35" s="9">
        <f t="shared" si="23"/>
        <v>7219170000</v>
      </c>
      <c r="Q35" s="3">
        <f t="shared" si="6"/>
        <v>130</v>
      </c>
      <c r="R35" s="10">
        <f>ROUND($J35*1.637*1.75*2.1*2.3*1,0)</f>
        <v>16604091000</v>
      </c>
      <c r="S35" s="5">
        <f t="shared" si="7"/>
        <v>132</v>
      </c>
      <c r="T35" s="9">
        <f>ROUND($J35*1.637*1.75*2.1*2.3*2.6*1,0)</f>
        <v>43170636600</v>
      </c>
      <c r="U35" s="3">
        <f t="shared" si="8"/>
        <v>135</v>
      </c>
      <c r="V35" s="10">
        <f>ROUND($J35*1.637*1.75*2.1*2.3*2.6*3.2*1,0)</f>
        <v>138146037120</v>
      </c>
      <c r="W35" s="5">
        <f t="shared" si="9"/>
        <v>139</v>
      </c>
      <c r="X35" s="9">
        <f>ROUND($J35*1.637*1.75*2.1*2.3*2.6*3.2*4.2*1,0)</f>
        <v>580213355904</v>
      </c>
      <c r="Y35" s="3">
        <f t="shared" si="10"/>
        <v>141</v>
      </c>
      <c r="Z35" s="10">
        <f>ROUND($J35*1.637*1.75*2.1*2.3*2.6*3.2*4.2*2.4*1,0)</f>
        <v>1392512054170</v>
      </c>
      <c r="AA35" s="5">
        <f t="shared" si="11"/>
        <v>143</v>
      </c>
      <c r="AB35" s="9">
        <f>ROUND($J35*1.637*1.75*2.1*2.3*2.6*3.2*4.2*2.4*2.5*1,0)</f>
        <v>3481280135424</v>
      </c>
      <c r="AC35" s="3">
        <f t="shared" si="12"/>
        <v>145</v>
      </c>
      <c r="AD35" s="10">
        <f>ROUND($J35*1.637*1.75*2.1*2.3*2.6*3.2*4.2*2.4*2.5*2.8*1,0)</f>
        <v>9747584379187</v>
      </c>
      <c r="AE35" s="5">
        <f t="shared" si="13"/>
        <v>148</v>
      </c>
      <c r="AF35" s="9">
        <f>ROUND($J35*1.637*1.75*2.1*2.3*2.6*3.2*4.2*2.4*2.5*2.8*3.2*1,0)</f>
        <v>31192270013399</v>
      </c>
      <c r="AG35" s="3">
        <f t="shared" si="14"/>
        <v>151</v>
      </c>
      <c r="AH35" s="10">
        <f>ROUND($J35*1.637*1.75*2.1*2.3*2.6*3.2*4.2*2.4*2.5*2.8*3.2*3.8*1,0)</f>
        <v>118530626050916</v>
      </c>
    </row>
    <row r="36" spans="1:34" x14ac:dyDescent="0.3">
      <c r="A36" s="2">
        <v>36</v>
      </c>
      <c r="B36" s="2" t="s">
        <v>96</v>
      </c>
      <c r="C36" s="2" t="s">
        <v>24</v>
      </c>
      <c r="D36" s="2" t="s">
        <v>40</v>
      </c>
      <c r="E36" s="2">
        <v>124</v>
      </c>
      <c r="F36" s="2" t="s">
        <v>97</v>
      </c>
      <c r="G36" s="2" t="s">
        <v>98</v>
      </c>
      <c r="H36" s="2">
        <v>33</v>
      </c>
      <c r="I36" s="3">
        <v>124</v>
      </c>
      <c r="J36" s="4">
        <v>8500000000</v>
      </c>
      <c r="K36" s="5">
        <f t="shared" si="0"/>
        <v>125</v>
      </c>
      <c r="L36" s="9">
        <f t="shared" si="21"/>
        <v>13914500000</v>
      </c>
      <c r="M36" s="3">
        <f t="shared" si="2"/>
        <v>126</v>
      </c>
      <c r="N36" s="10">
        <f t="shared" si="22"/>
        <v>24350375000</v>
      </c>
      <c r="O36" s="5">
        <f t="shared" si="4"/>
        <v>128</v>
      </c>
      <c r="P36" s="9">
        <f t="shared" si="23"/>
        <v>51135787500</v>
      </c>
      <c r="Q36" s="3">
        <f t="shared" si="6"/>
        <v>130</v>
      </c>
      <c r="R36" s="10">
        <f>ROUND($J36*1.637*1.75*2.1*2.3*1.25,0)</f>
        <v>147015389063</v>
      </c>
      <c r="S36" s="5">
        <f t="shared" si="7"/>
        <v>132</v>
      </c>
      <c r="T36" s="9">
        <f>ROUND($J36*1.637*1.75*2.1*2.3*2.6*1.25,0)</f>
        <v>382240011563</v>
      </c>
      <c r="U36" s="3">
        <f t="shared" si="8"/>
        <v>135</v>
      </c>
      <c r="V36" s="10">
        <f>ROUND($J36*1.637*1.75*2.1*2.3*2.6*3.2*1.25,0)</f>
        <v>1223168037000</v>
      </c>
      <c r="W36" s="5">
        <f t="shared" si="9"/>
        <v>139</v>
      </c>
      <c r="X36" s="9">
        <f>ROUND($J36*1.637*1.75*2.1*2.3*2.6*3.2*4.2*1.25,0)</f>
        <v>5137305755400</v>
      </c>
      <c r="Y36" s="3">
        <f t="shared" si="10"/>
        <v>141</v>
      </c>
      <c r="Z36" s="10">
        <f>ROUND($J36*1.637*1.75*2.1*2.3*2.6*3.2*4.2*2.4*1.25,0)</f>
        <v>12329533812960</v>
      </c>
      <c r="AA36" s="5">
        <f t="shared" si="11"/>
        <v>143</v>
      </c>
      <c r="AB36" s="9">
        <f>ROUND($J36*1.637*1.75*2.1*2.3*2.6*3.2*4.2*2.4*2.5*1.25,0)</f>
        <v>30823834532400</v>
      </c>
      <c r="AC36" s="3">
        <f t="shared" si="12"/>
        <v>145</v>
      </c>
      <c r="AD36" s="10">
        <f>ROUND($J36*1.637*1.75*2.1*2.3*2.6*3.2*4.2*2.4*2.5*2.8*1.25,0)</f>
        <v>86306736690720</v>
      </c>
      <c r="AE36" s="5">
        <f t="shared" si="13"/>
        <v>148</v>
      </c>
      <c r="AF36" s="9">
        <f>ROUND($J36*1.637*1.75*2.1*2.3*2.6*3.2*4.2*2.4*2.5*2.8*3.2*1.25,0)</f>
        <v>276181557410304</v>
      </c>
      <c r="AG36" s="3">
        <f t="shared" si="14"/>
        <v>151</v>
      </c>
      <c r="AH36" s="10">
        <f>ROUND($J36*1.637*1.75*2.1*2.3*2.6*3.2*4.2*2.4*2.5*2.8*3.2*3.8*1.25,0)</f>
        <v>1049489918159160</v>
      </c>
    </row>
    <row r="37" spans="1:34" x14ac:dyDescent="0.3">
      <c r="A37" s="2">
        <v>64</v>
      </c>
      <c r="B37" s="2" t="s">
        <v>99</v>
      </c>
      <c r="C37" s="2" t="s">
        <v>24</v>
      </c>
      <c r="D37" s="2" t="s">
        <v>29</v>
      </c>
      <c r="E37" s="2">
        <v>124</v>
      </c>
      <c r="F37" s="2" t="s">
        <v>54</v>
      </c>
      <c r="G37" s="2" t="s">
        <v>57</v>
      </c>
      <c r="H37" s="2">
        <v>33</v>
      </c>
      <c r="I37" s="3">
        <v>124</v>
      </c>
      <c r="J37" s="4">
        <v>3816000000</v>
      </c>
      <c r="K37" s="5">
        <f t="shared" si="0"/>
        <v>125</v>
      </c>
      <c r="L37" s="9">
        <f t="shared" si="21"/>
        <v>6246792000</v>
      </c>
      <c r="M37" s="3">
        <f t="shared" si="2"/>
        <v>126</v>
      </c>
      <c r="N37" s="10">
        <f t="shared" si="22"/>
        <v>10931886000</v>
      </c>
      <c r="O37" s="5">
        <f t="shared" si="4"/>
        <v>128</v>
      </c>
      <c r="P37" s="9">
        <f t="shared" si="23"/>
        <v>22956960600</v>
      </c>
      <c r="Q37" s="3">
        <f t="shared" si="6"/>
        <v>130</v>
      </c>
      <c r="R37" s="10">
        <f>ROUND($J37*1.637*1.75*2.1*2.3*1.25,0)</f>
        <v>66001261725</v>
      </c>
      <c r="S37" s="5">
        <f t="shared" si="7"/>
        <v>132</v>
      </c>
      <c r="T37" s="9">
        <f>ROUND($J37*1.637*1.75*2.1*2.3*2.6*1.25,0)</f>
        <v>171603280485</v>
      </c>
      <c r="U37" s="3">
        <f t="shared" si="8"/>
        <v>135</v>
      </c>
      <c r="V37" s="10">
        <f>ROUND($J37*1.637*1.75*2.1*2.3*2.6*3.2*1.25,0)</f>
        <v>549130497552</v>
      </c>
      <c r="W37" s="5">
        <f t="shared" si="9"/>
        <v>139</v>
      </c>
      <c r="X37" s="9">
        <f>ROUND($J37*1.637*1.75*2.1*2.3*2.6*3.2*4.2*1.25,0)</f>
        <v>2306348089718</v>
      </c>
      <c r="Y37" s="3">
        <f t="shared" si="10"/>
        <v>141</v>
      </c>
      <c r="Z37" s="10">
        <f>ROUND($J37*1.637*1.75*2.1*2.3*2.6*3.2*4.2*2.4*1.25,0)</f>
        <v>5535235415324</v>
      </c>
      <c r="AA37" s="5">
        <f t="shared" si="11"/>
        <v>143</v>
      </c>
      <c r="AB37" s="9">
        <f>ROUND($J37*1.637*1.75*2.1*2.3*2.6*3.2*4.2*2.4*2.5*1.25,0)</f>
        <v>13838088538310</v>
      </c>
      <c r="AC37" s="3">
        <f t="shared" si="12"/>
        <v>145</v>
      </c>
      <c r="AD37" s="10">
        <f>ROUND($J37*1.637*1.75*2.1*2.3*2.6*3.2*4.2*2.4*2.5*2.8*1.25,0)</f>
        <v>38746647907269</v>
      </c>
      <c r="AE37" s="5">
        <f t="shared" si="13"/>
        <v>148</v>
      </c>
      <c r="AF37" s="9">
        <f>ROUND($J37*1.637*1.75*2.1*2.3*2.6*3.2*4.2*2.4*2.5*2.8*3.2*1.25,0)</f>
        <v>123989273303261</v>
      </c>
      <c r="AG37" s="3">
        <f t="shared" si="14"/>
        <v>151</v>
      </c>
      <c r="AH37" s="10">
        <f>ROUND($J37*1.637*1.75*2.1*2.3*2.6*3.2*4.2*2.4*2.5*2.8*3.2*3.8*1.25,0)</f>
        <v>471159238552392</v>
      </c>
    </row>
    <row r="38" spans="1:34" x14ac:dyDescent="0.3">
      <c r="A38" s="2">
        <v>79</v>
      </c>
      <c r="B38" s="2" t="s">
        <v>100</v>
      </c>
      <c r="C38" s="2" t="s">
        <v>24</v>
      </c>
      <c r="D38" s="2" t="s">
        <v>33</v>
      </c>
      <c r="E38" s="2">
        <v>124</v>
      </c>
      <c r="F38" s="2" t="s">
        <v>62</v>
      </c>
      <c r="G38" s="2" t="s">
        <v>38</v>
      </c>
      <c r="H38" s="2">
        <v>31</v>
      </c>
      <c r="I38" s="3">
        <v>124</v>
      </c>
      <c r="J38" s="4">
        <v>722000000</v>
      </c>
      <c r="K38" s="5">
        <f t="shared" si="0"/>
        <v>125</v>
      </c>
      <c r="L38" s="9">
        <f t="shared" si="21"/>
        <v>1181914000</v>
      </c>
      <c r="M38" s="3">
        <f t="shared" si="2"/>
        <v>126</v>
      </c>
      <c r="N38" s="10">
        <f t="shared" si="22"/>
        <v>2068349500</v>
      </c>
      <c r="O38" s="5">
        <f t="shared" si="4"/>
        <v>128</v>
      </c>
      <c r="P38" s="9">
        <f t="shared" si="23"/>
        <v>4343533950</v>
      </c>
      <c r="Q38" s="3">
        <f t="shared" si="6"/>
        <v>130</v>
      </c>
      <c r="R38" s="10">
        <f>ROUND($J38*1.637*1.75*2.1*2.3*1,0)</f>
        <v>9990128085</v>
      </c>
      <c r="S38" s="5">
        <f t="shared" si="7"/>
        <v>132</v>
      </c>
      <c r="T38" s="9">
        <f>ROUND($J38*1.637*1.75*2.1*2.3*2.6*1,0)</f>
        <v>25974333021</v>
      </c>
      <c r="U38" s="3">
        <f t="shared" si="8"/>
        <v>135</v>
      </c>
      <c r="V38" s="10">
        <f>ROUND($J38*1.637*1.75*2.1*2.3*2.6*3.2*1,0)</f>
        <v>83117865667</v>
      </c>
      <c r="W38" s="5">
        <f t="shared" si="9"/>
        <v>139</v>
      </c>
      <c r="X38" s="9">
        <f>ROUND($J38*1.637*1.75*2.1*2.3*2.6*3.2*4.2*1,0)</f>
        <v>349095035802</v>
      </c>
      <c r="Y38" s="3">
        <f t="shared" si="10"/>
        <v>141</v>
      </c>
      <c r="Z38" s="10">
        <f>ROUND($J38*1.637*1.75*2.1*2.3*2.6*3.2*4.2*2.4*1,0)</f>
        <v>837828085925</v>
      </c>
      <c r="AA38" s="5">
        <f t="shared" si="11"/>
        <v>143</v>
      </c>
      <c r="AB38" s="9">
        <f>ROUND($J38*1.637*1.75*2.1*2.3*2.6*3.2*4.2*2.4*2.5*1,0)</f>
        <v>2094570214813</v>
      </c>
      <c r="AC38" s="3">
        <f t="shared" si="12"/>
        <v>145</v>
      </c>
      <c r="AD38" s="10">
        <f>ROUND($J38*1.637*1.75*2.1*2.3*2.6*3.2*4.2*2.4*2.5*2.8*1,0)</f>
        <v>5864796601478</v>
      </c>
      <c r="AE38" s="5">
        <f t="shared" si="13"/>
        <v>148</v>
      </c>
      <c r="AF38" s="9">
        <f>ROUND($J38*1.637*1.75*2.1*2.3*2.6*3.2*4.2*2.4*2.5*2.8*3.2*1,0)</f>
        <v>18767349124728</v>
      </c>
      <c r="AG38" s="3">
        <f t="shared" si="14"/>
        <v>151</v>
      </c>
      <c r="AH38" s="10">
        <f>ROUND($J38*1.637*1.75*2.1*2.3*2.6*3.2*4.2*2.4*2.5*2.8*3.2*3.8*1,0)</f>
        <v>71315926673968</v>
      </c>
    </row>
    <row r="39" spans="1:34" x14ac:dyDescent="0.3">
      <c r="A39" s="2">
        <v>69</v>
      </c>
      <c r="B39" s="2" t="s">
        <v>101</v>
      </c>
      <c r="C39" s="2" t="s">
        <v>24</v>
      </c>
      <c r="D39" s="2" t="s">
        <v>102</v>
      </c>
      <c r="E39" s="2">
        <v>124</v>
      </c>
      <c r="F39" s="2" t="s">
        <v>42</v>
      </c>
      <c r="G39" s="2" t="s">
        <v>51</v>
      </c>
      <c r="H39" s="2">
        <v>32</v>
      </c>
      <c r="I39" s="3">
        <v>124</v>
      </c>
      <c r="J39" s="4">
        <v>5910000000</v>
      </c>
      <c r="K39" s="5">
        <f t="shared" si="0"/>
        <v>125</v>
      </c>
      <c r="L39" s="9">
        <f t="shared" si="21"/>
        <v>9674670000</v>
      </c>
      <c r="M39" s="3">
        <f t="shared" si="2"/>
        <v>126</v>
      </c>
      <c r="N39" s="10">
        <f t="shared" si="22"/>
        <v>16930672500</v>
      </c>
      <c r="O39" s="5">
        <f t="shared" si="4"/>
        <v>128</v>
      </c>
      <c r="P39" s="9">
        <f t="shared" si="23"/>
        <v>35554412250</v>
      </c>
      <c r="Q39" s="3">
        <f t="shared" si="6"/>
        <v>130</v>
      </c>
      <c r="R39" s="10">
        <f>ROUND($J39*1.637*1.75*2.1*2.3*1.25,0)</f>
        <v>102218935219</v>
      </c>
      <c r="S39" s="5">
        <f t="shared" si="7"/>
        <v>132</v>
      </c>
      <c r="T39" s="9">
        <f>ROUND($J39*1.637*1.75*2.1*2.3*2.6*1.25,0)</f>
        <v>265769231569</v>
      </c>
      <c r="U39" s="3">
        <f t="shared" si="8"/>
        <v>135</v>
      </c>
      <c r="V39" s="10">
        <f>ROUND($J39*1.637*1.75*2.1*2.3*2.6*3.2*1.25,0)</f>
        <v>850461541020</v>
      </c>
      <c r="W39" s="5">
        <f t="shared" si="9"/>
        <v>139</v>
      </c>
      <c r="X39" s="9">
        <f>ROUND($J39*1.637*1.75*2.1*2.3*2.6*3.2*4.2*1.25,0)</f>
        <v>3571938472284</v>
      </c>
      <c r="Y39" s="3">
        <f t="shared" si="10"/>
        <v>141</v>
      </c>
      <c r="Z39" s="10">
        <f>ROUND($J39*1.637*1.75*2.1*2.3*2.6*3.2*4.2*2.4*1.25,0)</f>
        <v>8572652333482</v>
      </c>
      <c r="AA39" s="5">
        <f t="shared" si="11"/>
        <v>143</v>
      </c>
      <c r="AB39" s="9">
        <f>ROUND($J39*1.637*1.75*2.1*2.3*2.6*3.2*4.2*2.4*2.5*1.25,0)</f>
        <v>21431630833704</v>
      </c>
      <c r="AC39" s="3">
        <f t="shared" si="12"/>
        <v>145</v>
      </c>
      <c r="AD39" s="10">
        <f>ROUND($J39*1.637*1.75*2.1*2.3*2.6*3.2*4.2*2.4*2.5*2.8*1.25,0)</f>
        <v>60008566334371</v>
      </c>
      <c r="AE39" s="5">
        <f t="shared" si="13"/>
        <v>148</v>
      </c>
      <c r="AF39" s="9">
        <f>ROUND($J39*1.637*1.75*2.1*2.3*2.6*3.2*4.2*2.4*2.5*2.8*3.2*1.25,0)</f>
        <v>192027412269988</v>
      </c>
      <c r="AG39" s="3">
        <f t="shared" si="14"/>
        <v>151</v>
      </c>
      <c r="AH39" s="10">
        <f>ROUND($J39*1.637*1.75*2.1*2.3*2.6*3.2*4.2*2.4*2.5*2.8*3.2*3.8*1.25,0)</f>
        <v>729704166625954</v>
      </c>
    </row>
    <row r="40" spans="1:34" x14ac:dyDescent="0.3">
      <c r="A40" s="2">
        <v>67</v>
      </c>
      <c r="B40" s="2" t="s">
        <v>103</v>
      </c>
      <c r="C40" s="2" t="s">
        <v>24</v>
      </c>
      <c r="D40" s="2" t="s">
        <v>29</v>
      </c>
      <c r="E40" s="2">
        <v>124</v>
      </c>
      <c r="F40" s="2" t="s">
        <v>62</v>
      </c>
      <c r="G40" s="2" t="s">
        <v>104</v>
      </c>
      <c r="H40" s="2">
        <v>33</v>
      </c>
      <c r="I40" s="3">
        <v>124</v>
      </c>
      <c r="J40" s="4">
        <v>4300000000</v>
      </c>
      <c r="K40" s="5">
        <f t="shared" si="0"/>
        <v>125</v>
      </c>
      <c r="L40" s="9">
        <f t="shared" si="21"/>
        <v>7039100000</v>
      </c>
      <c r="M40" s="3">
        <f t="shared" si="2"/>
        <v>126</v>
      </c>
      <c r="N40" s="10">
        <f t="shared" si="22"/>
        <v>12318425000</v>
      </c>
      <c r="O40" s="5">
        <f t="shared" si="4"/>
        <v>128</v>
      </c>
      <c r="P40" s="9">
        <f t="shared" si="23"/>
        <v>25868692500</v>
      </c>
      <c r="Q40" s="3">
        <f t="shared" si="6"/>
        <v>130</v>
      </c>
      <c r="R40" s="10">
        <f>ROUND($J40*1.637*1.75*2.1*2.3*1.25,0)</f>
        <v>74372490938</v>
      </c>
      <c r="S40" s="5">
        <f t="shared" si="7"/>
        <v>132</v>
      </c>
      <c r="T40" s="9">
        <f>ROUND($J40*1.637*1.75*2.1*2.3*2.6*1.25,0)</f>
        <v>193368476438</v>
      </c>
      <c r="U40" s="3">
        <f t="shared" si="8"/>
        <v>135</v>
      </c>
      <c r="V40" s="10">
        <f>ROUND($J40*1.637*1.75*2.1*2.3*2.6*3.2*1.25,0)</f>
        <v>618779124600</v>
      </c>
      <c r="W40" s="5">
        <f t="shared" si="9"/>
        <v>139</v>
      </c>
      <c r="X40" s="9">
        <f>ROUND($J40*1.637*1.75*2.1*2.3*2.6*3.2*4.2*1.25,0)</f>
        <v>2598872323320</v>
      </c>
      <c r="Y40" s="3">
        <f t="shared" si="10"/>
        <v>141</v>
      </c>
      <c r="Z40" s="10">
        <f>ROUND($J40*1.637*1.75*2.1*2.3*2.6*3.2*4.2*2.4*1.25,0)</f>
        <v>6237293575968</v>
      </c>
      <c r="AA40" s="5">
        <f t="shared" si="11"/>
        <v>143</v>
      </c>
      <c r="AB40" s="9">
        <f>ROUND($J40*1.637*1.75*2.1*2.3*2.6*3.2*4.2*2.4*2.5*1.25,0)</f>
        <v>15593233939920</v>
      </c>
      <c r="AC40" s="3">
        <f t="shared" si="12"/>
        <v>145</v>
      </c>
      <c r="AD40" s="10">
        <f>ROUND($J40*1.637*1.75*2.1*2.3*2.6*3.2*4.2*2.4*2.5*2.8*1.25,0)</f>
        <v>43661055031776</v>
      </c>
      <c r="AE40" s="5">
        <f t="shared" si="13"/>
        <v>148</v>
      </c>
      <c r="AF40" s="9">
        <f>ROUND($J40*1.637*1.75*2.1*2.3*2.6*3.2*4.2*2.4*2.5*2.8*3.2*1.25,0)</f>
        <v>139715376101683</v>
      </c>
      <c r="AG40" s="3">
        <f t="shared" si="14"/>
        <v>151</v>
      </c>
      <c r="AH40" s="10">
        <f>ROUND($J40*1.637*1.75*2.1*2.3*2.6*3.2*4.2*2.4*2.5*2.8*3.2*3.8*1.25,0)</f>
        <v>530918429186396</v>
      </c>
    </row>
    <row r="41" spans="1:34" x14ac:dyDescent="0.3">
      <c r="A41" s="2">
        <v>68</v>
      </c>
      <c r="B41" s="2" t="s">
        <v>105</v>
      </c>
      <c r="C41" s="2" t="s">
        <v>24</v>
      </c>
      <c r="D41" s="2" t="s">
        <v>40</v>
      </c>
      <c r="E41" s="2">
        <v>124</v>
      </c>
      <c r="F41" s="2" t="s">
        <v>26</v>
      </c>
      <c r="G41" s="2" t="s">
        <v>106</v>
      </c>
      <c r="H41" s="2">
        <v>32</v>
      </c>
      <c r="I41" s="3">
        <v>124</v>
      </c>
      <c r="J41" s="4">
        <v>4440000000</v>
      </c>
      <c r="K41" s="5">
        <f t="shared" si="0"/>
        <v>125</v>
      </c>
      <c r="L41" s="9">
        <f t="shared" si="21"/>
        <v>7268280000</v>
      </c>
      <c r="M41" s="3">
        <f t="shared" si="2"/>
        <v>126</v>
      </c>
      <c r="N41" s="10">
        <f t="shared" si="22"/>
        <v>12719490000</v>
      </c>
      <c r="O41" s="5">
        <f t="shared" si="4"/>
        <v>128</v>
      </c>
      <c r="P41" s="9">
        <f t="shared" si="23"/>
        <v>26710929000</v>
      </c>
      <c r="Q41" s="3">
        <f t="shared" si="6"/>
        <v>130</v>
      </c>
      <c r="R41" s="10">
        <f>ROUND($J41*1.637*1.75*2.1*2.3*1.25,0)</f>
        <v>76793920875</v>
      </c>
      <c r="S41" s="5">
        <f t="shared" si="7"/>
        <v>132</v>
      </c>
      <c r="T41" s="9">
        <f>ROUND($J41*1.637*1.75*2.1*2.3*2.6*1.25,0)</f>
        <v>199664194275</v>
      </c>
      <c r="U41" s="3">
        <f t="shared" si="8"/>
        <v>135</v>
      </c>
      <c r="V41" s="10">
        <f>ROUND($J41*1.637*1.75*2.1*2.3*2.6*3.2*1.25,0)</f>
        <v>638925421680</v>
      </c>
      <c r="W41" s="5">
        <f t="shared" si="9"/>
        <v>139</v>
      </c>
      <c r="X41" s="9">
        <f>ROUND($J41*1.637*1.75*2.1*2.3*2.6*3.2*4.2*1.25,0)</f>
        <v>2683486771056</v>
      </c>
      <c r="Y41" s="3">
        <f t="shared" si="10"/>
        <v>141</v>
      </c>
      <c r="Z41" s="10">
        <f>ROUND($J41*1.637*1.75*2.1*2.3*2.6*3.2*4.2*2.4*1.25,0)</f>
        <v>6440368250534</v>
      </c>
      <c r="AA41" s="5">
        <f t="shared" si="11"/>
        <v>143</v>
      </c>
      <c r="AB41" s="9">
        <f>ROUND($J41*1.637*1.75*2.1*2.3*2.6*3.2*4.2*2.4*2.5*1.25,0)</f>
        <v>16100920626336</v>
      </c>
      <c r="AC41" s="3">
        <f t="shared" si="12"/>
        <v>145</v>
      </c>
      <c r="AD41" s="10">
        <f>ROUND($J41*1.637*1.75*2.1*2.3*2.6*3.2*4.2*2.4*2.5*2.8*1.25,0)</f>
        <v>45082577753741</v>
      </c>
      <c r="AE41" s="5">
        <f t="shared" si="13"/>
        <v>148</v>
      </c>
      <c r="AF41" s="9">
        <f>ROUND($J41*1.637*1.75*2.1*2.3*2.6*3.2*4.2*2.4*2.5*2.8*3.2*1.25,0)</f>
        <v>144264248811971</v>
      </c>
      <c r="AG41" s="3">
        <f t="shared" si="14"/>
        <v>151</v>
      </c>
      <c r="AH41" s="10">
        <f>ROUND($J41*1.637*1.75*2.1*2.3*2.6*3.2*4.2*2.4*2.5*2.8*3.2*3.8*1.25,0)</f>
        <v>548204145485488</v>
      </c>
    </row>
    <row r="42" spans="1:34" x14ac:dyDescent="0.3">
      <c r="A42" s="2">
        <v>70</v>
      </c>
      <c r="B42" s="2" t="s">
        <v>107</v>
      </c>
      <c r="C42" s="2" t="s">
        <v>24</v>
      </c>
      <c r="D42" s="2" t="s">
        <v>40</v>
      </c>
      <c r="E42" s="2">
        <v>124</v>
      </c>
      <c r="F42" s="2" t="s">
        <v>108</v>
      </c>
      <c r="G42" s="2" t="s">
        <v>38</v>
      </c>
      <c r="H42" s="2">
        <v>32</v>
      </c>
      <c r="I42" s="3">
        <v>124</v>
      </c>
      <c r="J42" s="4">
        <v>300000000</v>
      </c>
      <c r="K42" s="5">
        <f t="shared" si="0"/>
        <v>125</v>
      </c>
      <c r="L42" s="9">
        <f t="shared" si="21"/>
        <v>491100000</v>
      </c>
      <c r="M42" s="3">
        <f t="shared" si="2"/>
        <v>126</v>
      </c>
      <c r="N42" s="10">
        <f t="shared" si="22"/>
        <v>859425000</v>
      </c>
      <c r="O42" s="5">
        <f t="shared" si="4"/>
        <v>128</v>
      </c>
      <c r="P42" s="9">
        <f t="shared" si="23"/>
        <v>1804792500</v>
      </c>
      <c r="Q42" s="3">
        <f t="shared" si="6"/>
        <v>130</v>
      </c>
      <c r="R42" s="10">
        <f>ROUND($J42*1.637*1.75*2.1*2.3*1,0)</f>
        <v>4151022750</v>
      </c>
      <c r="S42" s="5">
        <f t="shared" si="7"/>
        <v>132</v>
      </c>
      <c r="T42" s="9">
        <f>ROUND($J42*1.637*1.75*2.1*2.3*2.6*1,0)</f>
        <v>10792659150</v>
      </c>
      <c r="U42" s="3">
        <f t="shared" si="8"/>
        <v>135</v>
      </c>
      <c r="V42" s="10">
        <f>ROUND($J42*1.637*1.75*2.1*2.3*2.6*3.2*1,0)</f>
        <v>34536509280</v>
      </c>
      <c r="W42" s="5">
        <f t="shared" si="9"/>
        <v>139</v>
      </c>
      <c r="X42" s="9">
        <f>ROUND($J42*1.637*1.75*2.1*2.3*2.6*3.2*4.2*1,0)</f>
        <v>145053338976</v>
      </c>
      <c r="Y42" s="3">
        <f t="shared" si="10"/>
        <v>141</v>
      </c>
      <c r="Z42" s="10">
        <f>ROUND($J42*1.637*1.75*2.1*2.3*2.6*3.2*4.2*2.4*1,0)</f>
        <v>348128013542</v>
      </c>
      <c r="AA42" s="5">
        <f t="shared" si="11"/>
        <v>143</v>
      </c>
      <c r="AB42" s="9">
        <f>ROUND($J42*1.637*1.75*2.1*2.3*2.6*3.2*4.2*2.4*2.5*1,0)</f>
        <v>870320033856</v>
      </c>
      <c r="AC42" s="3">
        <f t="shared" si="12"/>
        <v>145</v>
      </c>
      <c r="AD42" s="10">
        <f>ROUND($J42*1.637*1.75*2.1*2.3*2.6*3.2*4.2*2.4*2.5*2.8*1,0)</f>
        <v>2436896094797</v>
      </c>
      <c r="AE42" s="5">
        <f t="shared" si="13"/>
        <v>148</v>
      </c>
      <c r="AF42" s="9">
        <f>ROUND($J42*1.637*1.75*2.1*2.3*2.6*3.2*4.2*2.4*2.5*2.8*3.2*1,0)</f>
        <v>7798067503350</v>
      </c>
      <c r="AG42" s="3">
        <f t="shared" si="14"/>
        <v>151</v>
      </c>
      <c r="AH42" s="10">
        <f>ROUND($J42*1.637*1.75*2.1*2.3*2.6*3.2*4.2*2.4*2.5*2.8*3.2*3.8*1,0)</f>
        <v>29632656512729</v>
      </c>
    </row>
    <row r="43" spans="1:34" x14ac:dyDescent="0.3">
      <c r="A43" s="2">
        <v>38</v>
      </c>
      <c r="B43" s="2" t="s">
        <v>109</v>
      </c>
      <c r="C43" s="2" t="s">
        <v>24</v>
      </c>
      <c r="D43" s="2" t="s">
        <v>25</v>
      </c>
      <c r="E43" s="2">
        <v>124</v>
      </c>
      <c r="F43" s="2" t="s">
        <v>30</v>
      </c>
      <c r="G43" s="2" t="s">
        <v>51</v>
      </c>
      <c r="H43" s="2">
        <v>33</v>
      </c>
      <c r="I43" s="3">
        <v>124</v>
      </c>
      <c r="J43" s="4">
        <v>3640000000</v>
      </c>
      <c r="K43" s="5">
        <f t="shared" si="0"/>
        <v>125</v>
      </c>
      <c r="L43" s="9">
        <f t="shared" si="21"/>
        <v>5958680000</v>
      </c>
      <c r="M43" s="3">
        <f t="shared" si="2"/>
        <v>126</v>
      </c>
      <c r="N43" s="10">
        <f t="shared" si="22"/>
        <v>10427690000</v>
      </c>
      <c r="O43" s="5">
        <f t="shared" si="4"/>
        <v>128</v>
      </c>
      <c r="P43" s="9">
        <f t="shared" si="23"/>
        <v>21898149000</v>
      </c>
      <c r="Q43" s="3">
        <f t="shared" si="6"/>
        <v>130</v>
      </c>
      <c r="R43" s="10">
        <f>ROUND($J43*1.637*1.75*2.1*2.3*1.25,0)</f>
        <v>62957178375</v>
      </c>
      <c r="S43" s="5">
        <f t="shared" si="7"/>
        <v>132</v>
      </c>
      <c r="T43" s="9">
        <f>ROUND($J43*1.637*1.75*2.1*2.3*2.6*1.25,0)</f>
        <v>163688663775</v>
      </c>
      <c r="U43" s="3">
        <f t="shared" si="8"/>
        <v>135</v>
      </c>
      <c r="V43" s="10">
        <f>ROUND($J43*1.637*1.75*2.1*2.3*2.6*3.2*1.25,0)</f>
        <v>523803724080</v>
      </c>
      <c r="W43" s="5">
        <f t="shared" si="9"/>
        <v>139</v>
      </c>
      <c r="X43" s="9">
        <f>ROUND($J43*1.637*1.75*2.1*2.3*2.6*3.2*4.2*1.25,0)</f>
        <v>2199975641136</v>
      </c>
      <c r="Y43" s="3">
        <f t="shared" si="10"/>
        <v>141</v>
      </c>
      <c r="Z43" s="10">
        <f>ROUND($J43*1.637*1.75*2.1*2.3*2.6*3.2*4.2*2.4*1.25,0)</f>
        <v>5279941538726</v>
      </c>
      <c r="AA43" s="5">
        <f t="shared" si="11"/>
        <v>143</v>
      </c>
      <c r="AB43" s="9">
        <f>ROUND($J43*1.637*1.75*2.1*2.3*2.6*3.2*4.2*2.4*2.5*1.25,0)</f>
        <v>13199853846816</v>
      </c>
      <c r="AC43" s="3">
        <f t="shared" si="12"/>
        <v>145</v>
      </c>
      <c r="AD43" s="10">
        <f>ROUND($J43*1.637*1.75*2.1*2.3*2.6*3.2*4.2*2.4*2.5*2.8*1.25,0)</f>
        <v>36959590771085</v>
      </c>
      <c r="AE43" s="5">
        <f t="shared" si="13"/>
        <v>148</v>
      </c>
      <c r="AF43" s="9">
        <f>ROUND($J43*1.637*1.75*2.1*2.3*2.6*3.2*4.2*2.4*2.5*2.8*3.2*1.25,0)</f>
        <v>118270690467471</v>
      </c>
      <c r="AG43" s="3">
        <f t="shared" si="14"/>
        <v>151</v>
      </c>
      <c r="AH43" s="10">
        <f>ROUND($J43*1.637*1.75*2.1*2.3*2.6*3.2*4.2*2.4*2.5*2.8*3.2*3.8*1.25,0)</f>
        <v>449428623776391</v>
      </c>
    </row>
    <row r="44" spans="1:34" x14ac:dyDescent="0.3">
      <c r="A44" s="2">
        <v>73</v>
      </c>
      <c r="B44" s="2" t="s">
        <v>110</v>
      </c>
      <c r="C44" s="2" t="s">
        <v>24</v>
      </c>
      <c r="D44" s="2" t="s">
        <v>64</v>
      </c>
      <c r="E44" s="2">
        <v>124</v>
      </c>
      <c r="F44" s="2" t="s">
        <v>59</v>
      </c>
      <c r="G44" s="2" t="s">
        <v>38</v>
      </c>
      <c r="H44" s="2">
        <v>32</v>
      </c>
      <c r="I44" s="3">
        <v>124</v>
      </c>
      <c r="J44" s="4">
        <v>4080000000</v>
      </c>
      <c r="K44" s="5">
        <f t="shared" si="0"/>
        <v>125</v>
      </c>
      <c r="L44" s="9">
        <f t="shared" si="21"/>
        <v>6678960000</v>
      </c>
      <c r="M44" s="3">
        <f t="shared" si="2"/>
        <v>126</v>
      </c>
      <c r="N44" s="10">
        <f t="shared" si="22"/>
        <v>11688180000</v>
      </c>
      <c r="O44" s="5">
        <f t="shared" si="4"/>
        <v>128</v>
      </c>
      <c r="P44" s="9">
        <f t="shared" si="23"/>
        <v>24545178000</v>
      </c>
      <c r="Q44" s="3">
        <f t="shared" si="6"/>
        <v>130</v>
      </c>
      <c r="R44" s="10">
        <f>ROUND($J44*1.637*1.75*2.1*2.3*1.25,0)</f>
        <v>70567386750</v>
      </c>
      <c r="S44" s="5">
        <f t="shared" si="7"/>
        <v>132</v>
      </c>
      <c r="T44" s="9">
        <f>ROUND($J44*1.637*1.75*2.1*2.3*2.6*1.25,0)</f>
        <v>183475205550</v>
      </c>
      <c r="U44" s="3">
        <f t="shared" si="8"/>
        <v>135</v>
      </c>
      <c r="V44" s="10">
        <f>ROUND($J44*1.637*1.75*2.1*2.3*2.6*3.2*1.25,0)</f>
        <v>587120657760</v>
      </c>
      <c r="W44" s="5">
        <f t="shared" si="9"/>
        <v>139</v>
      </c>
      <c r="X44" s="9">
        <f>ROUND($J44*1.637*1.75*2.1*2.3*2.6*3.2*4.2*1.25,0)</f>
        <v>2465906762592</v>
      </c>
      <c r="Y44" s="3">
        <f t="shared" si="10"/>
        <v>141</v>
      </c>
      <c r="Z44" s="10">
        <f>ROUND($J44*1.637*1.75*2.1*2.3*2.6*3.2*4.2*2.4*1.25,0)</f>
        <v>5918176230221</v>
      </c>
      <c r="AA44" s="5">
        <f t="shared" si="11"/>
        <v>143</v>
      </c>
      <c r="AB44" s="9">
        <f>ROUND($J44*1.637*1.75*2.1*2.3*2.6*3.2*4.2*2.4*2.5*1.25,0)</f>
        <v>14795440575552</v>
      </c>
      <c r="AC44" s="3">
        <f t="shared" si="12"/>
        <v>145</v>
      </c>
      <c r="AD44" s="10">
        <f>ROUND($J44*1.637*1.75*2.1*2.3*2.6*3.2*4.2*2.4*2.5*2.8*1.25,0)</f>
        <v>41427233611546</v>
      </c>
      <c r="AE44" s="5">
        <f t="shared" si="13"/>
        <v>148</v>
      </c>
      <c r="AF44" s="9">
        <f>ROUND($J44*1.637*1.75*2.1*2.3*2.6*3.2*4.2*2.4*2.5*2.8*3.2*1.25,0)</f>
        <v>132567147556946</v>
      </c>
      <c r="AG44" s="3">
        <f t="shared" si="14"/>
        <v>151</v>
      </c>
      <c r="AH44" s="10">
        <f>ROUND($J44*1.637*1.75*2.1*2.3*2.6*3.2*4.2*2.4*2.5*2.8*3.2*3.8*1.25,0)</f>
        <v>503755160716394</v>
      </c>
    </row>
    <row r="45" spans="1:34" x14ac:dyDescent="0.3">
      <c r="A45" s="2">
        <v>80</v>
      </c>
      <c r="B45" s="2" t="s">
        <v>111</v>
      </c>
      <c r="C45" s="2" t="s">
        <v>24</v>
      </c>
      <c r="D45" s="2" t="s">
        <v>47</v>
      </c>
      <c r="E45" s="2">
        <v>124</v>
      </c>
      <c r="F45" s="2" t="s">
        <v>34</v>
      </c>
      <c r="G45" s="2" t="s">
        <v>35</v>
      </c>
      <c r="H45" s="2">
        <v>28</v>
      </c>
      <c r="I45" s="3">
        <v>124</v>
      </c>
      <c r="J45" s="4">
        <v>291400000</v>
      </c>
      <c r="K45" s="5">
        <f t="shared" si="0"/>
        <v>125</v>
      </c>
      <c r="L45" s="9">
        <f>ROUND($J45*1.637*0.8,0)</f>
        <v>381617440</v>
      </c>
      <c r="M45" s="3">
        <f t="shared" si="2"/>
        <v>126</v>
      </c>
      <c r="N45" s="10">
        <f>ROUND($J45*1.637*1.75*0.8,0)</f>
        <v>667830520</v>
      </c>
      <c r="O45" s="5">
        <f t="shared" si="4"/>
        <v>128</v>
      </c>
      <c r="P45" s="9">
        <f>ROUND($J45*1.637*1.75*2.1*0.8,0)</f>
        <v>1402444092</v>
      </c>
      <c r="Q45" s="3">
        <f t="shared" si="6"/>
        <v>130</v>
      </c>
      <c r="R45" s="10">
        <f>ROUND($J45*1.637*1.75*2.1*2.3*0.542035092435954,0)</f>
        <v>2185500000</v>
      </c>
      <c r="S45" s="5">
        <f t="shared" si="7"/>
        <v>132</v>
      </c>
      <c r="T45" s="9">
        <f>ROUND($J45*1.637*1.75*2.1*2.3*2.6*0.544690061623969,0)</f>
        <v>5710132758</v>
      </c>
      <c r="U45" s="3">
        <f t="shared" si="8"/>
        <v>135</v>
      </c>
      <c r="V45" s="10">
        <f>ROUND($J45*1.637*1.75*2.1*2.3*2.6*3.2*0.547345030811984,0)</f>
        <v>18361489650</v>
      </c>
      <c r="W45" s="5">
        <f t="shared" si="9"/>
        <v>139</v>
      </c>
      <c r="X45" s="9">
        <f>ROUND($J45*1.637*1.75*2.1*2.3*2.6*3.2*4.2*0.55,0)</f>
        <v>77492328792</v>
      </c>
      <c r="Y45" s="3">
        <f t="shared" si="10"/>
        <v>141</v>
      </c>
      <c r="Z45" s="10">
        <f>ROUND($J45*1.637*1.75*2.1*2.3*2.6*3.2*4.2*2.4*0.55,0)</f>
        <v>185981589101</v>
      </c>
      <c r="AA45" s="5">
        <f t="shared" si="11"/>
        <v>143</v>
      </c>
      <c r="AB45" s="9">
        <f>ROUND($J45*1.637*1.75*2.1*2.3*2.6*3.2*4.2*2.4*2.5*0.55,0)</f>
        <v>464953972754</v>
      </c>
      <c r="AC45" s="3">
        <f t="shared" si="12"/>
        <v>145</v>
      </c>
      <c r="AD45" s="10">
        <f>ROUND($J45*1.637*1.75*2.1*2.3*2.6*3.2*4.2*2.4*2.5*2.8*0.55,0)</f>
        <v>1301871123710</v>
      </c>
      <c r="AE45" s="5">
        <f t="shared" si="13"/>
        <v>148</v>
      </c>
      <c r="AF45" s="9">
        <f>ROUND($J45*1.637*1.75*2.1*2.3*2.6*3.2*4.2*2.4*2.5*2.8*3.2*0.55,0)</f>
        <v>4165987595873</v>
      </c>
      <c r="AG45" s="3">
        <f t="shared" si="14"/>
        <v>151</v>
      </c>
      <c r="AH45" s="10">
        <f>ROUND($J45*1.637*1.75*2.1*2.3*2.6*3.2*4.2*2.4*2.5*2.8*3.2*3.8*0.55,0)</f>
        <v>15830752864317</v>
      </c>
    </row>
    <row r="46" spans="1:34" x14ac:dyDescent="0.3">
      <c r="A46" s="2">
        <v>71</v>
      </c>
      <c r="B46" s="2" t="s">
        <v>112</v>
      </c>
      <c r="C46" s="2" t="s">
        <v>24</v>
      </c>
      <c r="D46" s="2" t="s">
        <v>40</v>
      </c>
      <c r="E46" s="2">
        <v>124</v>
      </c>
      <c r="F46" s="2" t="s">
        <v>42</v>
      </c>
      <c r="G46" s="2" t="s">
        <v>57</v>
      </c>
      <c r="H46" s="2">
        <v>32</v>
      </c>
      <c r="I46" s="3">
        <v>124</v>
      </c>
      <c r="J46" s="4">
        <v>856000000</v>
      </c>
      <c r="K46" s="5">
        <f t="shared" si="0"/>
        <v>125</v>
      </c>
      <c r="L46" s="9">
        <f t="shared" ref="L46:L54" si="24">ROUND($J46*1.637*1,0)</f>
        <v>1401272000</v>
      </c>
      <c r="M46" s="3">
        <f t="shared" si="2"/>
        <v>126</v>
      </c>
      <c r="N46" s="10">
        <f t="shared" ref="N46:N54" si="25">ROUND($J46*1.637*1.75*1,0)</f>
        <v>2452226000</v>
      </c>
      <c r="O46" s="5">
        <f t="shared" si="4"/>
        <v>128</v>
      </c>
      <c r="P46" s="9">
        <f t="shared" ref="P46:P54" si="26">ROUND($J46*1.637*1.75*2.1*1,0)</f>
        <v>5149674600</v>
      </c>
      <c r="Q46" s="3">
        <f t="shared" si="6"/>
        <v>130</v>
      </c>
      <c r="R46" s="10">
        <f>ROUND($J46*1.637*1.75*2.1*2.3*1,0)</f>
        <v>11844251580</v>
      </c>
      <c r="S46" s="5">
        <f t="shared" si="7"/>
        <v>132</v>
      </c>
      <c r="T46" s="9">
        <f>ROUND($J46*1.637*1.75*2.1*2.3*2.6*1,0)</f>
        <v>30795054108</v>
      </c>
      <c r="U46" s="3">
        <f t="shared" si="8"/>
        <v>135</v>
      </c>
      <c r="V46" s="10">
        <f>ROUND($J46*1.637*1.75*2.1*2.3*2.6*3.2*1,0)</f>
        <v>98544173146</v>
      </c>
      <c r="W46" s="5">
        <f t="shared" si="9"/>
        <v>139</v>
      </c>
      <c r="X46" s="9">
        <f>ROUND($J46*1.637*1.75*2.1*2.3*2.6*3.2*4.2*1,0)</f>
        <v>413885527212</v>
      </c>
      <c r="Y46" s="3">
        <f t="shared" si="10"/>
        <v>141</v>
      </c>
      <c r="Z46" s="10">
        <f>ROUND($J46*1.637*1.75*2.1*2.3*2.6*3.2*4.2*2.4*1,0)</f>
        <v>993325265308</v>
      </c>
      <c r="AA46" s="5">
        <f t="shared" si="11"/>
        <v>143</v>
      </c>
      <c r="AB46" s="9">
        <f>ROUND($J46*1.637*1.75*2.1*2.3*2.6*3.2*4.2*2.4*2.5*1,0)</f>
        <v>2483313163269</v>
      </c>
      <c r="AC46" s="3">
        <f t="shared" si="12"/>
        <v>145</v>
      </c>
      <c r="AD46" s="10">
        <f>ROUND($J46*1.637*1.75*2.1*2.3*2.6*3.2*4.2*2.4*2.5*2.8*1,0)</f>
        <v>6953276857154</v>
      </c>
      <c r="AE46" s="5">
        <f t="shared" si="13"/>
        <v>148</v>
      </c>
      <c r="AF46" s="9">
        <f>ROUND($J46*1.637*1.75*2.1*2.3*2.6*3.2*4.2*2.4*2.5*2.8*3.2*1,0)</f>
        <v>22250485942891</v>
      </c>
      <c r="AG46" s="3">
        <f t="shared" si="14"/>
        <v>151</v>
      </c>
      <c r="AH46" s="10">
        <f>ROUND($J46*1.637*1.75*2.1*2.3*2.6*3.2*4.2*2.4*2.5*2.8*3.2*3.8*1,0)</f>
        <v>84551846582987</v>
      </c>
    </row>
    <row r="47" spans="1:34" x14ac:dyDescent="0.3">
      <c r="A47" s="2">
        <v>74</v>
      </c>
      <c r="B47" s="2" t="s">
        <v>113</v>
      </c>
      <c r="C47" s="2" t="s">
        <v>24</v>
      </c>
      <c r="D47" s="2" t="s">
        <v>25</v>
      </c>
      <c r="E47" s="2">
        <v>124</v>
      </c>
      <c r="F47" s="2" t="s">
        <v>30</v>
      </c>
      <c r="G47" s="2" t="s">
        <v>72</v>
      </c>
      <c r="H47" s="2">
        <v>32</v>
      </c>
      <c r="I47" s="3">
        <v>124</v>
      </c>
      <c r="J47" s="4">
        <v>582000000</v>
      </c>
      <c r="K47" s="5">
        <f t="shared" si="0"/>
        <v>125</v>
      </c>
      <c r="L47" s="9">
        <f t="shared" si="24"/>
        <v>952734000</v>
      </c>
      <c r="M47" s="3">
        <f t="shared" si="2"/>
        <v>126</v>
      </c>
      <c r="N47" s="10">
        <f t="shared" si="25"/>
        <v>1667284500</v>
      </c>
      <c r="O47" s="5">
        <f t="shared" si="4"/>
        <v>128</v>
      </c>
      <c r="P47" s="9">
        <f t="shared" si="26"/>
        <v>3501297450</v>
      </c>
      <c r="Q47" s="3">
        <f t="shared" si="6"/>
        <v>130</v>
      </c>
      <c r="R47" s="10">
        <f>ROUND($J47*1.637*1.75*2.1*2.3*1,0)</f>
        <v>8052984135</v>
      </c>
      <c r="S47" s="5">
        <f t="shared" si="7"/>
        <v>132</v>
      </c>
      <c r="T47" s="9">
        <f>ROUND($J47*1.637*1.75*2.1*2.3*2.6*1,0)</f>
        <v>20937758751</v>
      </c>
      <c r="U47" s="3">
        <f t="shared" si="8"/>
        <v>135</v>
      </c>
      <c r="V47" s="10">
        <f>ROUND($J47*1.637*1.75*2.1*2.3*2.6*3.2*1,0)</f>
        <v>67000828003</v>
      </c>
      <c r="W47" s="5">
        <f t="shared" si="9"/>
        <v>139</v>
      </c>
      <c r="X47" s="9">
        <f>ROUND($J47*1.637*1.75*2.1*2.3*2.6*3.2*4.2*1,0)</f>
        <v>281403477613</v>
      </c>
      <c r="Y47" s="3">
        <f t="shared" si="10"/>
        <v>141</v>
      </c>
      <c r="Z47" s="10">
        <f>ROUND($J47*1.637*1.75*2.1*2.3*2.6*3.2*4.2*2.4*1,0)</f>
        <v>675368346272</v>
      </c>
      <c r="AA47" s="5">
        <f t="shared" si="11"/>
        <v>143</v>
      </c>
      <c r="AB47" s="9">
        <f>ROUND($J47*1.637*1.75*2.1*2.3*2.6*3.2*4.2*2.4*2.5*1,0)</f>
        <v>1688420865681</v>
      </c>
      <c r="AC47" s="3">
        <f t="shared" si="12"/>
        <v>145</v>
      </c>
      <c r="AD47" s="10">
        <f>ROUND($J47*1.637*1.75*2.1*2.3*2.6*3.2*4.2*2.4*2.5*2.8*1,0)</f>
        <v>4727578423906</v>
      </c>
      <c r="AE47" s="5">
        <f t="shared" si="13"/>
        <v>148</v>
      </c>
      <c r="AF47" s="9">
        <f>ROUND($J47*1.637*1.75*2.1*2.3*2.6*3.2*4.2*2.4*2.5*2.8*3.2*1,0)</f>
        <v>15128250956499</v>
      </c>
      <c r="AG47" s="3">
        <f t="shared" si="14"/>
        <v>151</v>
      </c>
      <c r="AH47" s="10">
        <f>ROUND($J47*1.637*1.75*2.1*2.3*2.6*3.2*4.2*2.4*2.5*2.8*3.2*3.8*1,0)</f>
        <v>57487353634694</v>
      </c>
    </row>
    <row r="48" spans="1:34" x14ac:dyDescent="0.3">
      <c r="A48" s="2">
        <v>45</v>
      </c>
      <c r="B48" s="2" t="s">
        <v>114</v>
      </c>
      <c r="C48" s="2" t="s">
        <v>24</v>
      </c>
      <c r="D48" s="2" t="s">
        <v>75</v>
      </c>
      <c r="E48" s="2">
        <v>124</v>
      </c>
      <c r="F48" s="2" t="s">
        <v>30</v>
      </c>
      <c r="G48" s="2" t="s">
        <v>38</v>
      </c>
      <c r="H48" s="2">
        <v>32</v>
      </c>
      <c r="I48" s="3">
        <v>124</v>
      </c>
      <c r="J48" s="4">
        <v>1063000000</v>
      </c>
      <c r="K48" s="5">
        <f t="shared" si="0"/>
        <v>125</v>
      </c>
      <c r="L48" s="9">
        <f t="shared" si="24"/>
        <v>1740131000</v>
      </c>
      <c r="M48" s="3">
        <f t="shared" si="2"/>
        <v>126</v>
      </c>
      <c r="N48" s="10">
        <f t="shared" si="25"/>
        <v>3045229250</v>
      </c>
      <c r="O48" s="5">
        <f t="shared" si="4"/>
        <v>128</v>
      </c>
      <c r="P48" s="9">
        <f t="shared" si="26"/>
        <v>6394981425</v>
      </c>
      <c r="Q48" s="3">
        <f t="shared" si="6"/>
        <v>130</v>
      </c>
      <c r="R48" s="10">
        <f>ROUND($J48*1.637*1.75*2.1*2.3*1,0)</f>
        <v>14708457278</v>
      </c>
      <c r="S48" s="5">
        <f t="shared" si="7"/>
        <v>132</v>
      </c>
      <c r="T48" s="9">
        <f>ROUND($J48*1.637*1.75*2.1*2.3*2.6*1,0)</f>
        <v>38241988922</v>
      </c>
      <c r="U48" s="3">
        <f t="shared" si="8"/>
        <v>135</v>
      </c>
      <c r="V48" s="10">
        <f>ROUND($J48*1.637*1.75*2.1*2.3*2.6*3.2*1,0)</f>
        <v>122374364549</v>
      </c>
      <c r="W48" s="5">
        <f t="shared" si="9"/>
        <v>139</v>
      </c>
      <c r="X48" s="9">
        <f>ROUND($J48*1.637*1.75*2.1*2.3*2.6*3.2*4.2*1,0)</f>
        <v>513972331105</v>
      </c>
      <c r="Y48" s="3">
        <f t="shared" si="10"/>
        <v>141</v>
      </c>
      <c r="Z48" s="10">
        <f>ROUND($J48*1.637*1.75*2.1*2.3*2.6*3.2*4.2*2.4*1,0)</f>
        <v>1233533594652</v>
      </c>
      <c r="AA48" s="5">
        <f t="shared" si="11"/>
        <v>143</v>
      </c>
      <c r="AB48" s="9">
        <f>ROUND($J48*1.637*1.75*2.1*2.3*2.6*3.2*4.2*2.4*2.5*1,0)</f>
        <v>3083833986630</v>
      </c>
      <c r="AC48" s="3">
        <f t="shared" si="12"/>
        <v>145</v>
      </c>
      <c r="AD48" s="10">
        <f>ROUND($J48*1.637*1.75*2.1*2.3*2.6*3.2*4.2*2.4*2.5*2.8*1,0)</f>
        <v>8634735162563</v>
      </c>
      <c r="AE48" s="5">
        <f t="shared" si="13"/>
        <v>148</v>
      </c>
      <c r="AF48" s="9">
        <f>ROUND($J48*1.637*1.75*2.1*2.3*2.6*3.2*4.2*2.4*2.5*2.8*3.2*1,0)</f>
        <v>27631152520203</v>
      </c>
      <c r="AG48" s="3">
        <f t="shared" si="14"/>
        <v>151</v>
      </c>
      <c r="AH48" s="10">
        <f>ROUND($J48*1.637*1.75*2.1*2.3*2.6*3.2*4.2*2.4*2.5*2.8*3.2*3.8*1,0)</f>
        <v>104998379576770</v>
      </c>
    </row>
    <row r="49" spans="1:34" x14ac:dyDescent="0.3">
      <c r="A49" s="2">
        <v>72</v>
      </c>
      <c r="B49" s="2" t="s">
        <v>115</v>
      </c>
      <c r="C49" s="2" t="s">
        <v>24</v>
      </c>
      <c r="D49" s="2" t="s">
        <v>40</v>
      </c>
      <c r="E49" s="2">
        <v>124</v>
      </c>
      <c r="F49" s="2" t="s">
        <v>116</v>
      </c>
      <c r="G49" s="2" t="s">
        <v>72</v>
      </c>
      <c r="H49" s="2">
        <v>32</v>
      </c>
      <c r="I49" s="3">
        <v>124</v>
      </c>
      <c r="J49" s="4">
        <v>3250000000</v>
      </c>
      <c r="K49" s="5">
        <f t="shared" si="0"/>
        <v>125</v>
      </c>
      <c r="L49" s="9">
        <f t="shared" si="24"/>
        <v>5320250000</v>
      </c>
      <c r="M49" s="3">
        <f t="shared" si="2"/>
        <v>126</v>
      </c>
      <c r="N49" s="10">
        <f t="shared" si="25"/>
        <v>9310437500</v>
      </c>
      <c r="O49" s="5">
        <f t="shared" si="4"/>
        <v>128</v>
      </c>
      <c r="P49" s="9">
        <f t="shared" si="26"/>
        <v>19551918750</v>
      </c>
      <c r="Q49" s="3">
        <f t="shared" si="6"/>
        <v>130</v>
      </c>
      <c r="R49" s="10">
        <f>ROUND($J49*1.637*1.75*2.1*2.3*1.25,0)</f>
        <v>56211766406</v>
      </c>
      <c r="S49" s="5">
        <f t="shared" si="7"/>
        <v>132</v>
      </c>
      <c r="T49" s="9">
        <f>ROUND($J49*1.637*1.75*2.1*2.3*2.6*1.25,0)</f>
        <v>146150592656</v>
      </c>
      <c r="U49" s="3">
        <f t="shared" si="8"/>
        <v>135</v>
      </c>
      <c r="V49" s="10">
        <f>ROUND($J49*1.637*1.75*2.1*2.3*2.6*3.2*1.25,0)</f>
        <v>467681896500</v>
      </c>
      <c r="W49" s="5">
        <f t="shared" si="9"/>
        <v>139</v>
      </c>
      <c r="X49" s="9">
        <f>ROUND($J49*1.637*1.75*2.1*2.3*2.6*3.2*4.2*1.25,0)</f>
        <v>1964263965300</v>
      </c>
      <c r="Y49" s="3">
        <f t="shared" si="10"/>
        <v>141</v>
      </c>
      <c r="Z49" s="10">
        <f>ROUND($J49*1.637*1.75*2.1*2.3*2.6*3.2*4.2*2.4*1.25,0)</f>
        <v>4714233516720</v>
      </c>
      <c r="AA49" s="5">
        <f t="shared" si="11"/>
        <v>143</v>
      </c>
      <c r="AB49" s="9">
        <f>ROUND($J49*1.637*1.75*2.1*2.3*2.6*3.2*4.2*2.4*2.5*1.25,0)</f>
        <v>11785583791800</v>
      </c>
      <c r="AC49" s="3">
        <f t="shared" si="12"/>
        <v>145</v>
      </c>
      <c r="AD49" s="10">
        <f>ROUND($J49*1.637*1.75*2.1*2.3*2.6*3.2*4.2*2.4*2.5*2.8*1.25,0)</f>
        <v>32999634617040</v>
      </c>
      <c r="AE49" s="5">
        <f t="shared" si="13"/>
        <v>148</v>
      </c>
      <c r="AF49" s="9">
        <f>ROUND($J49*1.637*1.75*2.1*2.3*2.6*3.2*4.2*2.4*2.5*2.8*3.2*1.25,0)</f>
        <v>105598830774528</v>
      </c>
      <c r="AG49" s="3">
        <f t="shared" si="14"/>
        <v>151</v>
      </c>
      <c r="AH49" s="10">
        <f>ROUND($J49*1.637*1.75*2.1*2.3*2.6*3.2*4.2*2.4*2.5*2.8*3.2*3.8*1.25,0)</f>
        <v>401275556943206</v>
      </c>
    </row>
    <row r="50" spans="1:34" x14ac:dyDescent="0.3">
      <c r="A50" s="2">
        <v>5</v>
      </c>
      <c r="B50" s="2" t="s">
        <v>117</v>
      </c>
      <c r="C50" s="2" t="s">
        <v>24</v>
      </c>
      <c r="D50" s="2" t="s">
        <v>40</v>
      </c>
      <c r="E50" s="2">
        <v>124</v>
      </c>
      <c r="F50" s="2" t="s">
        <v>54</v>
      </c>
      <c r="G50" s="2" t="s">
        <v>95</v>
      </c>
      <c r="H50" s="2">
        <v>32</v>
      </c>
      <c r="I50" s="3">
        <v>124</v>
      </c>
      <c r="J50" s="4">
        <v>3310000000</v>
      </c>
      <c r="K50" s="5">
        <f t="shared" si="0"/>
        <v>125</v>
      </c>
      <c r="L50" s="9">
        <f t="shared" si="24"/>
        <v>5418470000</v>
      </c>
      <c r="M50" s="3">
        <f t="shared" si="2"/>
        <v>126</v>
      </c>
      <c r="N50" s="10">
        <f t="shared" si="25"/>
        <v>9482322500</v>
      </c>
      <c r="O50" s="5">
        <f t="shared" si="4"/>
        <v>128</v>
      </c>
      <c r="P50" s="9">
        <f t="shared" si="26"/>
        <v>19912877250</v>
      </c>
      <c r="Q50" s="3">
        <f t="shared" si="6"/>
        <v>130</v>
      </c>
      <c r="R50" s="10">
        <f>ROUND($J50*1.637*1.75*2.1*2.3*1.25,0)</f>
        <v>57249522094</v>
      </c>
      <c r="S50" s="5">
        <f t="shared" si="7"/>
        <v>132</v>
      </c>
      <c r="T50" s="9">
        <f>ROUND($J50*1.637*1.75*2.1*2.3*2.6*1.25,0)</f>
        <v>148848757444</v>
      </c>
      <c r="U50" s="3">
        <f t="shared" si="8"/>
        <v>135</v>
      </c>
      <c r="V50" s="10">
        <f>ROUND($J50*1.637*1.75*2.1*2.3*2.6*3.2*1.25,0)</f>
        <v>476316023820</v>
      </c>
      <c r="W50" s="5">
        <f t="shared" si="9"/>
        <v>139</v>
      </c>
      <c r="X50" s="9">
        <f>ROUND($J50*1.637*1.75*2.1*2.3*2.6*3.2*4.2*1.25,0)</f>
        <v>2000527300044</v>
      </c>
      <c r="Y50" s="3">
        <f t="shared" si="10"/>
        <v>141</v>
      </c>
      <c r="Z50" s="10">
        <f>ROUND($J50*1.637*1.75*2.1*2.3*2.6*3.2*4.2*2.4*1.25,0)</f>
        <v>4801265520106</v>
      </c>
      <c r="AA50" s="5">
        <f t="shared" si="11"/>
        <v>143</v>
      </c>
      <c r="AB50" s="9">
        <f>ROUND($J50*1.637*1.75*2.1*2.3*2.6*3.2*4.2*2.4*2.5*1.25,0)</f>
        <v>12003163800264</v>
      </c>
      <c r="AC50" s="3">
        <f t="shared" si="12"/>
        <v>145</v>
      </c>
      <c r="AD50" s="10">
        <f>ROUND($J50*1.637*1.75*2.1*2.3*2.6*3.2*4.2*2.4*2.5*2.8*1.25,0)</f>
        <v>33608858640739</v>
      </c>
      <c r="AE50" s="5">
        <f t="shared" si="13"/>
        <v>148</v>
      </c>
      <c r="AF50" s="9">
        <f>ROUND($J50*1.637*1.75*2.1*2.3*2.6*3.2*4.2*2.4*2.5*2.8*3.2*1.25,0)</f>
        <v>107548347650365</v>
      </c>
      <c r="AG50" s="3">
        <f t="shared" si="14"/>
        <v>151</v>
      </c>
      <c r="AH50" s="10">
        <f>ROUND($J50*1.637*1.75*2.1*2.3*2.6*3.2*4.2*2.4*2.5*2.8*3.2*3.8*1.25,0)</f>
        <v>408683721071389</v>
      </c>
    </row>
    <row r="51" spans="1:34" x14ac:dyDescent="0.3">
      <c r="A51" s="2">
        <v>35</v>
      </c>
      <c r="B51" s="2" t="s">
        <v>118</v>
      </c>
      <c r="C51" s="2" t="s">
        <v>24</v>
      </c>
      <c r="D51" s="2" t="s">
        <v>40</v>
      </c>
      <c r="E51" s="2">
        <v>124</v>
      </c>
      <c r="F51" s="2" t="s">
        <v>56</v>
      </c>
      <c r="G51" s="2" t="s">
        <v>57</v>
      </c>
      <c r="H51" s="2">
        <v>32</v>
      </c>
      <c r="I51" s="3">
        <v>124</v>
      </c>
      <c r="J51" s="4">
        <v>5000000000</v>
      </c>
      <c r="K51" s="5">
        <f t="shared" si="0"/>
        <v>125</v>
      </c>
      <c r="L51" s="9">
        <f t="shared" si="24"/>
        <v>8185000000</v>
      </c>
      <c r="M51" s="3">
        <f t="shared" si="2"/>
        <v>126</v>
      </c>
      <c r="N51" s="10">
        <f t="shared" si="25"/>
        <v>14323750000</v>
      </c>
      <c r="O51" s="5">
        <f t="shared" si="4"/>
        <v>128</v>
      </c>
      <c r="P51" s="9">
        <f t="shared" si="26"/>
        <v>30079875000</v>
      </c>
      <c r="Q51" s="3">
        <f t="shared" si="6"/>
        <v>130</v>
      </c>
      <c r="R51" s="10">
        <f>ROUND($J51*1.637*1.75*2.1*2.3*1.25,0)</f>
        <v>86479640625</v>
      </c>
      <c r="S51" s="5">
        <f t="shared" si="7"/>
        <v>132</v>
      </c>
      <c r="T51" s="9">
        <f>ROUND($J51*1.637*1.75*2.1*2.3*2.6*1.25,0)</f>
        <v>224847065625</v>
      </c>
      <c r="U51" s="3">
        <f t="shared" si="8"/>
        <v>135</v>
      </c>
      <c r="V51" s="10">
        <f>ROUND($J51*1.637*1.75*2.1*2.3*2.6*3.2*1.25,0)</f>
        <v>719510610000</v>
      </c>
      <c r="W51" s="5">
        <f t="shared" si="9"/>
        <v>139</v>
      </c>
      <c r="X51" s="9">
        <f>ROUND($J51*1.637*1.75*2.1*2.3*2.6*3.2*4.2*1.25,0)</f>
        <v>3021944562000</v>
      </c>
      <c r="Y51" s="3">
        <f t="shared" si="10"/>
        <v>141</v>
      </c>
      <c r="Z51" s="10">
        <f>ROUND($J51*1.637*1.75*2.1*2.3*2.6*3.2*4.2*2.4*1.25,0)</f>
        <v>7252666948800</v>
      </c>
      <c r="AA51" s="5">
        <f t="shared" si="11"/>
        <v>143</v>
      </c>
      <c r="AB51" s="9">
        <f>ROUND($J51*1.637*1.75*2.1*2.3*2.6*3.2*4.2*2.4*2.5*1.25,0)</f>
        <v>18131667372000</v>
      </c>
      <c r="AC51" s="3">
        <f t="shared" si="12"/>
        <v>145</v>
      </c>
      <c r="AD51" s="10">
        <f>ROUND($J51*1.637*1.75*2.1*2.3*2.6*3.2*4.2*2.4*2.5*2.8*1.25,0)</f>
        <v>50768668641600</v>
      </c>
      <c r="AE51" s="5">
        <f t="shared" si="13"/>
        <v>148</v>
      </c>
      <c r="AF51" s="9">
        <f>ROUND($J51*1.637*1.75*2.1*2.3*2.6*3.2*4.2*2.4*2.5*2.8*3.2*1.25,0)</f>
        <v>162459739653120</v>
      </c>
      <c r="AG51" s="3">
        <f t="shared" si="14"/>
        <v>151</v>
      </c>
      <c r="AH51" s="10">
        <f>ROUND($J51*1.637*1.75*2.1*2.3*2.6*3.2*4.2*2.4*2.5*2.8*3.2*3.8*1.25,0)</f>
        <v>617347010681856</v>
      </c>
    </row>
    <row r="52" spans="1:34" x14ac:dyDescent="0.3">
      <c r="A52" s="2">
        <v>65</v>
      </c>
      <c r="B52" s="2" t="s">
        <v>119</v>
      </c>
      <c r="C52" s="2" t="s">
        <v>24</v>
      </c>
      <c r="D52" s="2" t="s">
        <v>40</v>
      </c>
      <c r="E52" s="2">
        <v>124</v>
      </c>
      <c r="F52" s="2" t="s">
        <v>120</v>
      </c>
      <c r="G52" s="2" t="s">
        <v>51</v>
      </c>
      <c r="H52" s="2">
        <v>33</v>
      </c>
      <c r="I52" s="3">
        <v>124</v>
      </c>
      <c r="J52" s="4">
        <v>8100000000</v>
      </c>
      <c r="K52" s="5">
        <f t="shared" si="0"/>
        <v>125</v>
      </c>
      <c r="L52" s="9">
        <f t="shared" si="24"/>
        <v>13259700000</v>
      </c>
      <c r="M52" s="3">
        <f t="shared" si="2"/>
        <v>126</v>
      </c>
      <c r="N52" s="10">
        <f t="shared" si="25"/>
        <v>23204475000</v>
      </c>
      <c r="O52" s="5">
        <f t="shared" si="4"/>
        <v>128</v>
      </c>
      <c r="P52" s="9">
        <f t="shared" si="26"/>
        <v>48729397500</v>
      </c>
      <c r="Q52" s="3">
        <f t="shared" si="6"/>
        <v>130</v>
      </c>
      <c r="R52" s="10">
        <f>ROUND($J52*1.637*1.75*2.1*2.3*1.25,0)</f>
        <v>140097017813</v>
      </c>
      <c r="S52" s="5">
        <f t="shared" si="7"/>
        <v>132</v>
      </c>
      <c r="T52" s="9">
        <f>ROUND($J52*1.637*1.75*2.1*2.3*2.6*1.25,0)</f>
        <v>364252246313</v>
      </c>
      <c r="U52" s="3">
        <f t="shared" si="8"/>
        <v>135</v>
      </c>
      <c r="V52" s="10">
        <f>ROUND($J52*1.637*1.75*2.1*2.3*2.6*3.2*1.25,0)</f>
        <v>1165607188200</v>
      </c>
      <c r="W52" s="5">
        <f t="shared" si="9"/>
        <v>139</v>
      </c>
      <c r="X52" s="9">
        <f>ROUND($J52*1.637*1.75*2.1*2.3*2.6*3.2*4.2*1.25,0)</f>
        <v>4895550190440</v>
      </c>
      <c r="Y52" s="3">
        <f t="shared" si="10"/>
        <v>141</v>
      </c>
      <c r="Z52" s="10">
        <f>ROUND($J52*1.637*1.75*2.1*2.3*2.6*3.2*4.2*2.4*1.25,0)</f>
        <v>11749320457056</v>
      </c>
      <c r="AA52" s="5">
        <f t="shared" si="11"/>
        <v>143</v>
      </c>
      <c r="AB52" s="9">
        <f>ROUND($J52*1.637*1.75*2.1*2.3*2.6*3.2*4.2*2.4*2.5*1.25,0)</f>
        <v>29373301142640</v>
      </c>
      <c r="AC52" s="3">
        <f t="shared" si="12"/>
        <v>145</v>
      </c>
      <c r="AD52" s="10">
        <f>ROUND($J52*1.637*1.75*2.1*2.3*2.6*3.2*4.2*2.4*2.5*2.8*1.25,0)</f>
        <v>82245243199392</v>
      </c>
      <c r="AE52" s="5">
        <f t="shared" si="13"/>
        <v>148</v>
      </c>
      <c r="AF52" s="9">
        <f>ROUND($J52*1.637*1.75*2.1*2.3*2.6*3.2*4.2*2.4*2.5*2.8*3.2*1.25,0)</f>
        <v>263184778238054</v>
      </c>
      <c r="AG52" s="3">
        <f t="shared" si="14"/>
        <v>151</v>
      </c>
      <c r="AH52" s="10">
        <f>ROUND($J52*1.637*1.75*2.1*2.3*2.6*3.2*4.2*2.4*2.5*2.8*3.2*3.8*1.25,0)</f>
        <v>1000102157304610</v>
      </c>
    </row>
    <row r="53" spans="1:34" x14ac:dyDescent="0.3">
      <c r="A53" s="2">
        <v>90</v>
      </c>
      <c r="B53" s="2" t="s">
        <v>121</v>
      </c>
      <c r="C53" s="2" t="s">
        <v>24</v>
      </c>
      <c r="D53" s="2" t="s">
        <v>29</v>
      </c>
      <c r="E53" s="2">
        <v>123</v>
      </c>
      <c r="F53" s="2" t="s">
        <v>62</v>
      </c>
      <c r="G53" s="2" t="s">
        <v>67</v>
      </c>
      <c r="H53" s="2">
        <v>32</v>
      </c>
      <c r="I53" s="3">
        <v>123</v>
      </c>
      <c r="J53" s="4">
        <v>1160000000</v>
      </c>
      <c r="K53" s="5">
        <f t="shared" si="0"/>
        <v>124</v>
      </c>
      <c r="L53" s="9">
        <f t="shared" si="24"/>
        <v>1898920000</v>
      </c>
      <c r="M53" s="3">
        <f t="shared" si="2"/>
        <v>125</v>
      </c>
      <c r="N53" s="10">
        <f t="shared" si="25"/>
        <v>3323110000</v>
      </c>
      <c r="O53" s="5">
        <f t="shared" si="4"/>
        <v>127</v>
      </c>
      <c r="P53" s="9">
        <f t="shared" si="26"/>
        <v>6978531000</v>
      </c>
      <c r="Q53" s="3">
        <f t="shared" si="6"/>
        <v>129</v>
      </c>
      <c r="R53" s="10">
        <f>ROUND($J53*1.637*1.75*2.1*2.3*1,0)</f>
        <v>16050621300</v>
      </c>
      <c r="S53" s="5">
        <f t="shared" si="7"/>
        <v>131</v>
      </c>
      <c r="T53" s="9">
        <f>ROUND($J53*1.637*1.75*2.1*2.3*2.6*1,0)</f>
        <v>41731615380</v>
      </c>
      <c r="U53" s="3">
        <f t="shared" si="8"/>
        <v>134</v>
      </c>
      <c r="V53" s="10">
        <f>ROUND($J53*1.637*1.75*2.1*2.3*2.6*3.2*1,0)</f>
        <v>133541169216</v>
      </c>
      <c r="W53" s="5">
        <f t="shared" si="9"/>
        <v>138</v>
      </c>
      <c r="X53" s="9">
        <f>ROUND($J53*1.637*1.75*2.1*2.3*2.6*3.2*4.2*1,0)</f>
        <v>560872910707</v>
      </c>
      <c r="Y53" s="3">
        <f t="shared" si="10"/>
        <v>140</v>
      </c>
      <c r="Z53" s="10">
        <f>ROUND($J53*1.637*1.75*2.1*2.3*2.6*3.2*4.2*2.4*1,0)</f>
        <v>1346094985697</v>
      </c>
      <c r="AA53" s="5">
        <f t="shared" si="11"/>
        <v>142</v>
      </c>
      <c r="AB53" s="9">
        <f>ROUND($J53*1.637*1.75*2.1*2.3*2.6*3.2*4.2*2.4*2.5*1,0)</f>
        <v>3365237464243</v>
      </c>
      <c r="AC53" s="3">
        <f t="shared" si="12"/>
        <v>144</v>
      </c>
      <c r="AD53" s="10">
        <f>ROUND($J53*1.637*1.75*2.1*2.3*2.6*3.2*4.2*2.4*2.5*2.8*1,0)</f>
        <v>9422664899881</v>
      </c>
      <c r="AE53" s="5">
        <f t="shared" si="13"/>
        <v>147</v>
      </c>
      <c r="AF53" s="9">
        <f>ROUND($J53*1.637*1.75*2.1*2.3*2.6*3.2*4.2*2.4*2.5*2.8*3.2*1,0)</f>
        <v>30152527679619</v>
      </c>
      <c r="AG53" s="3">
        <f t="shared" si="14"/>
        <v>150</v>
      </c>
      <c r="AH53" s="10">
        <f>ROUND($J53*1.637*1.75*2.1*2.3*2.6*3.2*4.2*2.4*2.5*2.8*3.2*3.8*1,0)</f>
        <v>114579605182552</v>
      </c>
    </row>
    <row r="54" spans="1:34" x14ac:dyDescent="0.3">
      <c r="A54" s="2">
        <v>83</v>
      </c>
      <c r="B54" s="2" t="s">
        <v>122</v>
      </c>
      <c r="C54" s="2" t="s">
        <v>24</v>
      </c>
      <c r="D54" s="2" t="s">
        <v>40</v>
      </c>
      <c r="E54" s="2">
        <v>123</v>
      </c>
      <c r="F54" s="2" t="s">
        <v>123</v>
      </c>
      <c r="G54" s="2" t="s">
        <v>124</v>
      </c>
      <c r="H54" s="2">
        <v>32</v>
      </c>
      <c r="I54" s="3">
        <v>123</v>
      </c>
      <c r="J54" s="4">
        <v>1859000000</v>
      </c>
      <c r="K54" s="5">
        <f t="shared" si="0"/>
        <v>124</v>
      </c>
      <c r="L54" s="9">
        <f t="shared" si="24"/>
        <v>3043183000</v>
      </c>
      <c r="M54" s="3">
        <f t="shared" si="2"/>
        <v>125</v>
      </c>
      <c r="N54" s="10">
        <f t="shared" si="25"/>
        <v>5325570250</v>
      </c>
      <c r="O54" s="5">
        <f t="shared" si="4"/>
        <v>127</v>
      </c>
      <c r="P54" s="9">
        <f t="shared" si="26"/>
        <v>11183697525</v>
      </c>
      <c r="Q54" s="3">
        <f t="shared" si="6"/>
        <v>129</v>
      </c>
      <c r="R54" s="10">
        <f>ROUND($J54*1.637*1.75*2.1*2.3*1.25,0)</f>
        <v>32153130384</v>
      </c>
      <c r="S54" s="5">
        <f t="shared" si="7"/>
        <v>131</v>
      </c>
      <c r="T54" s="9">
        <f>ROUND($J54*1.637*1.75*2.1*2.3*2.6*1.25,0)</f>
        <v>83598138999</v>
      </c>
      <c r="U54" s="3">
        <f t="shared" si="8"/>
        <v>134</v>
      </c>
      <c r="V54" s="10">
        <f>ROUND($J54*1.637*1.75*2.1*2.3*2.6*3.2*1.25,0)</f>
        <v>267514044798</v>
      </c>
      <c r="W54" s="5">
        <f t="shared" si="9"/>
        <v>138</v>
      </c>
      <c r="X54" s="9">
        <f>ROUND($J54*1.637*1.75*2.1*2.3*2.6*3.2*4.2*1.25,0)</f>
        <v>1123558988152</v>
      </c>
      <c r="Y54" s="3">
        <f t="shared" si="10"/>
        <v>140</v>
      </c>
      <c r="Z54" s="10">
        <f>ROUND($J54*1.637*1.75*2.1*2.3*2.6*3.2*4.2*2.4*1.25,0)</f>
        <v>2696541571564</v>
      </c>
      <c r="AA54" s="5">
        <f t="shared" si="11"/>
        <v>142</v>
      </c>
      <c r="AB54" s="9">
        <f>ROUND($J54*1.637*1.75*2.1*2.3*2.6*3.2*4.2*2.4*2.5*1.25,0)</f>
        <v>6741353928910</v>
      </c>
      <c r="AC54" s="3">
        <f t="shared" si="12"/>
        <v>144</v>
      </c>
      <c r="AD54" s="10">
        <f>ROUND($J54*1.637*1.75*2.1*2.3*2.6*3.2*4.2*2.4*2.5*2.8*1.25,0)</f>
        <v>18875791000947</v>
      </c>
      <c r="AE54" s="5">
        <f t="shared" si="13"/>
        <v>147</v>
      </c>
      <c r="AF54" s="9">
        <f>ROUND($J54*1.637*1.75*2.1*2.3*2.6*3.2*4.2*2.4*2.5*2.8*3.2*1.25,0)</f>
        <v>60402531203030</v>
      </c>
      <c r="AG54" s="3">
        <f t="shared" si="14"/>
        <v>150</v>
      </c>
      <c r="AH54" s="10">
        <f>ROUND($J54*1.637*1.75*2.1*2.3*2.6*3.2*4.2*2.4*2.5*2.8*3.2*3.8*1.25,0)</f>
        <v>229529618571514</v>
      </c>
    </row>
    <row r="55" spans="1:34" x14ac:dyDescent="0.3">
      <c r="A55" s="2">
        <v>92</v>
      </c>
      <c r="B55" s="2" t="s">
        <v>125</v>
      </c>
      <c r="C55" s="2" t="s">
        <v>24</v>
      </c>
      <c r="D55" s="2" t="s">
        <v>33</v>
      </c>
      <c r="E55" s="2">
        <v>123</v>
      </c>
      <c r="F55" s="2" t="s">
        <v>56</v>
      </c>
      <c r="G55" s="2" t="s">
        <v>126</v>
      </c>
      <c r="H55" s="2">
        <v>31</v>
      </c>
      <c r="I55" s="3">
        <v>123</v>
      </c>
      <c r="J55" s="4">
        <v>168000000</v>
      </c>
      <c r="K55" s="5">
        <f t="shared" si="0"/>
        <v>124</v>
      </c>
      <c r="L55" s="9">
        <f>ROUND($J55*1.637*0.8,0)</f>
        <v>220012800</v>
      </c>
      <c r="M55" s="3">
        <f t="shared" si="2"/>
        <v>125</v>
      </c>
      <c r="N55" s="10">
        <f>ROUND($J55*1.637*1.75*0.8,0)</f>
        <v>385022400</v>
      </c>
      <c r="O55" s="5">
        <f t="shared" si="4"/>
        <v>127</v>
      </c>
      <c r="P55" s="9">
        <f>ROUND($J55*1.637*1.75*2.1*0.8,0)</f>
        <v>808547040</v>
      </c>
      <c r="Q55" s="3">
        <f t="shared" si="6"/>
        <v>129</v>
      </c>
      <c r="R55" s="10">
        <f>ROUND($J55*1.637*1.75*2.1*2.3*0.542035092435954,0)</f>
        <v>1260000000</v>
      </c>
      <c r="S55" s="5">
        <f t="shared" si="7"/>
        <v>131</v>
      </c>
      <c r="T55" s="9">
        <f>ROUND($J55*1.637*1.75*2.1*2.3*2.6*0.544690061623969,0)</f>
        <v>3292046339</v>
      </c>
      <c r="U55" s="3">
        <f t="shared" si="8"/>
        <v>134</v>
      </c>
      <c r="V55" s="10">
        <f>ROUND($J55*1.637*1.75*2.1*2.3*2.6*3.2*0.547345030811984,0)</f>
        <v>10585896572</v>
      </c>
      <c r="W55" s="5">
        <f t="shared" si="9"/>
        <v>138</v>
      </c>
      <c r="X55" s="9">
        <f>ROUND($J55*1.637*1.75*2.1*2.3*2.6*3.2*4.2*0.55,0)</f>
        <v>44676428405</v>
      </c>
      <c r="Y55" s="3">
        <f t="shared" si="10"/>
        <v>140</v>
      </c>
      <c r="Z55" s="10">
        <f>ROUND($J55*1.637*1.75*2.1*2.3*2.6*3.2*4.2*2.4*0.55,0)</f>
        <v>107223428171</v>
      </c>
      <c r="AA55" s="5">
        <f t="shared" si="11"/>
        <v>142</v>
      </c>
      <c r="AB55" s="9">
        <f>ROUND($J55*1.637*1.75*2.1*2.3*2.6*3.2*4.2*2.4*2.5*0.55,0)</f>
        <v>268058570428</v>
      </c>
      <c r="AC55" s="3">
        <f t="shared" si="12"/>
        <v>144</v>
      </c>
      <c r="AD55" s="10">
        <f>ROUND($J55*1.637*1.75*2.1*2.3*2.6*3.2*4.2*2.4*2.5*2.8*0.55,0)</f>
        <v>750563997197</v>
      </c>
      <c r="AE55" s="5">
        <f t="shared" si="13"/>
        <v>147</v>
      </c>
      <c r="AF55" s="9">
        <f>ROUND($J55*1.637*1.75*2.1*2.3*2.6*3.2*4.2*2.4*2.5*2.8*3.2*0.55,0)</f>
        <v>2401804791032</v>
      </c>
      <c r="AG55" s="3">
        <f t="shared" si="14"/>
        <v>150</v>
      </c>
      <c r="AH55" s="10">
        <f>ROUND($J55*1.637*1.75*2.1*2.3*2.6*3.2*4.2*2.4*2.5*2.8*3.2*3.8*0.55,0)</f>
        <v>9126858205921</v>
      </c>
    </row>
    <row r="56" spans="1:34" x14ac:dyDescent="0.3">
      <c r="A56" s="2">
        <v>98</v>
      </c>
      <c r="B56" s="2" t="s">
        <v>127</v>
      </c>
      <c r="C56" s="2" t="s">
        <v>24</v>
      </c>
      <c r="D56" s="2" t="s">
        <v>33</v>
      </c>
      <c r="E56" s="2">
        <v>123</v>
      </c>
      <c r="F56" s="2" t="s">
        <v>71</v>
      </c>
      <c r="G56" s="2" t="s">
        <v>72</v>
      </c>
      <c r="H56" s="2">
        <v>31</v>
      </c>
      <c r="I56" s="3">
        <v>123</v>
      </c>
      <c r="J56" s="4">
        <v>385000000</v>
      </c>
      <c r="K56" s="5">
        <f t="shared" si="0"/>
        <v>124</v>
      </c>
      <c r="L56" s="9">
        <f>ROUND($J56*1.637*1,0)</f>
        <v>630245000</v>
      </c>
      <c r="M56" s="3">
        <f t="shared" si="2"/>
        <v>125</v>
      </c>
      <c r="N56" s="10">
        <f>ROUND($J56*1.637*1.75*1,0)</f>
        <v>1102928750</v>
      </c>
      <c r="O56" s="5">
        <f t="shared" si="4"/>
        <v>127</v>
      </c>
      <c r="P56" s="9">
        <f>ROUND($J56*1.637*1.75*2.1*1,0)</f>
        <v>2316150375</v>
      </c>
      <c r="Q56" s="3">
        <f t="shared" si="6"/>
        <v>129</v>
      </c>
      <c r="R56" s="10">
        <f>ROUND($J56*1.637*1.75*2.1*2.3*1,0)</f>
        <v>5327145863</v>
      </c>
      <c r="S56" s="5">
        <f t="shared" si="7"/>
        <v>131</v>
      </c>
      <c r="T56" s="9">
        <f>ROUND($J56*1.637*1.75*2.1*2.3*2.6*1,0)</f>
        <v>13850579243</v>
      </c>
      <c r="U56" s="3">
        <f t="shared" si="8"/>
        <v>134</v>
      </c>
      <c r="V56" s="10">
        <f>ROUND($J56*1.637*1.75*2.1*2.3*2.6*3.2*1,0)</f>
        <v>44321853576</v>
      </c>
      <c r="W56" s="5">
        <f t="shared" si="9"/>
        <v>138</v>
      </c>
      <c r="X56" s="9">
        <f>ROUND($J56*1.637*1.75*2.1*2.3*2.6*3.2*4.2*1,0)</f>
        <v>186151785019</v>
      </c>
      <c r="Y56" s="3">
        <f t="shared" si="10"/>
        <v>140</v>
      </c>
      <c r="Z56" s="10">
        <f>ROUND($J56*1.637*1.75*2.1*2.3*2.6*3.2*4.2*2.4*1,0)</f>
        <v>446764284046</v>
      </c>
      <c r="AA56" s="5">
        <f t="shared" si="11"/>
        <v>142</v>
      </c>
      <c r="AB56" s="9">
        <f>ROUND($J56*1.637*1.75*2.1*2.3*2.6*3.2*4.2*2.4*2.5*1,0)</f>
        <v>1116910710115</v>
      </c>
      <c r="AC56" s="3">
        <f t="shared" si="12"/>
        <v>144</v>
      </c>
      <c r="AD56" s="10">
        <f>ROUND($J56*1.637*1.75*2.1*2.3*2.6*3.2*4.2*2.4*2.5*2.8*1,0)</f>
        <v>3127349988323</v>
      </c>
      <c r="AE56" s="5">
        <f t="shared" si="13"/>
        <v>147</v>
      </c>
      <c r="AF56" s="9">
        <f>ROUND($J56*1.637*1.75*2.1*2.3*2.6*3.2*4.2*2.4*2.5*2.8*3.2*1,0)</f>
        <v>10007519962632</v>
      </c>
      <c r="AG56" s="3">
        <f t="shared" si="14"/>
        <v>150</v>
      </c>
      <c r="AH56" s="10">
        <f>ROUND($J56*1.637*1.75*2.1*2.3*2.6*3.2*4.2*2.4*2.5*2.8*3.2*3.8*1,0)</f>
        <v>38028575858002</v>
      </c>
    </row>
    <row r="57" spans="1:34" x14ac:dyDescent="0.3">
      <c r="A57" s="2">
        <v>94</v>
      </c>
      <c r="B57" s="2" t="s">
        <v>128</v>
      </c>
      <c r="C57" s="2" t="s">
        <v>24</v>
      </c>
      <c r="D57" s="2" t="s">
        <v>90</v>
      </c>
      <c r="E57" s="2">
        <v>123</v>
      </c>
      <c r="F57" s="2" t="s">
        <v>30</v>
      </c>
      <c r="G57" s="2" t="s">
        <v>31</v>
      </c>
      <c r="H57" s="2">
        <v>31</v>
      </c>
      <c r="I57" s="3">
        <v>123</v>
      </c>
      <c r="J57" s="4">
        <v>180000000</v>
      </c>
      <c r="K57" s="5">
        <f t="shared" si="0"/>
        <v>124</v>
      </c>
      <c r="L57" s="9">
        <f>ROUND($J57*1.637*0.8,0)</f>
        <v>235728000</v>
      </c>
      <c r="M57" s="3">
        <f t="shared" si="2"/>
        <v>125</v>
      </c>
      <c r="N57" s="10">
        <f>ROUND($J57*1.637*1.75*0.8,0)</f>
        <v>412524000</v>
      </c>
      <c r="O57" s="5">
        <f t="shared" si="4"/>
        <v>127</v>
      </c>
      <c r="P57" s="9">
        <f>ROUND($J57*1.637*1.75*2.1*0.8,0)</f>
        <v>866300400</v>
      </c>
      <c r="Q57" s="3">
        <f t="shared" si="6"/>
        <v>129</v>
      </c>
      <c r="R57" s="10">
        <f>ROUND($J57*1.637*1.75*2.1*2.3*0.542035092435954,0)</f>
        <v>1350000000</v>
      </c>
      <c r="S57" s="5">
        <f t="shared" si="7"/>
        <v>131</v>
      </c>
      <c r="T57" s="9">
        <f>ROUND($J57*1.637*1.75*2.1*2.3*2.6*0.544690061623969,0)</f>
        <v>3527192507</v>
      </c>
      <c r="U57" s="3">
        <f t="shared" si="8"/>
        <v>134</v>
      </c>
      <c r="V57" s="10">
        <f>ROUND($J57*1.637*1.75*2.1*2.3*2.6*3.2*0.547345030811984,0)</f>
        <v>11342032042</v>
      </c>
      <c r="W57" s="5">
        <f t="shared" si="9"/>
        <v>138</v>
      </c>
      <c r="X57" s="9">
        <f>ROUND($J57*1.637*1.75*2.1*2.3*2.6*3.2*4.2*0.55,0)</f>
        <v>47867601862</v>
      </c>
      <c r="Y57" s="3">
        <f t="shared" si="10"/>
        <v>140</v>
      </c>
      <c r="Z57" s="10">
        <f>ROUND($J57*1.637*1.75*2.1*2.3*2.6*3.2*4.2*2.4*0.55,0)</f>
        <v>114882244469</v>
      </c>
      <c r="AA57" s="5">
        <f t="shared" si="11"/>
        <v>142</v>
      </c>
      <c r="AB57" s="9">
        <f>ROUND($J57*1.637*1.75*2.1*2.3*2.6*3.2*4.2*2.4*2.5*0.55,0)</f>
        <v>287205611172</v>
      </c>
      <c r="AC57" s="3">
        <f t="shared" si="12"/>
        <v>144</v>
      </c>
      <c r="AD57" s="10">
        <f>ROUND($J57*1.637*1.75*2.1*2.3*2.6*3.2*4.2*2.4*2.5*2.8*0.55,0)</f>
        <v>804175711283</v>
      </c>
      <c r="AE57" s="5">
        <f t="shared" si="13"/>
        <v>147</v>
      </c>
      <c r="AF57" s="9">
        <f>ROUND($J57*1.637*1.75*2.1*2.3*2.6*3.2*4.2*2.4*2.5*2.8*3.2*0.55,0)</f>
        <v>2573362276105</v>
      </c>
      <c r="AG57" s="3">
        <f t="shared" si="14"/>
        <v>150</v>
      </c>
      <c r="AH57" s="10">
        <f>ROUND($J57*1.637*1.75*2.1*2.3*2.6*3.2*4.2*2.4*2.5*2.8*3.2*3.8*0.55,0)</f>
        <v>9778776649201</v>
      </c>
    </row>
    <row r="58" spans="1:34" x14ac:dyDescent="0.3">
      <c r="A58" s="2">
        <v>82</v>
      </c>
      <c r="B58" s="2" t="s">
        <v>129</v>
      </c>
      <c r="C58" s="2" t="s">
        <v>24</v>
      </c>
      <c r="D58" s="2" t="s">
        <v>102</v>
      </c>
      <c r="E58" s="2">
        <v>123</v>
      </c>
      <c r="F58" s="2" t="s">
        <v>30</v>
      </c>
      <c r="G58" s="2" t="s">
        <v>106</v>
      </c>
      <c r="H58" s="2">
        <v>32</v>
      </c>
      <c r="I58" s="3">
        <v>123</v>
      </c>
      <c r="J58" s="4">
        <v>723000000</v>
      </c>
      <c r="K58" s="5">
        <f t="shared" si="0"/>
        <v>124</v>
      </c>
      <c r="L58" s="9">
        <f>ROUND($J58*1.637*1,0)</f>
        <v>1183551000</v>
      </c>
      <c r="M58" s="3">
        <f t="shared" si="2"/>
        <v>125</v>
      </c>
      <c r="N58" s="10">
        <f>ROUND($J58*1.637*1.75*1,0)</f>
        <v>2071214250</v>
      </c>
      <c r="O58" s="5">
        <f t="shared" si="4"/>
        <v>127</v>
      </c>
      <c r="P58" s="9">
        <f>ROUND($J58*1.637*1.75*2.1*1,0)</f>
        <v>4349549925</v>
      </c>
      <c r="Q58" s="3">
        <f t="shared" si="6"/>
        <v>129</v>
      </c>
      <c r="R58" s="10">
        <f>ROUND($J58*1.637*1.75*2.1*2.3*1,0)</f>
        <v>10003964828</v>
      </c>
      <c r="S58" s="5">
        <f t="shared" si="7"/>
        <v>131</v>
      </c>
      <c r="T58" s="9">
        <f>ROUND($J58*1.637*1.75*2.1*2.3*2.6*1,0)</f>
        <v>26010308552</v>
      </c>
      <c r="U58" s="3">
        <f t="shared" si="8"/>
        <v>134</v>
      </c>
      <c r="V58" s="10">
        <f>ROUND($J58*1.637*1.75*2.1*2.3*2.6*3.2*1,0)</f>
        <v>83232987365</v>
      </c>
      <c r="W58" s="5">
        <f t="shared" si="9"/>
        <v>138</v>
      </c>
      <c r="X58" s="9">
        <f>ROUND($J58*1.637*1.75*2.1*2.3*2.6*3.2*4.2*1,0)</f>
        <v>349578546932</v>
      </c>
      <c r="Y58" s="3">
        <f t="shared" si="10"/>
        <v>140</v>
      </c>
      <c r="Z58" s="10">
        <f>ROUND($J58*1.637*1.75*2.1*2.3*2.6*3.2*4.2*2.4*1,0)</f>
        <v>838988512637</v>
      </c>
      <c r="AA58" s="5">
        <f t="shared" si="11"/>
        <v>142</v>
      </c>
      <c r="AB58" s="9">
        <f>ROUND($J58*1.637*1.75*2.1*2.3*2.6*3.2*4.2*2.4*2.5*1,0)</f>
        <v>2097471281593</v>
      </c>
      <c r="AC58" s="3">
        <f t="shared" si="12"/>
        <v>144</v>
      </c>
      <c r="AD58" s="10">
        <f>ROUND($J58*1.637*1.75*2.1*2.3*2.6*3.2*4.2*2.4*2.5*2.8*1,0)</f>
        <v>5872919588460</v>
      </c>
      <c r="AE58" s="5">
        <f t="shared" si="13"/>
        <v>147</v>
      </c>
      <c r="AF58" s="9">
        <f>ROUND($J58*1.637*1.75*2.1*2.3*2.6*3.2*4.2*2.4*2.5*2.8*3.2*1,0)</f>
        <v>18793342683073</v>
      </c>
      <c r="AG58" s="3">
        <f t="shared" si="14"/>
        <v>150</v>
      </c>
      <c r="AH58" s="10">
        <f>ROUND($J58*1.637*1.75*2.1*2.3*2.6*3.2*4.2*2.4*2.5*2.8*3.2*3.8*1,0)</f>
        <v>71414702195677</v>
      </c>
    </row>
    <row r="59" spans="1:34" x14ac:dyDescent="0.3">
      <c r="A59" s="2">
        <v>89</v>
      </c>
      <c r="B59" s="2" t="s">
        <v>130</v>
      </c>
      <c r="C59" s="2" t="s">
        <v>24</v>
      </c>
      <c r="D59" s="2" t="s">
        <v>45</v>
      </c>
      <c r="E59" s="2">
        <v>123</v>
      </c>
      <c r="F59" s="2" t="s">
        <v>56</v>
      </c>
      <c r="G59" s="2" t="s">
        <v>98</v>
      </c>
      <c r="H59" s="2">
        <v>32</v>
      </c>
      <c r="I59" s="3">
        <v>123</v>
      </c>
      <c r="J59" s="4">
        <v>738000000</v>
      </c>
      <c r="K59" s="5">
        <f t="shared" si="0"/>
        <v>124</v>
      </c>
      <c r="L59" s="9">
        <f>ROUND($J59*1.637*1,0)</f>
        <v>1208106000</v>
      </c>
      <c r="M59" s="3">
        <f t="shared" si="2"/>
        <v>125</v>
      </c>
      <c r="N59" s="10">
        <f>ROUND($J59*1.637*1.75*1,0)</f>
        <v>2114185500</v>
      </c>
      <c r="O59" s="5">
        <f t="shared" si="4"/>
        <v>127</v>
      </c>
      <c r="P59" s="9">
        <f>ROUND($J59*1.637*1.75*2.1*1,0)</f>
        <v>4439789550</v>
      </c>
      <c r="Q59" s="3">
        <f t="shared" si="6"/>
        <v>129</v>
      </c>
      <c r="R59" s="10">
        <f>ROUND($J59*1.637*1.75*2.1*2.3*1,0)</f>
        <v>10211515965</v>
      </c>
      <c r="S59" s="5">
        <f t="shared" si="7"/>
        <v>131</v>
      </c>
      <c r="T59" s="9">
        <f>ROUND($J59*1.637*1.75*2.1*2.3*2.6*1,0)</f>
        <v>26549941509</v>
      </c>
      <c r="U59" s="3">
        <f t="shared" si="8"/>
        <v>134</v>
      </c>
      <c r="V59" s="10">
        <f>ROUND($J59*1.637*1.75*2.1*2.3*2.6*3.2*1,0)</f>
        <v>84959812829</v>
      </c>
      <c r="W59" s="5">
        <f t="shared" si="9"/>
        <v>138</v>
      </c>
      <c r="X59" s="9">
        <f>ROUND($J59*1.637*1.75*2.1*2.3*2.6*3.2*4.2*1,0)</f>
        <v>356831213881</v>
      </c>
      <c r="Y59" s="3">
        <f t="shared" si="10"/>
        <v>140</v>
      </c>
      <c r="Z59" s="10">
        <f>ROUND($J59*1.637*1.75*2.1*2.3*2.6*3.2*4.2*2.4*1,0)</f>
        <v>856394913314</v>
      </c>
      <c r="AA59" s="5">
        <f t="shared" si="11"/>
        <v>142</v>
      </c>
      <c r="AB59" s="9">
        <f>ROUND($J59*1.637*1.75*2.1*2.3*2.6*3.2*4.2*2.4*2.5*1,0)</f>
        <v>2140987283286</v>
      </c>
      <c r="AC59" s="3">
        <f t="shared" si="12"/>
        <v>144</v>
      </c>
      <c r="AD59" s="10">
        <f>ROUND($J59*1.637*1.75*2.1*2.3*2.6*3.2*4.2*2.4*2.5*2.8*1,0)</f>
        <v>5994764393200</v>
      </c>
      <c r="AE59" s="5">
        <f t="shared" si="13"/>
        <v>147</v>
      </c>
      <c r="AF59" s="9">
        <f>ROUND($J59*1.637*1.75*2.1*2.3*2.6*3.2*4.2*2.4*2.5*2.8*3.2*1,0)</f>
        <v>19183246058240</v>
      </c>
      <c r="AG59" s="3">
        <f t="shared" si="14"/>
        <v>150</v>
      </c>
      <c r="AH59" s="10">
        <f>ROUND($J59*1.637*1.75*2.1*2.3*2.6*3.2*4.2*2.4*2.5*2.8*3.2*3.8*1,0)</f>
        <v>72896335021314</v>
      </c>
    </row>
    <row r="60" spans="1:34" x14ac:dyDescent="0.3">
      <c r="A60" s="2">
        <v>91</v>
      </c>
      <c r="B60" s="2" t="s">
        <v>131</v>
      </c>
      <c r="C60" s="2" t="s">
        <v>24</v>
      </c>
      <c r="D60" s="2" t="s">
        <v>40</v>
      </c>
      <c r="E60" s="2">
        <v>123</v>
      </c>
      <c r="F60" s="2" t="s">
        <v>132</v>
      </c>
      <c r="G60" s="2" t="s">
        <v>133</v>
      </c>
      <c r="H60" s="2">
        <v>31</v>
      </c>
      <c r="I60" s="3">
        <v>123</v>
      </c>
      <c r="J60" s="4">
        <v>656000000</v>
      </c>
      <c r="K60" s="5">
        <f t="shared" si="0"/>
        <v>124</v>
      </c>
      <c r="L60" s="9">
        <f>ROUND($J60*1.637*1,0)</f>
        <v>1073872000</v>
      </c>
      <c r="M60" s="3">
        <f t="shared" si="2"/>
        <v>125</v>
      </c>
      <c r="N60" s="10">
        <f>ROUND($J60*1.637*1.75*1,0)</f>
        <v>1879276000</v>
      </c>
      <c r="O60" s="5">
        <f t="shared" si="4"/>
        <v>127</v>
      </c>
      <c r="P60" s="9">
        <f>ROUND($J60*1.637*1.75*2.1*1,0)</f>
        <v>3946479600</v>
      </c>
      <c r="Q60" s="3">
        <f t="shared" si="6"/>
        <v>129</v>
      </c>
      <c r="R60" s="10">
        <f>ROUND($J60*1.637*1.75*2.1*2.3*1,0)</f>
        <v>9076903080</v>
      </c>
      <c r="S60" s="5">
        <f t="shared" si="7"/>
        <v>131</v>
      </c>
      <c r="T60" s="9">
        <f>ROUND($J60*1.637*1.75*2.1*2.3*2.6*1,0)</f>
        <v>23599948008</v>
      </c>
      <c r="U60" s="3">
        <f t="shared" si="8"/>
        <v>134</v>
      </c>
      <c r="V60" s="10">
        <f>ROUND($J60*1.637*1.75*2.1*2.3*2.6*3.2*1,0)</f>
        <v>75519833626</v>
      </c>
      <c r="W60" s="5">
        <f t="shared" si="9"/>
        <v>138</v>
      </c>
      <c r="X60" s="9">
        <f>ROUND($J60*1.637*1.75*2.1*2.3*2.6*3.2*4.2*1,0)</f>
        <v>317183301228</v>
      </c>
      <c r="Y60" s="3">
        <f t="shared" si="10"/>
        <v>140</v>
      </c>
      <c r="Z60" s="10">
        <f>ROUND($J60*1.637*1.75*2.1*2.3*2.6*3.2*4.2*2.4*1,0)</f>
        <v>761239922946</v>
      </c>
      <c r="AA60" s="5">
        <f t="shared" si="11"/>
        <v>142</v>
      </c>
      <c r="AB60" s="9">
        <f>ROUND($J60*1.637*1.75*2.1*2.3*2.6*3.2*4.2*2.4*2.5*1,0)</f>
        <v>1903099807365</v>
      </c>
      <c r="AC60" s="3">
        <f t="shared" si="12"/>
        <v>144</v>
      </c>
      <c r="AD60" s="10">
        <f>ROUND($J60*1.637*1.75*2.1*2.3*2.6*3.2*4.2*2.4*2.5*2.8*1,0)</f>
        <v>5328679460622</v>
      </c>
      <c r="AE60" s="5">
        <f t="shared" si="13"/>
        <v>147</v>
      </c>
      <c r="AF60" s="9">
        <f>ROUND($J60*1.637*1.75*2.1*2.3*2.6*3.2*4.2*2.4*2.5*2.8*3.2*1,0)</f>
        <v>17051774273992</v>
      </c>
      <c r="AG60" s="3">
        <f t="shared" si="14"/>
        <v>150</v>
      </c>
      <c r="AH60" s="10">
        <f>ROUND($J60*1.637*1.75*2.1*2.3*2.6*3.2*4.2*2.4*2.5*2.8*3.2*3.8*1,0)</f>
        <v>64796742241168</v>
      </c>
    </row>
    <row r="61" spans="1:34" x14ac:dyDescent="0.3">
      <c r="A61" s="2">
        <v>101</v>
      </c>
      <c r="B61" s="2" t="s">
        <v>134</v>
      </c>
      <c r="C61" s="2" t="s">
        <v>24</v>
      </c>
      <c r="D61" s="2" t="s">
        <v>75</v>
      </c>
      <c r="E61" s="2">
        <v>123</v>
      </c>
      <c r="F61" s="2" t="s">
        <v>26</v>
      </c>
      <c r="G61" s="2" t="s">
        <v>51</v>
      </c>
      <c r="H61" s="2">
        <v>31</v>
      </c>
      <c r="I61" s="3">
        <v>123</v>
      </c>
      <c r="J61" s="4">
        <v>123000000</v>
      </c>
      <c r="K61" s="5">
        <f t="shared" si="0"/>
        <v>124</v>
      </c>
      <c r="L61" s="9">
        <f>ROUND($J61*1.637*0.8,0)</f>
        <v>161080800</v>
      </c>
      <c r="M61" s="3">
        <f t="shared" si="2"/>
        <v>125</v>
      </c>
      <c r="N61" s="10">
        <f>ROUND($J61*1.637*1.75*0.8,0)</f>
        <v>281891400</v>
      </c>
      <c r="O61" s="5">
        <f t="shared" si="4"/>
        <v>127</v>
      </c>
      <c r="P61" s="9">
        <f>ROUND($J61*1.637*1.75*2.1*0.8,0)</f>
        <v>591971940</v>
      </c>
      <c r="Q61" s="3">
        <f t="shared" si="6"/>
        <v>129</v>
      </c>
      <c r="R61" s="10">
        <f>ROUND($J61*1.637*1.75*2.1*2.3*0.542035092435954,0)</f>
        <v>922500000</v>
      </c>
      <c r="S61" s="5">
        <f t="shared" si="7"/>
        <v>131</v>
      </c>
      <c r="T61" s="9">
        <f>ROUND($J61*1.637*1.75*2.1*2.3*2.6*0.544690061623969,0)</f>
        <v>2410248213</v>
      </c>
      <c r="U61" s="3">
        <f t="shared" si="8"/>
        <v>134</v>
      </c>
      <c r="V61" s="10">
        <f>ROUND($J61*1.637*1.75*2.1*2.3*2.6*3.2*0.547345030811984,0)</f>
        <v>7750388562</v>
      </c>
      <c r="W61" s="5">
        <f t="shared" si="9"/>
        <v>138</v>
      </c>
      <c r="X61" s="9">
        <f>ROUND($J61*1.637*1.75*2.1*2.3*2.6*3.2*4.2*0.55,0)</f>
        <v>32709527939</v>
      </c>
      <c r="Y61" s="3">
        <f t="shared" si="10"/>
        <v>140</v>
      </c>
      <c r="Z61" s="10">
        <f>ROUND($J61*1.637*1.75*2.1*2.3*2.6*3.2*4.2*2.4*0.55,0)</f>
        <v>78502867054</v>
      </c>
      <c r="AA61" s="5">
        <f t="shared" si="11"/>
        <v>142</v>
      </c>
      <c r="AB61" s="9">
        <f>ROUND($J61*1.637*1.75*2.1*2.3*2.6*3.2*4.2*2.4*2.5*0.55,0)</f>
        <v>196257167635</v>
      </c>
      <c r="AC61" s="3">
        <f t="shared" si="12"/>
        <v>144</v>
      </c>
      <c r="AD61" s="10">
        <f>ROUND($J61*1.637*1.75*2.1*2.3*2.6*3.2*4.2*2.4*2.5*2.8*0.55,0)</f>
        <v>549520069377</v>
      </c>
      <c r="AE61" s="5">
        <f t="shared" si="13"/>
        <v>147</v>
      </c>
      <c r="AF61" s="9">
        <f>ROUND($J61*1.637*1.75*2.1*2.3*2.6*3.2*4.2*2.4*2.5*2.8*3.2*0.55,0)</f>
        <v>1758464222005</v>
      </c>
      <c r="AG61" s="3">
        <f t="shared" si="14"/>
        <v>150</v>
      </c>
      <c r="AH61" s="10">
        <f>ROUND($J61*1.637*1.75*2.1*2.3*2.6*3.2*4.2*2.4*2.5*2.8*3.2*3.8*0.55,0)</f>
        <v>6682164043620</v>
      </c>
    </row>
    <row r="62" spans="1:34" x14ac:dyDescent="0.3">
      <c r="A62" s="2">
        <v>81</v>
      </c>
      <c r="B62" s="2" t="s">
        <v>135</v>
      </c>
      <c r="C62" s="2" t="s">
        <v>24</v>
      </c>
      <c r="D62" s="2" t="s">
        <v>29</v>
      </c>
      <c r="E62" s="2">
        <v>123</v>
      </c>
      <c r="F62" s="2" t="s">
        <v>136</v>
      </c>
      <c r="G62" s="2" t="s">
        <v>133</v>
      </c>
      <c r="H62" s="2">
        <v>32</v>
      </c>
      <c r="I62" s="3">
        <v>123</v>
      </c>
      <c r="J62" s="4">
        <v>576100000</v>
      </c>
      <c r="K62" s="5">
        <f t="shared" si="0"/>
        <v>124</v>
      </c>
      <c r="L62" s="9">
        <f>ROUND($J62*1.637*1,0)</f>
        <v>943075700</v>
      </c>
      <c r="M62" s="3">
        <f t="shared" si="2"/>
        <v>125</v>
      </c>
      <c r="N62" s="10">
        <f>ROUND($J62*1.637*1.75*1,0)</f>
        <v>1650382475</v>
      </c>
      <c r="O62" s="5">
        <f t="shared" si="4"/>
        <v>127</v>
      </c>
      <c r="P62" s="9">
        <f>ROUND($J62*1.637*1.75*2.1*1,0)</f>
        <v>3465803198</v>
      </c>
      <c r="Q62" s="3">
        <f t="shared" si="6"/>
        <v>129</v>
      </c>
      <c r="R62" s="10">
        <f>ROUND($J62*1.637*1.75*2.1*2.3*1,0)</f>
        <v>7971347354</v>
      </c>
      <c r="S62" s="5">
        <f t="shared" si="7"/>
        <v>131</v>
      </c>
      <c r="T62" s="9">
        <f>ROUND($J62*1.637*1.75*2.1*2.3*2.6*1,0)</f>
        <v>20725503121</v>
      </c>
      <c r="U62" s="3">
        <f t="shared" si="8"/>
        <v>134</v>
      </c>
      <c r="V62" s="10">
        <f>ROUND($J62*1.637*1.75*2.1*2.3*2.6*3.2*1,0)</f>
        <v>66321609987</v>
      </c>
      <c r="W62" s="5">
        <f t="shared" si="9"/>
        <v>138</v>
      </c>
      <c r="X62" s="9">
        <f>ROUND($J62*1.637*1.75*2.1*2.3*2.6*3.2*4.2*1,0)</f>
        <v>278550761947</v>
      </c>
      <c r="Y62" s="3">
        <f t="shared" si="10"/>
        <v>140</v>
      </c>
      <c r="Z62" s="10">
        <f>ROUND($J62*1.637*1.75*2.1*2.3*2.6*3.2*4.2*2.4*1,0)</f>
        <v>668521828673</v>
      </c>
      <c r="AA62" s="5">
        <f t="shared" si="11"/>
        <v>142</v>
      </c>
      <c r="AB62" s="9">
        <f>ROUND($J62*1.637*1.75*2.1*2.3*2.6*3.2*4.2*2.4*2.5*1,0)</f>
        <v>1671304571681</v>
      </c>
      <c r="AC62" s="3">
        <f t="shared" si="12"/>
        <v>144</v>
      </c>
      <c r="AD62" s="10">
        <f>ROUND($J62*1.637*1.75*2.1*2.3*2.6*3.2*4.2*2.4*2.5*2.8*1,0)</f>
        <v>4679652800708</v>
      </c>
      <c r="AE62" s="5">
        <f t="shared" si="13"/>
        <v>147</v>
      </c>
      <c r="AF62" s="9">
        <f>ROUND($J62*1.637*1.75*2.1*2.3*2.6*3.2*4.2*2.4*2.5*2.8*3.2*1,0)</f>
        <v>14974888962266</v>
      </c>
      <c r="AG62" s="3">
        <f t="shared" si="14"/>
        <v>150</v>
      </c>
      <c r="AH62" s="10">
        <f>ROUND($J62*1.637*1.75*2.1*2.3*2.6*3.2*4.2*2.4*2.5*2.8*3.2*3.8*1,0)</f>
        <v>56904578056611</v>
      </c>
    </row>
    <row r="63" spans="1:34" x14ac:dyDescent="0.3">
      <c r="A63" s="2">
        <v>100</v>
      </c>
      <c r="B63" s="2" t="s">
        <v>137</v>
      </c>
      <c r="C63" s="2" t="s">
        <v>24</v>
      </c>
      <c r="D63" s="2" t="s">
        <v>90</v>
      </c>
      <c r="E63" s="2">
        <v>123</v>
      </c>
      <c r="F63" s="2" t="s">
        <v>54</v>
      </c>
      <c r="G63" s="2" t="s">
        <v>67</v>
      </c>
      <c r="H63" s="2">
        <v>31</v>
      </c>
      <c r="I63" s="3">
        <v>123</v>
      </c>
      <c r="J63" s="4">
        <v>3730000000</v>
      </c>
      <c r="K63" s="5">
        <f t="shared" si="0"/>
        <v>124</v>
      </c>
      <c r="L63" s="9">
        <f>ROUND($J63*1.637*1,0)</f>
        <v>6106010000</v>
      </c>
      <c r="M63" s="3">
        <f t="shared" si="2"/>
        <v>125</v>
      </c>
      <c r="N63" s="10">
        <f>ROUND($J63*1.637*1.75*1,0)</f>
        <v>10685517500</v>
      </c>
      <c r="O63" s="5">
        <f t="shared" si="4"/>
        <v>127</v>
      </c>
      <c r="P63" s="9">
        <f>ROUND($J63*1.637*1.75*2.1*1,0)</f>
        <v>22439586750</v>
      </c>
      <c r="Q63" s="3">
        <f t="shared" si="6"/>
        <v>129</v>
      </c>
      <c r="R63" s="10">
        <f>ROUND($J63*1.637*1.75*2.1*2.3*1.25,0)</f>
        <v>64513811906</v>
      </c>
      <c r="S63" s="5">
        <f t="shared" si="7"/>
        <v>131</v>
      </c>
      <c r="T63" s="9">
        <f>ROUND($J63*1.637*1.75*2.1*2.3*2.6*1.25,0)</f>
        <v>167735910956</v>
      </c>
      <c r="U63" s="3">
        <f t="shared" si="8"/>
        <v>134</v>
      </c>
      <c r="V63" s="10">
        <f>ROUND($J63*1.637*1.75*2.1*2.3*2.6*3.2*1.25,0)</f>
        <v>536754915060</v>
      </c>
      <c r="W63" s="5">
        <f t="shared" si="9"/>
        <v>138</v>
      </c>
      <c r="X63" s="9">
        <f>ROUND($J63*1.637*1.75*2.1*2.3*2.6*3.2*4.2*1.25,0)</f>
        <v>2254370643252</v>
      </c>
      <c r="Y63" s="3">
        <f t="shared" si="10"/>
        <v>140</v>
      </c>
      <c r="Z63" s="10">
        <f>ROUND($J63*1.637*1.75*2.1*2.3*2.6*3.2*4.2*2.4*1.25,0)</f>
        <v>5410489543805</v>
      </c>
      <c r="AA63" s="5">
        <f t="shared" si="11"/>
        <v>142</v>
      </c>
      <c r="AB63" s="9">
        <f>ROUND($J63*1.637*1.75*2.1*2.3*2.6*3.2*4.2*2.4*2.5*1.25,0)</f>
        <v>13526223859512</v>
      </c>
      <c r="AC63" s="3">
        <f t="shared" si="12"/>
        <v>144</v>
      </c>
      <c r="AD63" s="10">
        <f>ROUND($J63*1.637*1.75*2.1*2.3*2.6*3.2*4.2*2.4*2.5*2.8*1.25,0)</f>
        <v>37873426806634</v>
      </c>
      <c r="AE63" s="5">
        <f t="shared" si="13"/>
        <v>147</v>
      </c>
      <c r="AF63" s="9">
        <f>ROUND($J63*1.637*1.75*2.1*2.3*2.6*3.2*4.2*2.4*2.5*2.8*3.2*1.25,0)</f>
        <v>121194965781228</v>
      </c>
      <c r="AG63" s="3">
        <f t="shared" si="14"/>
        <v>150</v>
      </c>
      <c r="AH63" s="10">
        <f>ROUND($J63*1.637*1.75*2.1*2.3*2.6*3.2*4.2*2.4*2.5*2.8*3.2*3.8*1.25,0)</f>
        <v>460540869968664</v>
      </c>
    </row>
    <row r="64" spans="1:34" x14ac:dyDescent="0.3">
      <c r="A64" s="2">
        <v>40</v>
      </c>
      <c r="B64" s="2" t="s">
        <v>138</v>
      </c>
      <c r="C64" s="2" t="s">
        <v>24</v>
      </c>
      <c r="D64" s="2" t="s">
        <v>25</v>
      </c>
      <c r="E64" s="2">
        <v>123</v>
      </c>
      <c r="F64" s="2" t="s">
        <v>34</v>
      </c>
      <c r="G64" s="2" t="s">
        <v>98</v>
      </c>
      <c r="H64" s="2">
        <v>32</v>
      </c>
      <c r="I64" s="3">
        <v>123</v>
      </c>
      <c r="J64" s="4">
        <v>9580000000</v>
      </c>
      <c r="K64" s="5">
        <f t="shared" si="0"/>
        <v>124</v>
      </c>
      <c r="L64" s="9">
        <f>ROUND($J64*1.637*1,0)</f>
        <v>15682460000</v>
      </c>
      <c r="M64" s="3">
        <f t="shared" si="2"/>
        <v>125</v>
      </c>
      <c r="N64" s="10">
        <f>ROUND($J64*1.637*1.75*1,0)</f>
        <v>27444305000</v>
      </c>
      <c r="O64" s="5">
        <f t="shared" si="4"/>
        <v>127</v>
      </c>
      <c r="P64" s="9">
        <f>ROUND($J64*1.637*1.75*2.1*1,0)</f>
        <v>57633040500</v>
      </c>
      <c r="Q64" s="3">
        <f t="shared" si="6"/>
        <v>129</v>
      </c>
      <c r="R64" s="10">
        <f>ROUND($J64*1.637*1.75*2.1*2.3*1.25,0)</f>
        <v>165694991438</v>
      </c>
      <c r="S64" s="5">
        <f t="shared" si="7"/>
        <v>131</v>
      </c>
      <c r="T64" s="9">
        <f>ROUND($J64*1.637*1.75*2.1*2.3*2.6*1.25,0)</f>
        <v>430806977738</v>
      </c>
      <c r="U64" s="3">
        <f t="shared" si="8"/>
        <v>134</v>
      </c>
      <c r="V64" s="10">
        <f>ROUND($J64*1.637*1.75*2.1*2.3*2.6*3.2*1.25,0)</f>
        <v>1378582328760</v>
      </c>
      <c r="W64" s="5">
        <f t="shared" si="9"/>
        <v>138</v>
      </c>
      <c r="X64" s="9">
        <f>ROUND($J64*1.637*1.75*2.1*2.3*2.6*3.2*4.2*1.25,0)</f>
        <v>5790045780792</v>
      </c>
      <c r="Y64" s="3">
        <f t="shared" si="10"/>
        <v>140</v>
      </c>
      <c r="Z64" s="10">
        <f>ROUND($J64*1.637*1.75*2.1*2.3*2.6*3.2*4.2*2.4*1.25,0)</f>
        <v>13896109873901</v>
      </c>
      <c r="AA64" s="5">
        <f t="shared" si="11"/>
        <v>142</v>
      </c>
      <c r="AB64" s="9">
        <f>ROUND($J64*1.637*1.75*2.1*2.3*2.6*3.2*4.2*2.4*2.5*1.25,0)</f>
        <v>34740274684752</v>
      </c>
      <c r="AC64" s="3">
        <f t="shared" si="12"/>
        <v>144</v>
      </c>
      <c r="AD64" s="10">
        <f>ROUND($J64*1.637*1.75*2.1*2.3*2.6*3.2*4.2*2.4*2.5*2.8*1.25,0)</f>
        <v>97272769117306</v>
      </c>
      <c r="AE64" s="5">
        <f t="shared" si="13"/>
        <v>147</v>
      </c>
      <c r="AF64" s="9">
        <f>ROUND($J64*1.637*1.75*2.1*2.3*2.6*3.2*4.2*2.4*2.5*2.8*3.2*1.25,0)</f>
        <v>311272861175378</v>
      </c>
      <c r="AG64" s="3">
        <f t="shared" si="14"/>
        <v>150</v>
      </c>
      <c r="AH64" s="10">
        <f>ROUND($J64*1.637*1.75*2.1*2.3*2.6*3.2*4.2*2.4*2.5*2.8*3.2*3.8*1.25,0)</f>
        <v>1182836872466440</v>
      </c>
    </row>
    <row r="65" spans="1:34" x14ac:dyDescent="0.3">
      <c r="A65" s="2">
        <v>86</v>
      </c>
      <c r="B65" s="2" t="s">
        <v>139</v>
      </c>
      <c r="C65" s="2" t="s">
        <v>24</v>
      </c>
      <c r="D65" s="2" t="s">
        <v>40</v>
      </c>
      <c r="E65" s="2">
        <v>123</v>
      </c>
      <c r="F65" s="2" t="s">
        <v>34</v>
      </c>
      <c r="G65" s="2" t="s">
        <v>35</v>
      </c>
      <c r="H65" s="2">
        <v>32</v>
      </c>
      <c r="I65" s="3">
        <v>123</v>
      </c>
      <c r="J65" s="4">
        <v>206000000</v>
      </c>
      <c r="K65" s="5">
        <f t="shared" si="0"/>
        <v>124</v>
      </c>
      <c r="L65" s="9">
        <f>ROUND($J65*1.637*0.8,0)</f>
        <v>269777600</v>
      </c>
      <c r="M65" s="3">
        <f t="shared" si="2"/>
        <v>125</v>
      </c>
      <c r="N65" s="10">
        <f>ROUND($J65*1.637*1.75*0.8,0)</f>
        <v>472110800</v>
      </c>
      <c r="O65" s="5">
        <f t="shared" si="4"/>
        <v>127</v>
      </c>
      <c r="P65" s="9">
        <f>ROUND($J65*1.637*1.75*2.1*0.8,0)</f>
        <v>991432680</v>
      </c>
      <c r="Q65" s="3">
        <f t="shared" si="6"/>
        <v>129</v>
      </c>
      <c r="R65" s="10">
        <f>ROUND($J65*1.637*1.75*2.1*2.3*0.542035092435954,0)</f>
        <v>1545000000</v>
      </c>
      <c r="S65" s="5">
        <f t="shared" si="7"/>
        <v>131</v>
      </c>
      <c r="T65" s="9">
        <f>ROUND($J65*1.637*1.75*2.1*2.3*2.6*0.544690061623969,0)</f>
        <v>4036675869</v>
      </c>
      <c r="U65" s="3">
        <f t="shared" si="8"/>
        <v>134</v>
      </c>
      <c r="V65" s="10">
        <f>ROUND($J65*1.637*1.75*2.1*2.3*2.6*3.2*0.547345030811984,0)</f>
        <v>12980325559</v>
      </c>
      <c r="W65" s="5">
        <f t="shared" si="9"/>
        <v>138</v>
      </c>
      <c r="X65" s="9">
        <f>ROUND($J65*1.637*1.75*2.1*2.3*2.6*3.2*4.2*0.55,0)</f>
        <v>54781811020</v>
      </c>
      <c r="Y65" s="3">
        <f t="shared" si="10"/>
        <v>140</v>
      </c>
      <c r="Z65" s="10">
        <f>ROUND($J65*1.637*1.75*2.1*2.3*2.6*3.2*4.2*2.4*0.55,0)</f>
        <v>131476346448</v>
      </c>
      <c r="AA65" s="5">
        <f t="shared" si="11"/>
        <v>142</v>
      </c>
      <c r="AB65" s="9">
        <f>ROUND($J65*1.637*1.75*2.1*2.3*2.6*3.2*4.2*2.4*2.5*0.55,0)</f>
        <v>328690866120</v>
      </c>
      <c r="AC65" s="3">
        <f t="shared" si="12"/>
        <v>144</v>
      </c>
      <c r="AD65" s="10">
        <f>ROUND($J65*1.637*1.75*2.1*2.3*2.6*3.2*4.2*2.4*2.5*2.8*0.55,0)</f>
        <v>920334425135</v>
      </c>
      <c r="AE65" s="5">
        <f t="shared" si="13"/>
        <v>147</v>
      </c>
      <c r="AF65" s="9">
        <f>ROUND($J65*1.637*1.75*2.1*2.3*2.6*3.2*4.2*2.4*2.5*2.8*3.2*0.55,0)</f>
        <v>2945070160432</v>
      </c>
      <c r="AG65" s="3">
        <f t="shared" si="14"/>
        <v>150</v>
      </c>
      <c r="AH65" s="10">
        <f>ROUND($J65*1.637*1.75*2.1*2.3*2.6*3.2*4.2*2.4*2.5*2.8*3.2*3.8*0.55,0)</f>
        <v>11191266609641</v>
      </c>
    </row>
    <row r="66" spans="1:34" x14ac:dyDescent="0.3">
      <c r="A66" s="2">
        <v>99</v>
      </c>
      <c r="B66" s="2" t="s">
        <v>140</v>
      </c>
      <c r="C66" s="2" t="s">
        <v>24</v>
      </c>
      <c r="D66" s="2" t="s">
        <v>40</v>
      </c>
      <c r="E66" s="2">
        <v>123</v>
      </c>
      <c r="F66" s="2" t="s">
        <v>56</v>
      </c>
      <c r="G66" s="2" t="s">
        <v>133</v>
      </c>
      <c r="H66" s="2">
        <v>31</v>
      </c>
      <c r="I66" s="3">
        <v>123</v>
      </c>
      <c r="J66" s="4">
        <v>407000000</v>
      </c>
      <c r="K66" s="5">
        <f t="shared" si="0"/>
        <v>124</v>
      </c>
      <c r="L66" s="9">
        <f>ROUND($J66*1.637*1,0)</f>
        <v>666259000</v>
      </c>
      <c r="M66" s="3">
        <f t="shared" si="2"/>
        <v>125</v>
      </c>
      <c r="N66" s="10">
        <f>ROUND($J66*1.637*1.75*1,0)</f>
        <v>1165953250</v>
      </c>
      <c r="O66" s="5">
        <f t="shared" si="4"/>
        <v>127</v>
      </c>
      <c r="P66" s="9">
        <f>ROUND($J66*1.637*1.75*2.1*1,0)</f>
        <v>2448501825</v>
      </c>
      <c r="Q66" s="3">
        <f t="shared" si="6"/>
        <v>129</v>
      </c>
      <c r="R66" s="10">
        <f>ROUND($J66*1.637*1.75*2.1*2.3*1,0)</f>
        <v>5631554198</v>
      </c>
      <c r="S66" s="5">
        <f t="shared" si="7"/>
        <v>131</v>
      </c>
      <c r="T66" s="9">
        <f>ROUND($J66*1.637*1.75*2.1*2.3*2.6*1,0)</f>
        <v>14642040914</v>
      </c>
      <c r="U66" s="3">
        <f t="shared" si="8"/>
        <v>134</v>
      </c>
      <c r="V66" s="10">
        <f>ROUND($J66*1.637*1.75*2.1*2.3*2.6*3.2*1,0)</f>
        <v>46854530923</v>
      </c>
      <c r="W66" s="5">
        <f t="shared" si="9"/>
        <v>138</v>
      </c>
      <c r="X66" s="9">
        <f>ROUND($J66*1.637*1.75*2.1*2.3*2.6*3.2*4.2*1,0)</f>
        <v>196789029877</v>
      </c>
      <c r="Y66" s="3">
        <f t="shared" si="10"/>
        <v>140</v>
      </c>
      <c r="Z66" s="10">
        <f>ROUND($J66*1.637*1.75*2.1*2.3*2.6*3.2*4.2*2.4*1,0)</f>
        <v>472293671706</v>
      </c>
      <c r="AA66" s="5">
        <f t="shared" si="11"/>
        <v>142</v>
      </c>
      <c r="AB66" s="9">
        <f>ROUND($J66*1.637*1.75*2.1*2.3*2.6*3.2*4.2*2.4*2.5*1,0)</f>
        <v>1180734179265</v>
      </c>
      <c r="AC66" s="3">
        <f t="shared" si="12"/>
        <v>144</v>
      </c>
      <c r="AD66" s="10">
        <f>ROUND($J66*1.637*1.75*2.1*2.3*2.6*3.2*4.2*2.4*2.5*2.8*1,0)</f>
        <v>3306055701941</v>
      </c>
      <c r="AE66" s="5">
        <f t="shared" si="13"/>
        <v>147</v>
      </c>
      <c r="AF66" s="9">
        <f>ROUND($J66*1.637*1.75*2.1*2.3*2.6*3.2*4.2*2.4*2.5*2.8*3.2*1,0)</f>
        <v>10579378246211</v>
      </c>
      <c r="AG66" s="3">
        <f t="shared" si="14"/>
        <v>150</v>
      </c>
      <c r="AH66" s="10">
        <f>ROUND($J66*1.637*1.75*2.1*2.3*2.6*3.2*4.2*2.4*2.5*2.8*3.2*3.8*1,0)</f>
        <v>40201637335603</v>
      </c>
    </row>
    <row r="67" spans="1:34" x14ac:dyDescent="0.3">
      <c r="A67" s="2">
        <v>85</v>
      </c>
      <c r="B67" s="2" t="s">
        <v>141</v>
      </c>
      <c r="C67" s="2" t="s">
        <v>24</v>
      </c>
      <c r="D67" s="2" t="s">
        <v>75</v>
      </c>
      <c r="E67" s="2">
        <v>123</v>
      </c>
      <c r="F67" s="2" t="s">
        <v>30</v>
      </c>
      <c r="G67" s="2" t="s">
        <v>38</v>
      </c>
      <c r="H67" s="2">
        <v>32</v>
      </c>
      <c r="I67" s="3">
        <v>123</v>
      </c>
      <c r="J67" s="4">
        <v>960000000</v>
      </c>
      <c r="K67" s="5">
        <f t="shared" ref="K67:K130" si="27">$E67+1</f>
        <v>124</v>
      </c>
      <c r="L67" s="9">
        <f>ROUND($J67*1.637*1,0)</f>
        <v>1571520000</v>
      </c>
      <c r="M67" s="3">
        <f t="shared" ref="M67:M130" si="28">$E67+2</f>
        <v>125</v>
      </c>
      <c r="N67" s="10">
        <f>ROUND($J67*1.637*1.75*1,0)</f>
        <v>2750160000</v>
      </c>
      <c r="O67" s="5">
        <f t="shared" ref="O67:O130" si="29">$E67+4</f>
        <v>127</v>
      </c>
      <c r="P67" s="9">
        <f>ROUND($J67*1.637*1.75*2.1*1,0)</f>
        <v>5775336000</v>
      </c>
      <c r="Q67" s="3">
        <f t="shared" ref="Q67:Q130" si="30">$E67+6</f>
        <v>129</v>
      </c>
      <c r="R67" s="10">
        <f>ROUND($J67*1.637*1.75*2.1*2.3*1.25,0)</f>
        <v>16604091000</v>
      </c>
      <c r="S67" s="5">
        <f t="shared" ref="S67:S130" si="31">$E67+8</f>
        <v>131</v>
      </c>
      <c r="T67" s="9">
        <f>ROUND($J67*1.637*1.75*2.1*2.3*2.6*1.25,0)</f>
        <v>43170636600</v>
      </c>
      <c r="U67" s="3">
        <f t="shared" ref="U67:U130" si="32">$E67+11</f>
        <v>134</v>
      </c>
      <c r="V67" s="10">
        <f>ROUND($J67*1.637*1.75*2.1*2.3*2.6*3.2*1.25,0)</f>
        <v>138146037120</v>
      </c>
      <c r="W67" s="5">
        <f t="shared" ref="W67:W130" si="33">$E67+15</f>
        <v>138</v>
      </c>
      <c r="X67" s="9">
        <f>ROUND($J67*1.637*1.75*2.1*2.3*2.6*3.2*4.2*1.25,0)</f>
        <v>580213355904</v>
      </c>
      <c r="Y67" s="3">
        <f t="shared" ref="Y67:Y130" si="34">$E67+17</f>
        <v>140</v>
      </c>
      <c r="Z67" s="10">
        <f>ROUND($J67*1.637*1.75*2.1*2.3*2.6*3.2*4.2*2.4*1.25,0)</f>
        <v>1392512054170</v>
      </c>
      <c r="AA67" s="5">
        <f t="shared" ref="AA67:AA130" si="35">$E67+19</f>
        <v>142</v>
      </c>
      <c r="AB67" s="9">
        <f>ROUND($J67*1.637*1.75*2.1*2.3*2.6*3.2*4.2*2.4*2.5*1.25,0)</f>
        <v>3481280135424</v>
      </c>
      <c r="AC67" s="3">
        <f t="shared" ref="AC67:AC130" si="36">$E67+21</f>
        <v>144</v>
      </c>
      <c r="AD67" s="10">
        <f>ROUND($J67*1.637*1.75*2.1*2.3*2.6*3.2*4.2*2.4*2.5*2.8*1.25,0)</f>
        <v>9747584379187</v>
      </c>
      <c r="AE67" s="5">
        <f t="shared" ref="AE67:AE130" si="37">$E67+24</f>
        <v>147</v>
      </c>
      <c r="AF67" s="9">
        <f>ROUND($J67*1.637*1.75*2.1*2.3*2.6*3.2*4.2*2.4*2.5*2.8*3.2*1.25,0)</f>
        <v>31192270013399</v>
      </c>
      <c r="AG67" s="3">
        <f t="shared" ref="AG67:AG130" si="38">$E67+27</f>
        <v>150</v>
      </c>
      <c r="AH67" s="10">
        <f>ROUND($J67*1.637*1.75*2.1*2.3*2.6*3.2*4.2*2.4*2.5*2.8*3.2*3.8*1.25,0)</f>
        <v>118530626050916</v>
      </c>
    </row>
    <row r="68" spans="1:34" x14ac:dyDescent="0.3">
      <c r="A68" s="2">
        <v>95</v>
      </c>
      <c r="B68" s="2" t="s">
        <v>142</v>
      </c>
      <c r="C68" s="2" t="s">
        <v>24</v>
      </c>
      <c r="D68" s="2" t="s">
        <v>90</v>
      </c>
      <c r="E68" s="2">
        <v>123</v>
      </c>
      <c r="F68" s="2" t="s">
        <v>34</v>
      </c>
      <c r="G68" s="2" t="s">
        <v>35</v>
      </c>
      <c r="H68" s="2">
        <v>31</v>
      </c>
      <c r="I68" s="3">
        <v>123</v>
      </c>
      <c r="J68" s="4">
        <v>274000000</v>
      </c>
      <c r="K68" s="5">
        <f t="shared" si="27"/>
        <v>124</v>
      </c>
      <c r="L68" s="9">
        <f>ROUND($J68*1.637*1,0)</f>
        <v>448538000</v>
      </c>
      <c r="M68" s="3">
        <f t="shared" si="28"/>
        <v>125</v>
      </c>
      <c r="N68" s="10">
        <f>ROUND($J68*1.637*1.75*1,0)</f>
        <v>784941500</v>
      </c>
      <c r="O68" s="5">
        <f t="shared" si="29"/>
        <v>127</v>
      </c>
      <c r="P68" s="9">
        <f>ROUND($J68*1.637*1.75*2.1*1,0)</f>
        <v>1648377150</v>
      </c>
      <c r="Q68" s="3">
        <f t="shared" si="30"/>
        <v>129</v>
      </c>
      <c r="R68" s="10">
        <f>ROUND($J68*1.637*1.75*2.1*2.3*1,0)</f>
        <v>3791267445</v>
      </c>
      <c r="S68" s="5">
        <f t="shared" si="31"/>
        <v>131</v>
      </c>
      <c r="T68" s="9">
        <f>ROUND($J68*1.637*1.75*2.1*2.3*2.6*1,0)</f>
        <v>9857295357</v>
      </c>
      <c r="U68" s="3">
        <f t="shared" si="32"/>
        <v>134</v>
      </c>
      <c r="V68" s="10">
        <f>ROUND($J68*1.637*1.75*2.1*2.3*2.6*3.2*1,0)</f>
        <v>31543345142</v>
      </c>
      <c r="W68" s="5">
        <f t="shared" si="33"/>
        <v>138</v>
      </c>
      <c r="X68" s="9">
        <f>ROUND($J68*1.637*1.75*2.1*2.3*2.6*3.2*4.2*1,0)</f>
        <v>132482049598</v>
      </c>
      <c r="Y68" s="3">
        <f t="shared" si="34"/>
        <v>140</v>
      </c>
      <c r="Z68" s="10">
        <f>ROUND($J68*1.637*1.75*2.1*2.3*2.6*3.2*4.2*2.4*1,0)</f>
        <v>317956919035</v>
      </c>
      <c r="AA68" s="5">
        <f t="shared" si="35"/>
        <v>142</v>
      </c>
      <c r="AB68" s="9">
        <f>ROUND($J68*1.637*1.75*2.1*2.3*2.6*3.2*4.2*2.4*2.5*1,0)</f>
        <v>794892297588</v>
      </c>
      <c r="AC68" s="3">
        <f t="shared" si="36"/>
        <v>144</v>
      </c>
      <c r="AD68" s="10">
        <f>ROUND($J68*1.637*1.75*2.1*2.3*2.6*3.2*4.2*2.4*2.5*2.8*1,0)</f>
        <v>2225698433248</v>
      </c>
      <c r="AE68" s="5">
        <f t="shared" si="37"/>
        <v>147</v>
      </c>
      <c r="AF68" s="9">
        <f>ROUND($J68*1.637*1.75*2.1*2.3*2.6*3.2*4.2*2.4*2.5*2.8*3.2*1,0)</f>
        <v>7122234986393</v>
      </c>
      <c r="AG68" s="3">
        <f t="shared" si="38"/>
        <v>150</v>
      </c>
      <c r="AH68" s="10">
        <f>ROUND($J68*1.637*1.75*2.1*2.3*2.6*3.2*4.2*2.4*2.5*2.8*3.2*3.8*1,0)</f>
        <v>27064492948293</v>
      </c>
    </row>
    <row r="69" spans="1:34" x14ac:dyDescent="0.3">
      <c r="A69" s="2">
        <v>88</v>
      </c>
      <c r="B69" s="2" t="s">
        <v>143</v>
      </c>
      <c r="C69" s="2" t="s">
        <v>24</v>
      </c>
      <c r="D69" s="2" t="s">
        <v>25</v>
      </c>
      <c r="E69" s="2">
        <v>123</v>
      </c>
      <c r="F69" s="2" t="s">
        <v>144</v>
      </c>
      <c r="G69" s="2" t="s">
        <v>67</v>
      </c>
      <c r="H69" s="2">
        <v>32</v>
      </c>
      <c r="I69" s="3">
        <v>123</v>
      </c>
      <c r="J69" s="4">
        <v>2592000000</v>
      </c>
      <c r="K69" s="5">
        <f t="shared" si="27"/>
        <v>124</v>
      </c>
      <c r="L69" s="9">
        <f>ROUND($J69*1.637*1,0)</f>
        <v>4243104000</v>
      </c>
      <c r="M69" s="3">
        <f t="shared" si="28"/>
        <v>125</v>
      </c>
      <c r="N69" s="10">
        <f>ROUND($J69*1.637*1.75*1,0)</f>
        <v>7425432000</v>
      </c>
      <c r="O69" s="5">
        <f t="shared" si="29"/>
        <v>127</v>
      </c>
      <c r="P69" s="9">
        <f>ROUND($J69*1.637*1.75*2.1*1,0)</f>
        <v>15593407200</v>
      </c>
      <c r="Q69" s="3">
        <f t="shared" si="30"/>
        <v>129</v>
      </c>
      <c r="R69" s="10">
        <f>ROUND($J69*1.637*1.75*2.1*2.3*1.25,0)</f>
        <v>44831045700</v>
      </c>
      <c r="S69" s="5">
        <f t="shared" si="31"/>
        <v>131</v>
      </c>
      <c r="T69" s="9">
        <f>ROUND($J69*1.637*1.75*2.1*2.3*2.6*1.25,0)</f>
        <v>116560718820</v>
      </c>
      <c r="U69" s="3">
        <f t="shared" si="32"/>
        <v>134</v>
      </c>
      <c r="V69" s="10">
        <f>ROUND($J69*1.637*1.75*2.1*2.3*2.6*3.2*1.25,0)</f>
        <v>372994300224</v>
      </c>
      <c r="W69" s="5">
        <f t="shared" si="33"/>
        <v>138</v>
      </c>
      <c r="X69" s="9">
        <f>ROUND($J69*1.637*1.75*2.1*2.3*2.6*3.2*4.2*1.25,0)</f>
        <v>1566576060941</v>
      </c>
      <c r="Y69" s="3">
        <f t="shared" si="34"/>
        <v>140</v>
      </c>
      <c r="Z69" s="10">
        <f>ROUND($J69*1.637*1.75*2.1*2.3*2.6*3.2*4.2*2.4*1.25,0)</f>
        <v>3759782546258</v>
      </c>
      <c r="AA69" s="5">
        <f t="shared" si="35"/>
        <v>142</v>
      </c>
      <c r="AB69" s="9">
        <f>ROUND($J69*1.637*1.75*2.1*2.3*2.6*3.2*4.2*2.4*2.5*1.25,0)</f>
        <v>9399456365645</v>
      </c>
      <c r="AC69" s="3">
        <f t="shared" si="36"/>
        <v>144</v>
      </c>
      <c r="AD69" s="10">
        <f>ROUND($J69*1.637*1.75*2.1*2.3*2.6*3.2*4.2*2.4*2.5*2.8*1.25,0)</f>
        <v>26318477823805</v>
      </c>
      <c r="AE69" s="5">
        <f t="shared" si="37"/>
        <v>147</v>
      </c>
      <c r="AF69" s="9">
        <f>ROUND($J69*1.637*1.75*2.1*2.3*2.6*3.2*4.2*2.4*2.5*2.8*3.2*1.25,0)</f>
        <v>84219129036177</v>
      </c>
      <c r="AG69" s="3">
        <f t="shared" si="38"/>
        <v>150</v>
      </c>
      <c r="AH69" s="10">
        <f>ROUND($J69*1.637*1.75*2.1*2.3*2.6*3.2*4.2*2.4*2.5*2.8*3.2*3.8*1.25,0)</f>
        <v>320032690337474</v>
      </c>
    </row>
    <row r="70" spans="1:34" x14ac:dyDescent="0.3">
      <c r="A70" s="2">
        <v>103</v>
      </c>
      <c r="B70" s="2" t="s">
        <v>145</v>
      </c>
      <c r="C70" s="2" t="s">
        <v>24</v>
      </c>
      <c r="D70" s="2" t="s">
        <v>47</v>
      </c>
      <c r="E70" s="2">
        <v>123</v>
      </c>
      <c r="F70" s="2" t="s">
        <v>146</v>
      </c>
      <c r="G70" s="2" t="s">
        <v>57</v>
      </c>
      <c r="H70" s="2">
        <v>28</v>
      </c>
      <c r="I70" s="3">
        <v>123</v>
      </c>
      <c r="J70" s="4">
        <v>124000000</v>
      </c>
      <c r="K70" s="5">
        <f t="shared" si="27"/>
        <v>124</v>
      </c>
      <c r="L70" s="9">
        <f>ROUND($J70*1.637*0.8,0)</f>
        <v>162390400</v>
      </c>
      <c r="M70" s="3">
        <f t="shared" si="28"/>
        <v>125</v>
      </c>
      <c r="N70" s="10">
        <f>ROUND($J70*1.637*1.75*0.8,0)</f>
        <v>284183200</v>
      </c>
      <c r="O70" s="5">
        <f t="shared" si="29"/>
        <v>127</v>
      </c>
      <c r="P70" s="9">
        <f>ROUND($J70*1.637*1.75*2.1*0.8,0)</f>
        <v>596784720</v>
      </c>
      <c r="Q70" s="3">
        <f t="shared" si="30"/>
        <v>129</v>
      </c>
      <c r="R70" s="10">
        <f>ROUND($J70*1.637*1.75*2.1*2.3*0.542035092435954,0)</f>
        <v>930000000</v>
      </c>
      <c r="S70" s="5">
        <f t="shared" si="31"/>
        <v>131</v>
      </c>
      <c r="T70" s="9">
        <f>ROUND($J70*1.637*1.75*2.1*2.3*2.6*0.544690061623969,0)</f>
        <v>2429843727</v>
      </c>
      <c r="U70" s="3">
        <f t="shared" si="32"/>
        <v>134</v>
      </c>
      <c r="V70" s="10">
        <f>ROUND($J70*1.637*1.75*2.1*2.3*2.6*3.2*0.547345030811984,0)</f>
        <v>7813399851</v>
      </c>
      <c r="W70" s="5">
        <f t="shared" si="33"/>
        <v>138</v>
      </c>
      <c r="X70" s="9">
        <f>ROUND($J70*1.637*1.75*2.1*2.3*2.6*3.2*4.2*0.55,0)</f>
        <v>32975459061</v>
      </c>
      <c r="Y70" s="3">
        <f t="shared" si="34"/>
        <v>140</v>
      </c>
      <c r="Z70" s="10">
        <f>ROUND($J70*1.637*1.75*2.1*2.3*2.6*3.2*4.2*2.4*0.55,0)</f>
        <v>79141101745</v>
      </c>
      <c r="AA70" s="5">
        <f t="shared" si="35"/>
        <v>142</v>
      </c>
      <c r="AB70" s="9">
        <f>ROUND($J70*1.637*1.75*2.1*2.3*2.6*3.2*4.2*2.4*2.5*0.55,0)</f>
        <v>197852754363</v>
      </c>
      <c r="AC70" s="3">
        <f t="shared" si="36"/>
        <v>144</v>
      </c>
      <c r="AD70" s="10">
        <f>ROUND($J70*1.637*1.75*2.1*2.3*2.6*3.2*4.2*2.4*2.5*2.8*0.55,0)</f>
        <v>553987712217</v>
      </c>
      <c r="AE70" s="5">
        <f t="shared" si="37"/>
        <v>147</v>
      </c>
      <c r="AF70" s="9">
        <f>ROUND($J70*1.637*1.75*2.1*2.3*2.6*3.2*4.2*2.4*2.5*2.8*3.2*0.55,0)</f>
        <v>1772760679095</v>
      </c>
      <c r="AG70" s="3">
        <f t="shared" si="38"/>
        <v>150</v>
      </c>
      <c r="AH70" s="10">
        <f>ROUND($J70*1.637*1.75*2.1*2.3*2.6*3.2*4.2*2.4*2.5*2.8*3.2*3.8*0.55,0)</f>
        <v>6736490580560</v>
      </c>
    </row>
    <row r="71" spans="1:34" x14ac:dyDescent="0.3">
      <c r="A71" s="2">
        <v>102</v>
      </c>
      <c r="B71" s="2" t="s">
        <v>147</v>
      </c>
      <c r="C71" s="2" t="s">
        <v>24</v>
      </c>
      <c r="D71" s="2" t="s">
        <v>45</v>
      </c>
      <c r="E71" s="2">
        <v>123</v>
      </c>
      <c r="F71" s="2" t="s">
        <v>56</v>
      </c>
      <c r="G71" s="2" t="s">
        <v>57</v>
      </c>
      <c r="H71" s="2">
        <v>31</v>
      </c>
      <c r="I71" s="3">
        <v>123</v>
      </c>
      <c r="J71" s="4">
        <v>372000000</v>
      </c>
      <c r="K71" s="5">
        <f t="shared" si="27"/>
        <v>124</v>
      </c>
      <c r="L71" s="9">
        <f t="shared" ref="L71:L90" si="39">ROUND($J71*1.637*1,0)</f>
        <v>608964000</v>
      </c>
      <c r="M71" s="3">
        <f t="shared" si="28"/>
        <v>125</v>
      </c>
      <c r="N71" s="10">
        <f t="shared" ref="N71:N90" si="40">ROUND($J71*1.637*1.75*1,0)</f>
        <v>1065687000</v>
      </c>
      <c r="O71" s="5">
        <f t="shared" si="29"/>
        <v>127</v>
      </c>
      <c r="P71" s="9">
        <f t="shared" ref="P71:P90" si="41">ROUND($J71*1.637*1.75*2.1*1,0)</f>
        <v>2237942700</v>
      </c>
      <c r="Q71" s="3">
        <f t="shared" si="30"/>
        <v>129</v>
      </c>
      <c r="R71" s="10">
        <f>ROUND($J71*1.637*1.75*2.1*2.3*1,0)</f>
        <v>5147268210</v>
      </c>
      <c r="S71" s="5">
        <f t="shared" si="31"/>
        <v>131</v>
      </c>
      <c r="T71" s="9">
        <f>ROUND($J71*1.637*1.75*2.1*2.3*2.6*1,0)</f>
        <v>13382897346</v>
      </c>
      <c r="U71" s="3">
        <f t="shared" si="32"/>
        <v>134</v>
      </c>
      <c r="V71" s="10">
        <f>ROUND($J71*1.637*1.75*2.1*2.3*2.6*3.2*1,0)</f>
        <v>42825271507</v>
      </c>
      <c r="W71" s="5">
        <f t="shared" si="33"/>
        <v>138</v>
      </c>
      <c r="X71" s="9">
        <f>ROUND($J71*1.637*1.75*2.1*2.3*2.6*3.2*4.2*1,0)</f>
        <v>179866140330</v>
      </c>
      <c r="Y71" s="3">
        <f t="shared" si="34"/>
        <v>140</v>
      </c>
      <c r="Z71" s="10">
        <f>ROUND($J71*1.637*1.75*2.1*2.3*2.6*3.2*4.2*2.4*1,0)</f>
        <v>431678736793</v>
      </c>
      <c r="AA71" s="5">
        <f t="shared" si="35"/>
        <v>142</v>
      </c>
      <c r="AB71" s="9">
        <f>ROUND($J71*1.637*1.75*2.1*2.3*2.6*3.2*4.2*2.4*2.5*1,0)</f>
        <v>1079196841981</v>
      </c>
      <c r="AC71" s="3">
        <f t="shared" si="36"/>
        <v>144</v>
      </c>
      <c r="AD71" s="10">
        <f>ROUND($J71*1.637*1.75*2.1*2.3*2.6*3.2*4.2*2.4*2.5*2.8*1,0)</f>
        <v>3021751157548</v>
      </c>
      <c r="AE71" s="5">
        <f t="shared" si="37"/>
        <v>147</v>
      </c>
      <c r="AF71" s="9">
        <f>ROUND($J71*1.637*1.75*2.1*2.3*2.6*3.2*4.2*2.4*2.5*2.8*3.2*1,0)</f>
        <v>9669603704154</v>
      </c>
      <c r="AG71" s="3">
        <f t="shared" si="38"/>
        <v>150</v>
      </c>
      <c r="AH71" s="10">
        <f>ROUND($J71*1.637*1.75*2.1*2.3*2.6*3.2*4.2*2.4*2.5*2.8*3.2*3.8*1,0)</f>
        <v>36744494075784</v>
      </c>
    </row>
    <row r="72" spans="1:34" x14ac:dyDescent="0.3">
      <c r="A72" s="2">
        <v>39</v>
      </c>
      <c r="B72" s="2" t="s">
        <v>148</v>
      </c>
      <c r="C72" s="2" t="s">
        <v>24</v>
      </c>
      <c r="D72" s="2" t="s">
        <v>102</v>
      </c>
      <c r="E72" s="2">
        <v>123</v>
      </c>
      <c r="F72" s="2" t="s">
        <v>54</v>
      </c>
      <c r="G72" s="2" t="s">
        <v>95</v>
      </c>
      <c r="H72" s="2">
        <v>32</v>
      </c>
      <c r="I72" s="3">
        <v>123</v>
      </c>
      <c r="J72" s="4">
        <v>2330000000</v>
      </c>
      <c r="K72" s="5">
        <f t="shared" si="27"/>
        <v>124</v>
      </c>
      <c r="L72" s="9">
        <f t="shared" si="39"/>
        <v>3814210000</v>
      </c>
      <c r="M72" s="3">
        <f t="shared" si="28"/>
        <v>125</v>
      </c>
      <c r="N72" s="10">
        <f t="shared" si="40"/>
        <v>6674867500</v>
      </c>
      <c r="O72" s="5">
        <f t="shared" si="29"/>
        <v>127</v>
      </c>
      <c r="P72" s="9">
        <f t="shared" si="41"/>
        <v>14017221750</v>
      </c>
      <c r="Q72" s="3">
        <f t="shared" si="30"/>
        <v>129</v>
      </c>
      <c r="R72" s="10">
        <f>ROUND($J72*1.637*1.75*2.1*2.3*1.25,0)</f>
        <v>40299512531</v>
      </c>
      <c r="S72" s="5">
        <f t="shared" si="31"/>
        <v>131</v>
      </c>
      <c r="T72" s="9">
        <f>ROUND($J72*1.637*1.75*2.1*2.3*2.6*1.25,0)</f>
        <v>104778732581</v>
      </c>
      <c r="U72" s="3">
        <f t="shared" si="32"/>
        <v>134</v>
      </c>
      <c r="V72" s="10">
        <f>ROUND($J72*1.637*1.75*2.1*2.3*2.6*3.2*1.25,0)</f>
        <v>335291944260</v>
      </c>
      <c r="W72" s="5">
        <f t="shared" si="33"/>
        <v>138</v>
      </c>
      <c r="X72" s="9">
        <f>ROUND($J72*1.637*1.75*2.1*2.3*2.6*3.2*4.2*1.25,0)</f>
        <v>1408226165892</v>
      </c>
      <c r="Y72" s="3">
        <f t="shared" si="34"/>
        <v>140</v>
      </c>
      <c r="Z72" s="10">
        <f>ROUND($J72*1.637*1.75*2.1*2.3*2.6*3.2*4.2*2.4*1.25,0)</f>
        <v>3379742798141</v>
      </c>
      <c r="AA72" s="5">
        <f t="shared" si="35"/>
        <v>142</v>
      </c>
      <c r="AB72" s="9">
        <f>ROUND($J72*1.637*1.75*2.1*2.3*2.6*3.2*4.2*2.4*2.5*1.25,0)</f>
        <v>8449356995352</v>
      </c>
      <c r="AC72" s="3">
        <f t="shared" si="36"/>
        <v>144</v>
      </c>
      <c r="AD72" s="10">
        <f>ROUND($J72*1.637*1.75*2.1*2.3*2.6*3.2*4.2*2.4*2.5*2.8*1.25,0)</f>
        <v>23658199586986</v>
      </c>
      <c r="AE72" s="5">
        <f t="shared" si="37"/>
        <v>147</v>
      </c>
      <c r="AF72" s="9">
        <f>ROUND($J72*1.637*1.75*2.1*2.3*2.6*3.2*4.2*2.4*2.5*2.8*3.2*1.25,0)</f>
        <v>75706238678354</v>
      </c>
      <c r="AG72" s="3">
        <f t="shared" si="38"/>
        <v>150</v>
      </c>
      <c r="AH72" s="10">
        <f>ROUND($J72*1.637*1.75*2.1*2.3*2.6*3.2*4.2*2.4*2.5*2.8*3.2*3.8*1.25,0)</f>
        <v>287683706977745</v>
      </c>
    </row>
    <row r="73" spans="1:34" x14ac:dyDescent="0.3">
      <c r="A73" s="2">
        <v>43</v>
      </c>
      <c r="B73" s="2" t="s">
        <v>149</v>
      </c>
      <c r="C73" s="2" t="s">
        <v>24</v>
      </c>
      <c r="D73" s="2" t="s">
        <v>33</v>
      </c>
      <c r="E73" s="2">
        <v>123</v>
      </c>
      <c r="F73" s="2" t="s">
        <v>56</v>
      </c>
      <c r="G73" s="2" t="s">
        <v>57</v>
      </c>
      <c r="H73" s="2">
        <v>32</v>
      </c>
      <c r="I73" s="3">
        <v>123</v>
      </c>
      <c r="J73" s="4">
        <v>950000000</v>
      </c>
      <c r="K73" s="5">
        <f t="shared" si="27"/>
        <v>124</v>
      </c>
      <c r="L73" s="9">
        <f t="shared" si="39"/>
        <v>1555150000</v>
      </c>
      <c r="M73" s="3">
        <f t="shared" si="28"/>
        <v>125</v>
      </c>
      <c r="N73" s="10">
        <f t="shared" si="40"/>
        <v>2721512500</v>
      </c>
      <c r="O73" s="5">
        <f t="shared" si="29"/>
        <v>127</v>
      </c>
      <c r="P73" s="9">
        <f t="shared" si="41"/>
        <v>5715176250</v>
      </c>
      <c r="Q73" s="3">
        <f t="shared" si="30"/>
        <v>129</v>
      </c>
      <c r="R73" s="10">
        <f>ROUND($J73*1.637*1.75*2.1*2.3*1,0)</f>
        <v>13144905375</v>
      </c>
      <c r="S73" s="5">
        <f t="shared" si="31"/>
        <v>131</v>
      </c>
      <c r="T73" s="9">
        <f>ROUND($J73*1.637*1.75*2.1*2.3*2.6*1,0)</f>
        <v>34176753975</v>
      </c>
      <c r="U73" s="3">
        <f t="shared" si="32"/>
        <v>134</v>
      </c>
      <c r="V73" s="10">
        <f>ROUND($J73*1.637*1.75*2.1*2.3*2.6*3.2*1,0)</f>
        <v>109365612720</v>
      </c>
      <c r="W73" s="5">
        <f t="shared" si="33"/>
        <v>138</v>
      </c>
      <c r="X73" s="9">
        <f>ROUND($J73*1.637*1.75*2.1*2.3*2.6*3.2*4.2*1,0)</f>
        <v>459335573424</v>
      </c>
      <c r="Y73" s="3">
        <f t="shared" si="34"/>
        <v>140</v>
      </c>
      <c r="Z73" s="10">
        <f>ROUND($J73*1.637*1.75*2.1*2.3*2.6*3.2*4.2*2.4*1,0)</f>
        <v>1102405376218</v>
      </c>
      <c r="AA73" s="5">
        <f t="shared" si="35"/>
        <v>142</v>
      </c>
      <c r="AB73" s="9">
        <f>ROUND($J73*1.637*1.75*2.1*2.3*2.6*3.2*4.2*2.4*2.5*1,0)</f>
        <v>2756013440544</v>
      </c>
      <c r="AC73" s="3">
        <f t="shared" si="36"/>
        <v>144</v>
      </c>
      <c r="AD73" s="10">
        <f>ROUND($J73*1.637*1.75*2.1*2.3*2.6*3.2*4.2*2.4*2.5*2.8*1,0)</f>
        <v>7716837633523</v>
      </c>
      <c r="AE73" s="5">
        <f t="shared" si="37"/>
        <v>147</v>
      </c>
      <c r="AF73" s="9">
        <f>ROUND($J73*1.637*1.75*2.1*2.3*2.6*3.2*4.2*2.4*2.5*2.8*3.2*1,0)</f>
        <v>24693880427274</v>
      </c>
      <c r="AG73" s="3">
        <f t="shared" si="38"/>
        <v>150</v>
      </c>
      <c r="AH73" s="10">
        <f>ROUND($J73*1.637*1.75*2.1*2.3*2.6*3.2*4.2*2.4*2.5*2.8*3.2*3.8*1,0)</f>
        <v>93836745623642</v>
      </c>
    </row>
    <row r="74" spans="1:34" x14ac:dyDescent="0.3">
      <c r="A74" s="2">
        <v>93</v>
      </c>
      <c r="B74" s="2" t="s">
        <v>150</v>
      </c>
      <c r="C74" s="2" t="s">
        <v>24</v>
      </c>
      <c r="D74" s="2" t="s">
        <v>33</v>
      </c>
      <c r="E74" s="2">
        <v>123</v>
      </c>
      <c r="F74" s="2" t="s">
        <v>42</v>
      </c>
      <c r="G74" s="2" t="s">
        <v>72</v>
      </c>
      <c r="H74" s="2">
        <v>31</v>
      </c>
      <c r="I74" s="3">
        <v>123</v>
      </c>
      <c r="J74" s="4">
        <v>209000000</v>
      </c>
      <c r="K74" s="5">
        <f t="shared" si="27"/>
        <v>124</v>
      </c>
      <c r="L74" s="9">
        <f t="shared" si="39"/>
        <v>342133000</v>
      </c>
      <c r="M74" s="3">
        <f t="shared" si="28"/>
        <v>125</v>
      </c>
      <c r="N74" s="10">
        <f t="shared" si="40"/>
        <v>598732750</v>
      </c>
      <c r="O74" s="5">
        <f t="shared" si="29"/>
        <v>127</v>
      </c>
      <c r="P74" s="9">
        <f t="shared" si="41"/>
        <v>1257338775</v>
      </c>
      <c r="Q74" s="3">
        <f t="shared" si="30"/>
        <v>129</v>
      </c>
      <c r="R74" s="10">
        <f>ROUND($J74*1.637*1.75*2.1*2.3*1,0)</f>
        <v>2891879183</v>
      </c>
      <c r="S74" s="5">
        <f t="shared" si="31"/>
        <v>131</v>
      </c>
      <c r="T74" s="9">
        <f>ROUND($J74*1.637*1.75*2.1*2.3*2.6*1,0)</f>
        <v>7518885875</v>
      </c>
      <c r="U74" s="3">
        <f t="shared" si="32"/>
        <v>134</v>
      </c>
      <c r="V74" s="10">
        <f>ROUND($J74*1.637*1.75*2.1*2.3*2.6*3.2*1,0)</f>
        <v>24060434798</v>
      </c>
      <c r="W74" s="5">
        <f t="shared" si="33"/>
        <v>138</v>
      </c>
      <c r="X74" s="9">
        <f>ROUND($J74*1.637*1.75*2.1*2.3*2.6*3.2*4.2*1,0)</f>
        <v>101053826153</v>
      </c>
      <c r="Y74" s="3">
        <f t="shared" si="34"/>
        <v>140</v>
      </c>
      <c r="Z74" s="10">
        <f>ROUND($J74*1.637*1.75*2.1*2.3*2.6*3.2*4.2*2.4*1,0)</f>
        <v>242529182768</v>
      </c>
      <c r="AA74" s="5">
        <f t="shared" si="35"/>
        <v>142</v>
      </c>
      <c r="AB74" s="9">
        <f>ROUND($J74*1.637*1.75*2.1*2.3*2.6*3.2*4.2*2.4*2.5*1,0)</f>
        <v>606322956920</v>
      </c>
      <c r="AC74" s="3">
        <f t="shared" si="36"/>
        <v>144</v>
      </c>
      <c r="AD74" s="10">
        <f>ROUND($J74*1.637*1.75*2.1*2.3*2.6*3.2*4.2*2.4*2.5*2.8*1,0)</f>
        <v>1697704279375</v>
      </c>
      <c r="AE74" s="5">
        <f t="shared" si="37"/>
        <v>147</v>
      </c>
      <c r="AF74" s="9">
        <f>ROUND($J74*1.637*1.75*2.1*2.3*2.6*3.2*4.2*2.4*2.5*2.8*3.2*1,0)</f>
        <v>5432653694000</v>
      </c>
      <c r="AG74" s="3">
        <f t="shared" si="38"/>
        <v>150</v>
      </c>
      <c r="AH74" s="10">
        <f>ROUND($J74*1.637*1.75*2.1*2.3*2.6*3.2*4.2*2.4*2.5*2.8*3.2*3.8*1,0)</f>
        <v>20644084037201</v>
      </c>
    </row>
    <row r="75" spans="1:34" x14ac:dyDescent="0.3">
      <c r="A75" s="2">
        <v>87</v>
      </c>
      <c r="B75" s="2" t="s">
        <v>151</v>
      </c>
      <c r="C75" s="2" t="s">
        <v>24</v>
      </c>
      <c r="D75" s="2" t="s">
        <v>40</v>
      </c>
      <c r="E75" s="2">
        <v>123</v>
      </c>
      <c r="F75" s="2" t="s">
        <v>42</v>
      </c>
      <c r="G75" s="2" t="s">
        <v>95</v>
      </c>
      <c r="H75" s="2">
        <v>32</v>
      </c>
      <c r="I75" s="3">
        <v>123</v>
      </c>
      <c r="J75" s="4">
        <v>850000000</v>
      </c>
      <c r="K75" s="5">
        <f t="shared" si="27"/>
        <v>124</v>
      </c>
      <c r="L75" s="9">
        <f t="shared" si="39"/>
        <v>1391450000</v>
      </c>
      <c r="M75" s="3">
        <f t="shared" si="28"/>
        <v>125</v>
      </c>
      <c r="N75" s="10">
        <f t="shared" si="40"/>
        <v>2435037500</v>
      </c>
      <c r="O75" s="5">
        <f t="shared" si="29"/>
        <v>127</v>
      </c>
      <c r="P75" s="9">
        <f t="shared" si="41"/>
        <v>5113578750</v>
      </c>
      <c r="Q75" s="3">
        <f t="shared" si="30"/>
        <v>129</v>
      </c>
      <c r="R75" s="10">
        <f>ROUND($J75*1.637*1.75*2.1*2.3*1,0)</f>
        <v>11761231125</v>
      </c>
      <c r="S75" s="5">
        <f t="shared" si="31"/>
        <v>131</v>
      </c>
      <c r="T75" s="9">
        <f>ROUND($J75*1.637*1.75*2.1*2.3*2.6*1,0)</f>
        <v>30579200925</v>
      </c>
      <c r="U75" s="3">
        <f t="shared" si="32"/>
        <v>134</v>
      </c>
      <c r="V75" s="10">
        <f>ROUND($J75*1.637*1.75*2.1*2.3*2.6*3.2*1,0)</f>
        <v>97853442960</v>
      </c>
      <c r="W75" s="5">
        <f t="shared" si="33"/>
        <v>138</v>
      </c>
      <c r="X75" s="9">
        <f>ROUND($J75*1.637*1.75*2.1*2.3*2.6*3.2*4.2*1,0)</f>
        <v>410984460432</v>
      </c>
      <c r="Y75" s="3">
        <f t="shared" si="34"/>
        <v>140</v>
      </c>
      <c r="Z75" s="10">
        <f>ROUND($J75*1.637*1.75*2.1*2.3*2.6*3.2*4.2*2.4*1,0)</f>
        <v>986362705037</v>
      </c>
      <c r="AA75" s="5">
        <f t="shared" si="35"/>
        <v>142</v>
      </c>
      <c r="AB75" s="9">
        <f>ROUND($J75*1.637*1.75*2.1*2.3*2.6*3.2*4.2*2.4*2.5*1,0)</f>
        <v>2465906762592</v>
      </c>
      <c r="AC75" s="3">
        <f t="shared" si="36"/>
        <v>144</v>
      </c>
      <c r="AD75" s="10">
        <f>ROUND($J75*1.637*1.75*2.1*2.3*2.6*3.2*4.2*2.4*2.5*2.8*1,0)</f>
        <v>6904538935258</v>
      </c>
      <c r="AE75" s="5">
        <f t="shared" si="37"/>
        <v>147</v>
      </c>
      <c r="AF75" s="9">
        <f>ROUND($J75*1.637*1.75*2.1*2.3*2.6*3.2*4.2*2.4*2.5*2.8*3.2*1,0)</f>
        <v>22094524592824</v>
      </c>
      <c r="AG75" s="3">
        <f t="shared" si="38"/>
        <v>150</v>
      </c>
      <c r="AH75" s="10">
        <f>ROUND($J75*1.637*1.75*2.1*2.3*2.6*3.2*4.2*2.4*2.5*2.8*3.2*3.8*1,0)</f>
        <v>83959193452732</v>
      </c>
    </row>
    <row r="76" spans="1:34" x14ac:dyDescent="0.3">
      <c r="A76" s="2">
        <v>96</v>
      </c>
      <c r="B76" s="2" t="s">
        <v>152</v>
      </c>
      <c r="C76" s="2" t="s">
        <v>24</v>
      </c>
      <c r="D76" s="2" t="s">
        <v>29</v>
      </c>
      <c r="E76" s="2">
        <v>123</v>
      </c>
      <c r="F76" s="2" t="s">
        <v>71</v>
      </c>
      <c r="G76" s="2" t="s">
        <v>38</v>
      </c>
      <c r="H76" s="2">
        <v>31</v>
      </c>
      <c r="I76" s="3">
        <v>123</v>
      </c>
      <c r="J76" s="4">
        <v>268000000</v>
      </c>
      <c r="K76" s="5">
        <f t="shared" si="27"/>
        <v>124</v>
      </c>
      <c r="L76" s="9">
        <f t="shared" si="39"/>
        <v>438716000</v>
      </c>
      <c r="M76" s="3">
        <f t="shared" si="28"/>
        <v>125</v>
      </c>
      <c r="N76" s="10">
        <f t="shared" si="40"/>
        <v>767753000</v>
      </c>
      <c r="O76" s="5">
        <f t="shared" si="29"/>
        <v>127</v>
      </c>
      <c r="P76" s="9">
        <f t="shared" si="41"/>
        <v>1612281300</v>
      </c>
      <c r="Q76" s="3">
        <f t="shared" si="30"/>
        <v>129</v>
      </c>
      <c r="R76" s="10">
        <f>ROUND($J76*1.637*1.75*2.1*2.3*1,0)</f>
        <v>3708246990</v>
      </c>
      <c r="S76" s="5">
        <f t="shared" si="31"/>
        <v>131</v>
      </c>
      <c r="T76" s="9">
        <f>ROUND($J76*1.637*1.75*2.1*2.3*2.6*1,0)</f>
        <v>9641442174</v>
      </c>
      <c r="U76" s="3">
        <f t="shared" si="32"/>
        <v>134</v>
      </c>
      <c r="V76" s="10">
        <f>ROUND($J76*1.637*1.75*2.1*2.3*2.6*3.2*1,0)</f>
        <v>30852614957</v>
      </c>
      <c r="W76" s="5">
        <f t="shared" si="33"/>
        <v>138</v>
      </c>
      <c r="X76" s="9">
        <f>ROUND($J76*1.637*1.75*2.1*2.3*2.6*3.2*4.2*1,0)</f>
        <v>129580982819</v>
      </c>
      <c r="Y76" s="3">
        <f t="shared" si="34"/>
        <v>140</v>
      </c>
      <c r="Z76" s="10">
        <f>ROUND($J76*1.637*1.75*2.1*2.3*2.6*3.2*4.2*2.4*1,0)</f>
        <v>310994358765</v>
      </c>
      <c r="AA76" s="5">
        <f t="shared" si="35"/>
        <v>142</v>
      </c>
      <c r="AB76" s="9">
        <f>ROUND($J76*1.637*1.75*2.1*2.3*2.6*3.2*4.2*2.4*2.5*1,0)</f>
        <v>777485896911</v>
      </c>
      <c r="AC76" s="3">
        <f t="shared" si="36"/>
        <v>144</v>
      </c>
      <c r="AD76" s="10">
        <f>ROUND($J76*1.637*1.75*2.1*2.3*2.6*3.2*4.2*2.4*2.5*2.8*1,0)</f>
        <v>2176960511352</v>
      </c>
      <c r="AE76" s="5">
        <f t="shared" si="37"/>
        <v>147</v>
      </c>
      <c r="AF76" s="9">
        <f>ROUND($J76*1.637*1.75*2.1*2.3*2.6*3.2*4.2*2.4*2.5*2.8*3.2*1,0)</f>
        <v>6966273636326</v>
      </c>
      <c r="AG76" s="3">
        <f t="shared" si="38"/>
        <v>150</v>
      </c>
      <c r="AH76" s="10">
        <f>ROUND($J76*1.637*1.75*2.1*2.3*2.6*3.2*4.2*2.4*2.5*2.8*3.2*3.8*1,0)</f>
        <v>26471839818038</v>
      </c>
    </row>
    <row r="77" spans="1:34" x14ac:dyDescent="0.3">
      <c r="A77" s="2">
        <v>41</v>
      </c>
      <c r="B77" s="2" t="s">
        <v>153</v>
      </c>
      <c r="C77" s="2" t="s">
        <v>24</v>
      </c>
      <c r="D77" s="2" t="s">
        <v>25</v>
      </c>
      <c r="E77" s="2">
        <v>123</v>
      </c>
      <c r="F77" s="2" t="s">
        <v>56</v>
      </c>
      <c r="G77" s="2" t="s">
        <v>133</v>
      </c>
      <c r="H77" s="2">
        <v>32</v>
      </c>
      <c r="I77" s="3">
        <v>123</v>
      </c>
      <c r="J77" s="4">
        <v>936000000</v>
      </c>
      <c r="K77" s="5">
        <f t="shared" si="27"/>
        <v>124</v>
      </c>
      <c r="L77" s="9">
        <f t="shared" si="39"/>
        <v>1532232000</v>
      </c>
      <c r="M77" s="3">
        <f t="shared" si="28"/>
        <v>125</v>
      </c>
      <c r="N77" s="10">
        <f t="shared" si="40"/>
        <v>2681406000</v>
      </c>
      <c r="O77" s="5">
        <f t="shared" si="29"/>
        <v>127</v>
      </c>
      <c r="P77" s="9">
        <f t="shared" si="41"/>
        <v>5630952600</v>
      </c>
      <c r="Q77" s="3">
        <f t="shared" si="30"/>
        <v>129</v>
      </c>
      <c r="R77" s="10">
        <f>ROUND($J77*1.637*1.75*2.1*2.3*1,0)</f>
        <v>12951190980</v>
      </c>
      <c r="S77" s="5">
        <f t="shared" si="31"/>
        <v>131</v>
      </c>
      <c r="T77" s="9">
        <f>ROUND($J77*1.637*1.75*2.1*2.3*2.6*1,0)</f>
        <v>33673096548</v>
      </c>
      <c r="U77" s="3">
        <f t="shared" si="32"/>
        <v>134</v>
      </c>
      <c r="V77" s="10">
        <f>ROUND($J77*1.637*1.75*2.1*2.3*2.6*3.2*1,0)</f>
        <v>107753908954</v>
      </c>
      <c r="W77" s="5">
        <f t="shared" si="33"/>
        <v>138</v>
      </c>
      <c r="X77" s="9">
        <f>ROUND($J77*1.637*1.75*2.1*2.3*2.6*3.2*4.2*1,0)</f>
        <v>452566417605</v>
      </c>
      <c r="Y77" s="3">
        <f t="shared" si="34"/>
        <v>140</v>
      </c>
      <c r="Z77" s="10">
        <f>ROUND($J77*1.637*1.75*2.1*2.3*2.6*3.2*4.2*2.4*1,0)</f>
        <v>1086159402252</v>
      </c>
      <c r="AA77" s="5">
        <f t="shared" si="35"/>
        <v>142</v>
      </c>
      <c r="AB77" s="9">
        <f>ROUND($J77*1.637*1.75*2.1*2.3*2.6*3.2*4.2*2.4*2.5*1,0)</f>
        <v>2715398505631</v>
      </c>
      <c r="AC77" s="3">
        <f t="shared" si="36"/>
        <v>144</v>
      </c>
      <c r="AD77" s="10">
        <f>ROUND($J77*1.637*1.75*2.1*2.3*2.6*3.2*4.2*2.4*2.5*2.8*1,0)</f>
        <v>7603115815766</v>
      </c>
      <c r="AE77" s="5">
        <f t="shared" si="37"/>
        <v>147</v>
      </c>
      <c r="AF77" s="9">
        <f>ROUND($J77*1.637*1.75*2.1*2.3*2.6*3.2*4.2*2.4*2.5*2.8*3.2*1,0)</f>
        <v>24329970610451</v>
      </c>
      <c r="AG77" s="3">
        <f t="shared" si="38"/>
        <v>150</v>
      </c>
      <c r="AH77" s="10">
        <f>ROUND($J77*1.637*1.75*2.1*2.3*2.6*3.2*4.2*2.4*2.5*2.8*3.2*3.8*1,0)</f>
        <v>92453888319715</v>
      </c>
    </row>
    <row r="78" spans="1:34" x14ac:dyDescent="0.3">
      <c r="A78" s="2">
        <v>84</v>
      </c>
      <c r="B78" s="2" t="s">
        <v>154</v>
      </c>
      <c r="C78" s="2" t="s">
        <v>24</v>
      </c>
      <c r="D78" s="2" t="s">
        <v>45</v>
      </c>
      <c r="E78" s="2">
        <v>123</v>
      </c>
      <c r="F78" s="2" t="s">
        <v>34</v>
      </c>
      <c r="G78" s="2" t="s">
        <v>38</v>
      </c>
      <c r="H78" s="2">
        <v>32</v>
      </c>
      <c r="I78" s="3">
        <v>123</v>
      </c>
      <c r="J78" s="4">
        <v>9240000000</v>
      </c>
      <c r="K78" s="5">
        <f t="shared" si="27"/>
        <v>124</v>
      </c>
      <c r="L78" s="9">
        <f t="shared" si="39"/>
        <v>15125880000</v>
      </c>
      <c r="M78" s="3">
        <f t="shared" si="28"/>
        <v>125</v>
      </c>
      <c r="N78" s="10">
        <f t="shared" si="40"/>
        <v>26470290000</v>
      </c>
      <c r="O78" s="5">
        <f t="shared" si="29"/>
        <v>127</v>
      </c>
      <c r="P78" s="9">
        <f t="shared" si="41"/>
        <v>55587609000</v>
      </c>
      <c r="Q78" s="3">
        <f t="shared" si="30"/>
        <v>129</v>
      </c>
      <c r="R78" s="10">
        <f>ROUND($J78*1.637*1.75*2.1*2.3*1.25,0)</f>
        <v>159814375875</v>
      </c>
      <c r="S78" s="5">
        <f t="shared" si="31"/>
        <v>131</v>
      </c>
      <c r="T78" s="9">
        <f>ROUND($J78*1.637*1.75*2.1*2.3*2.6*1.25,0)</f>
        <v>415517377275</v>
      </c>
      <c r="U78" s="3">
        <f t="shared" si="32"/>
        <v>134</v>
      </c>
      <c r="V78" s="10">
        <f>ROUND($J78*1.637*1.75*2.1*2.3*2.6*3.2*1.25,0)</f>
        <v>1329655607280</v>
      </c>
      <c r="W78" s="5">
        <f t="shared" si="33"/>
        <v>138</v>
      </c>
      <c r="X78" s="9">
        <f>ROUND($J78*1.637*1.75*2.1*2.3*2.6*3.2*4.2*1.25,0)</f>
        <v>5584553550576</v>
      </c>
      <c r="Y78" s="3">
        <f t="shared" si="34"/>
        <v>140</v>
      </c>
      <c r="Z78" s="10">
        <f>ROUND($J78*1.637*1.75*2.1*2.3*2.6*3.2*4.2*2.4*1.25,0)</f>
        <v>13402928521382</v>
      </c>
      <c r="AA78" s="5">
        <f t="shared" si="35"/>
        <v>142</v>
      </c>
      <c r="AB78" s="9">
        <f>ROUND($J78*1.637*1.75*2.1*2.3*2.6*3.2*4.2*2.4*2.5*1.25,0)</f>
        <v>33507321303456</v>
      </c>
      <c r="AC78" s="3">
        <f t="shared" si="36"/>
        <v>144</v>
      </c>
      <c r="AD78" s="10">
        <f>ROUND($J78*1.637*1.75*2.1*2.3*2.6*3.2*4.2*2.4*2.5*2.8*1.25,0)</f>
        <v>93820499649677</v>
      </c>
      <c r="AE78" s="5">
        <f t="shared" si="37"/>
        <v>147</v>
      </c>
      <c r="AF78" s="9">
        <f>ROUND($J78*1.637*1.75*2.1*2.3*2.6*3.2*4.2*2.4*2.5*2.8*3.2*1.25,0)</f>
        <v>300225598878966</v>
      </c>
      <c r="AG78" s="3">
        <f t="shared" si="38"/>
        <v>150</v>
      </c>
      <c r="AH78" s="10">
        <f>ROUND($J78*1.637*1.75*2.1*2.3*2.6*3.2*4.2*2.4*2.5*2.8*3.2*3.8*1.25,0)</f>
        <v>1140857275740070</v>
      </c>
    </row>
    <row r="79" spans="1:34" x14ac:dyDescent="0.3">
      <c r="A79" s="2">
        <v>97</v>
      </c>
      <c r="B79" s="2" t="s">
        <v>155</v>
      </c>
      <c r="C79" s="2" t="s">
        <v>24</v>
      </c>
      <c r="D79" s="2" t="s">
        <v>45</v>
      </c>
      <c r="E79" s="2">
        <v>123</v>
      </c>
      <c r="F79" s="2" t="s">
        <v>71</v>
      </c>
      <c r="G79" s="2" t="s">
        <v>133</v>
      </c>
      <c r="H79" s="2">
        <v>31</v>
      </c>
      <c r="I79" s="3">
        <v>123</v>
      </c>
      <c r="J79" s="4">
        <v>6580000000</v>
      </c>
      <c r="K79" s="5">
        <f t="shared" si="27"/>
        <v>124</v>
      </c>
      <c r="L79" s="9">
        <f t="shared" si="39"/>
        <v>10771460000</v>
      </c>
      <c r="M79" s="3">
        <f t="shared" si="28"/>
        <v>125</v>
      </c>
      <c r="N79" s="10">
        <f t="shared" si="40"/>
        <v>18850055000</v>
      </c>
      <c r="O79" s="5">
        <f t="shared" si="29"/>
        <v>127</v>
      </c>
      <c r="P79" s="9">
        <f t="shared" si="41"/>
        <v>39585115500</v>
      </c>
      <c r="Q79" s="3">
        <f t="shared" si="30"/>
        <v>129</v>
      </c>
      <c r="R79" s="10">
        <f>ROUND($J79*1.637*1.75*2.1*2.3*1.25,0)</f>
        <v>113807207063</v>
      </c>
      <c r="S79" s="5">
        <f t="shared" si="31"/>
        <v>131</v>
      </c>
      <c r="T79" s="9">
        <f>ROUND($J79*1.637*1.75*2.1*2.3*2.6*1.25,0)</f>
        <v>295898738363</v>
      </c>
      <c r="U79" s="3">
        <f t="shared" si="32"/>
        <v>134</v>
      </c>
      <c r="V79" s="10">
        <f>ROUND($J79*1.637*1.75*2.1*2.3*2.6*3.2*1.25,0)</f>
        <v>946875962760</v>
      </c>
      <c r="W79" s="5">
        <f t="shared" si="33"/>
        <v>138</v>
      </c>
      <c r="X79" s="9">
        <f>ROUND($J79*1.637*1.75*2.1*2.3*2.6*3.2*4.2*1.25,0)</f>
        <v>3976879043592</v>
      </c>
      <c r="Y79" s="3">
        <f t="shared" si="34"/>
        <v>140</v>
      </c>
      <c r="Z79" s="10">
        <f>ROUND($J79*1.637*1.75*2.1*2.3*2.6*3.2*4.2*2.4*1.25,0)</f>
        <v>9544509704621</v>
      </c>
      <c r="AA79" s="5">
        <f t="shared" si="35"/>
        <v>142</v>
      </c>
      <c r="AB79" s="9">
        <f>ROUND($J79*1.637*1.75*2.1*2.3*2.6*3.2*4.2*2.4*2.5*1.25,0)</f>
        <v>23861274261552</v>
      </c>
      <c r="AC79" s="3">
        <f t="shared" si="36"/>
        <v>144</v>
      </c>
      <c r="AD79" s="10">
        <f>ROUND($J79*1.637*1.75*2.1*2.3*2.6*3.2*4.2*2.4*2.5*2.8*1.25,0)</f>
        <v>66811567932346</v>
      </c>
      <c r="AE79" s="5">
        <f t="shared" si="37"/>
        <v>147</v>
      </c>
      <c r="AF79" s="9">
        <f>ROUND($J79*1.637*1.75*2.1*2.3*2.6*3.2*4.2*2.4*2.5*2.8*3.2*1.25,0)</f>
        <v>213797017383506</v>
      </c>
      <c r="AG79" s="3">
        <f t="shared" si="38"/>
        <v>150</v>
      </c>
      <c r="AH79" s="10">
        <f>ROUND($J79*1.637*1.75*2.1*2.3*2.6*3.2*4.2*2.4*2.5*2.8*3.2*3.8*1.25,0)</f>
        <v>812428666057322</v>
      </c>
    </row>
    <row r="80" spans="1:34" x14ac:dyDescent="0.3">
      <c r="A80" s="2">
        <v>119</v>
      </c>
      <c r="B80" s="2" t="s">
        <v>156</v>
      </c>
      <c r="C80" s="2" t="s">
        <v>24</v>
      </c>
      <c r="D80" s="2" t="s">
        <v>45</v>
      </c>
      <c r="E80" s="2">
        <v>122</v>
      </c>
      <c r="F80" s="2" t="s">
        <v>34</v>
      </c>
      <c r="G80" s="2" t="s">
        <v>35</v>
      </c>
      <c r="H80" s="2">
        <v>30</v>
      </c>
      <c r="I80" s="3">
        <v>122</v>
      </c>
      <c r="J80" s="4">
        <v>531000000</v>
      </c>
      <c r="K80" s="5">
        <f t="shared" si="27"/>
        <v>123</v>
      </c>
      <c r="L80" s="9">
        <f t="shared" si="39"/>
        <v>869247000</v>
      </c>
      <c r="M80" s="3">
        <f t="shared" si="28"/>
        <v>124</v>
      </c>
      <c r="N80" s="10">
        <f t="shared" si="40"/>
        <v>1521182250</v>
      </c>
      <c r="O80" s="5">
        <f t="shared" si="29"/>
        <v>126</v>
      </c>
      <c r="P80" s="9">
        <f t="shared" si="41"/>
        <v>3194482725</v>
      </c>
      <c r="Q80" s="3">
        <f t="shared" si="30"/>
        <v>128</v>
      </c>
      <c r="R80" s="10">
        <f>ROUND($J80*1.637*1.75*2.1*2.3*1,0)</f>
        <v>7347310268</v>
      </c>
      <c r="S80" s="5">
        <f t="shared" si="31"/>
        <v>130</v>
      </c>
      <c r="T80" s="9">
        <f>ROUND($J80*1.637*1.75*2.1*2.3*2.6*1,0)</f>
        <v>19103006696</v>
      </c>
      <c r="U80" s="3">
        <f t="shared" si="32"/>
        <v>133</v>
      </c>
      <c r="V80" s="10">
        <f>ROUND($J80*1.637*1.75*2.1*2.3*2.6*3.2*1,0)</f>
        <v>61129621426</v>
      </c>
      <c r="W80" s="5">
        <f t="shared" si="33"/>
        <v>137</v>
      </c>
      <c r="X80" s="9">
        <f>ROUND($J80*1.637*1.75*2.1*2.3*2.6*3.2*4.2*1,0)</f>
        <v>256744409988</v>
      </c>
      <c r="Y80" s="3">
        <f t="shared" si="34"/>
        <v>139</v>
      </c>
      <c r="Z80" s="10">
        <f>ROUND($J80*1.637*1.75*2.1*2.3*2.6*3.2*4.2*2.4*1,0)</f>
        <v>616186583970</v>
      </c>
      <c r="AA80" s="5">
        <f t="shared" si="35"/>
        <v>141</v>
      </c>
      <c r="AB80" s="9">
        <f>ROUND($J80*1.637*1.75*2.1*2.3*2.6*3.2*4.2*2.4*2.5*1,0)</f>
        <v>1540466459925</v>
      </c>
      <c r="AC80" s="3">
        <f t="shared" si="36"/>
        <v>143</v>
      </c>
      <c r="AD80" s="10">
        <f>ROUND($J80*1.637*1.75*2.1*2.3*2.6*3.2*4.2*2.4*2.5*2.8*1,0)</f>
        <v>4313306087790</v>
      </c>
      <c r="AE80" s="5">
        <f t="shared" si="37"/>
        <v>146</v>
      </c>
      <c r="AF80" s="9">
        <f>ROUND($J80*1.637*1.75*2.1*2.3*2.6*3.2*4.2*2.4*2.5*2.8*3.2*1,0)</f>
        <v>13802579480929</v>
      </c>
      <c r="AG80" s="3">
        <f t="shared" si="38"/>
        <v>149</v>
      </c>
      <c r="AH80" s="10">
        <f>ROUND($J80*1.637*1.75*2.1*2.3*2.6*3.2*4.2*2.4*2.5*2.8*3.2*3.8*1,0)</f>
        <v>52449802027531</v>
      </c>
    </row>
    <row r="81" spans="1:34" x14ac:dyDescent="0.3">
      <c r="A81" s="2">
        <v>107</v>
      </c>
      <c r="B81" s="2" t="s">
        <v>157</v>
      </c>
      <c r="C81" s="2" t="s">
        <v>24</v>
      </c>
      <c r="D81" s="2" t="s">
        <v>40</v>
      </c>
      <c r="E81" s="2">
        <v>122</v>
      </c>
      <c r="F81" s="2" t="s">
        <v>71</v>
      </c>
      <c r="G81" s="2" t="s">
        <v>38</v>
      </c>
      <c r="H81" s="2">
        <v>31</v>
      </c>
      <c r="I81" s="3">
        <v>122</v>
      </c>
      <c r="J81" s="4">
        <v>360000000</v>
      </c>
      <c r="K81" s="5">
        <f t="shared" si="27"/>
        <v>123</v>
      </c>
      <c r="L81" s="9">
        <f t="shared" si="39"/>
        <v>589320000</v>
      </c>
      <c r="M81" s="3">
        <f t="shared" si="28"/>
        <v>124</v>
      </c>
      <c r="N81" s="10">
        <f t="shared" si="40"/>
        <v>1031310000</v>
      </c>
      <c r="O81" s="5">
        <f t="shared" si="29"/>
        <v>126</v>
      </c>
      <c r="P81" s="9">
        <f t="shared" si="41"/>
        <v>2165751000</v>
      </c>
      <c r="Q81" s="3">
        <f t="shared" si="30"/>
        <v>128</v>
      </c>
      <c r="R81" s="10">
        <f>ROUND($J81*1.637*1.75*2.1*2.3*1,0)</f>
        <v>4981227300</v>
      </c>
      <c r="S81" s="5">
        <f t="shared" si="31"/>
        <v>130</v>
      </c>
      <c r="T81" s="9">
        <f>ROUND($J81*1.637*1.75*2.1*2.3*2.6*1,0)</f>
        <v>12951190980</v>
      </c>
      <c r="U81" s="3">
        <f t="shared" si="32"/>
        <v>133</v>
      </c>
      <c r="V81" s="10">
        <f>ROUND($J81*1.637*1.75*2.1*2.3*2.6*3.2*1,0)</f>
        <v>41443811136</v>
      </c>
      <c r="W81" s="5">
        <f t="shared" si="33"/>
        <v>137</v>
      </c>
      <c r="X81" s="9">
        <f>ROUND($J81*1.637*1.75*2.1*2.3*2.6*3.2*4.2*1,0)</f>
        <v>174064006771</v>
      </c>
      <c r="Y81" s="3">
        <f t="shared" si="34"/>
        <v>139</v>
      </c>
      <c r="Z81" s="10">
        <f>ROUND($J81*1.637*1.75*2.1*2.3*2.6*3.2*4.2*2.4*1,0)</f>
        <v>417753616251</v>
      </c>
      <c r="AA81" s="5">
        <f t="shared" si="35"/>
        <v>141</v>
      </c>
      <c r="AB81" s="9">
        <f>ROUND($J81*1.637*1.75*2.1*2.3*2.6*3.2*4.2*2.4*2.5*1,0)</f>
        <v>1044384040627</v>
      </c>
      <c r="AC81" s="3">
        <f t="shared" si="36"/>
        <v>143</v>
      </c>
      <c r="AD81" s="10">
        <f>ROUND($J81*1.637*1.75*2.1*2.3*2.6*3.2*4.2*2.4*2.5*2.8*1,0)</f>
        <v>2924275313756</v>
      </c>
      <c r="AE81" s="5">
        <f t="shared" si="37"/>
        <v>146</v>
      </c>
      <c r="AF81" s="9">
        <f>ROUND($J81*1.637*1.75*2.1*2.3*2.6*3.2*4.2*2.4*2.5*2.8*3.2*1,0)</f>
        <v>9357681004020</v>
      </c>
      <c r="AG81" s="3">
        <f t="shared" si="38"/>
        <v>149</v>
      </c>
      <c r="AH81" s="10">
        <f>ROUND($J81*1.637*1.75*2.1*2.3*2.6*3.2*4.2*2.4*2.5*2.8*3.2*3.8*1,0)</f>
        <v>35559187815275</v>
      </c>
    </row>
    <row r="82" spans="1:34" x14ac:dyDescent="0.3">
      <c r="A82" s="2">
        <v>120</v>
      </c>
      <c r="B82" s="2" t="s">
        <v>158</v>
      </c>
      <c r="C82" s="2" t="s">
        <v>24</v>
      </c>
      <c r="D82" s="2" t="s">
        <v>102</v>
      </c>
      <c r="E82" s="2">
        <v>122</v>
      </c>
      <c r="F82" s="2" t="s">
        <v>54</v>
      </c>
      <c r="G82" s="2" t="s">
        <v>98</v>
      </c>
      <c r="H82" s="2">
        <v>30</v>
      </c>
      <c r="I82" s="3">
        <v>122</v>
      </c>
      <c r="J82" s="4">
        <v>314300000</v>
      </c>
      <c r="K82" s="5">
        <f t="shared" si="27"/>
        <v>123</v>
      </c>
      <c r="L82" s="9">
        <f t="shared" si="39"/>
        <v>514509100</v>
      </c>
      <c r="M82" s="3">
        <f t="shared" si="28"/>
        <v>124</v>
      </c>
      <c r="N82" s="10">
        <f t="shared" si="40"/>
        <v>900390925</v>
      </c>
      <c r="O82" s="5">
        <f t="shared" si="29"/>
        <v>126</v>
      </c>
      <c r="P82" s="9">
        <f t="shared" si="41"/>
        <v>1890820943</v>
      </c>
      <c r="Q82" s="3">
        <f t="shared" si="30"/>
        <v>128</v>
      </c>
      <c r="R82" s="10">
        <f>ROUND($J82*1.637*1.75*2.1*2.3*1,0)</f>
        <v>4348888168</v>
      </c>
      <c r="S82" s="5">
        <f t="shared" si="31"/>
        <v>130</v>
      </c>
      <c r="T82" s="9">
        <f>ROUND($J82*1.637*1.75*2.1*2.3*2.6*1,0)</f>
        <v>11307109236</v>
      </c>
      <c r="U82" s="3">
        <f t="shared" si="32"/>
        <v>133</v>
      </c>
      <c r="V82" s="10">
        <f>ROUND($J82*1.637*1.75*2.1*2.3*2.6*3.2*1,0)</f>
        <v>36182749556</v>
      </c>
      <c r="W82" s="5">
        <f t="shared" si="33"/>
        <v>137</v>
      </c>
      <c r="X82" s="9">
        <f>ROUND($J82*1.637*1.75*2.1*2.3*2.6*3.2*4.2*1,0)</f>
        <v>151967548134</v>
      </c>
      <c r="Y82" s="3">
        <f t="shared" si="34"/>
        <v>139</v>
      </c>
      <c r="Z82" s="10">
        <f>ROUND($J82*1.637*1.75*2.1*2.3*2.6*3.2*4.2*2.4*1,0)</f>
        <v>364722115521</v>
      </c>
      <c r="AA82" s="5">
        <f t="shared" si="35"/>
        <v>141</v>
      </c>
      <c r="AB82" s="9">
        <f>ROUND($J82*1.637*1.75*2.1*2.3*2.6*3.2*4.2*2.4*2.5*1,0)</f>
        <v>911805288803</v>
      </c>
      <c r="AC82" s="3">
        <f t="shared" si="36"/>
        <v>143</v>
      </c>
      <c r="AD82" s="10">
        <f>ROUND($J82*1.637*1.75*2.1*2.3*2.6*3.2*4.2*2.4*2.5*2.8*1,0)</f>
        <v>2553054808649</v>
      </c>
      <c r="AE82" s="5">
        <f t="shared" si="37"/>
        <v>146</v>
      </c>
      <c r="AF82" s="9">
        <f>ROUND($J82*1.637*1.75*2.1*2.3*2.6*3.2*4.2*2.4*2.5*2.8*3.2*1,0)</f>
        <v>8169775387676</v>
      </c>
      <c r="AG82" s="3">
        <f t="shared" si="38"/>
        <v>149</v>
      </c>
      <c r="AH82" s="10">
        <f>ROUND($J82*1.637*1.75*2.1*2.3*2.6*3.2*4.2*2.4*2.5*2.8*3.2*3.8*1,0)</f>
        <v>31045146473169</v>
      </c>
    </row>
    <row r="83" spans="1:34" x14ac:dyDescent="0.3">
      <c r="A83" s="2">
        <v>115</v>
      </c>
      <c r="B83" s="2" t="s">
        <v>159</v>
      </c>
      <c r="C83" s="2" t="s">
        <v>24</v>
      </c>
      <c r="D83" s="2" t="s">
        <v>25</v>
      </c>
      <c r="E83" s="2">
        <v>122</v>
      </c>
      <c r="F83" s="2" t="s">
        <v>42</v>
      </c>
      <c r="G83" s="2" t="s">
        <v>51</v>
      </c>
      <c r="H83" s="2">
        <v>31</v>
      </c>
      <c r="I83" s="3">
        <v>122</v>
      </c>
      <c r="J83" s="4">
        <v>2701000000</v>
      </c>
      <c r="K83" s="5">
        <f t="shared" si="27"/>
        <v>123</v>
      </c>
      <c r="L83" s="9">
        <f t="shared" si="39"/>
        <v>4421537000</v>
      </c>
      <c r="M83" s="3">
        <f t="shared" si="28"/>
        <v>124</v>
      </c>
      <c r="N83" s="10">
        <f t="shared" si="40"/>
        <v>7737689750</v>
      </c>
      <c r="O83" s="5">
        <f t="shared" si="29"/>
        <v>126</v>
      </c>
      <c r="P83" s="9">
        <f t="shared" si="41"/>
        <v>16249148475</v>
      </c>
      <c r="Q83" s="3">
        <f t="shared" si="30"/>
        <v>128</v>
      </c>
      <c r="R83" s="10">
        <f>ROUND($J83*1.637*1.75*2.1*2.3*1.25,0)</f>
        <v>46716301866</v>
      </c>
      <c r="S83" s="5">
        <f t="shared" si="31"/>
        <v>130</v>
      </c>
      <c r="T83" s="9">
        <f>ROUND($J83*1.637*1.75*2.1*2.3*2.6*1.25,0)</f>
        <v>121462384851</v>
      </c>
      <c r="U83" s="3">
        <f t="shared" si="32"/>
        <v>133</v>
      </c>
      <c r="V83" s="10">
        <f>ROUND($J83*1.637*1.75*2.1*2.3*2.6*3.2*1.25,0)</f>
        <v>388679631522</v>
      </c>
      <c r="W83" s="5">
        <f t="shared" si="33"/>
        <v>137</v>
      </c>
      <c r="X83" s="9">
        <f>ROUND($J83*1.637*1.75*2.1*2.3*2.6*3.2*4.2*1.25,0)</f>
        <v>1632454452392</v>
      </c>
      <c r="Y83" s="3">
        <f t="shared" si="34"/>
        <v>139</v>
      </c>
      <c r="Z83" s="10">
        <f>ROUND($J83*1.637*1.75*2.1*2.3*2.6*3.2*4.2*2.4*1.25,0)</f>
        <v>3917890685742</v>
      </c>
      <c r="AA83" s="5">
        <f t="shared" si="35"/>
        <v>141</v>
      </c>
      <c r="AB83" s="9">
        <f>ROUND($J83*1.637*1.75*2.1*2.3*2.6*3.2*4.2*2.4*2.5*1.25,0)</f>
        <v>9794726714354</v>
      </c>
      <c r="AC83" s="3">
        <f t="shared" si="36"/>
        <v>143</v>
      </c>
      <c r="AD83" s="10">
        <f>ROUND($J83*1.637*1.75*2.1*2.3*2.6*3.2*4.2*2.4*2.5*2.8*1.25,0)</f>
        <v>27425234800192</v>
      </c>
      <c r="AE83" s="5">
        <f t="shared" si="37"/>
        <v>146</v>
      </c>
      <c r="AF83" s="9">
        <f>ROUND($J83*1.637*1.75*2.1*2.3*2.6*3.2*4.2*2.4*2.5*2.8*3.2*1.25,0)</f>
        <v>87760751360615</v>
      </c>
      <c r="AG83" s="3">
        <f t="shared" si="38"/>
        <v>149</v>
      </c>
      <c r="AH83" s="10">
        <f>ROUND($J83*1.637*1.75*2.1*2.3*2.6*3.2*4.2*2.4*2.5*2.8*3.2*3.8*1.25,0)</f>
        <v>333490855170339</v>
      </c>
    </row>
    <row r="84" spans="1:34" x14ac:dyDescent="0.3">
      <c r="A84" s="2">
        <v>113</v>
      </c>
      <c r="B84" s="2" t="s">
        <v>160</v>
      </c>
      <c r="C84" s="2" t="s">
        <v>24</v>
      </c>
      <c r="D84" s="2" t="s">
        <v>40</v>
      </c>
      <c r="E84" s="2">
        <v>122</v>
      </c>
      <c r="F84" s="2" t="s">
        <v>54</v>
      </c>
      <c r="G84" s="2" t="s">
        <v>67</v>
      </c>
      <c r="H84" s="2">
        <v>31</v>
      </c>
      <c r="I84" s="3">
        <v>122</v>
      </c>
      <c r="J84" s="4">
        <v>4120000000</v>
      </c>
      <c r="K84" s="5">
        <f t="shared" si="27"/>
        <v>123</v>
      </c>
      <c r="L84" s="9">
        <f t="shared" si="39"/>
        <v>6744440000</v>
      </c>
      <c r="M84" s="3">
        <f t="shared" si="28"/>
        <v>124</v>
      </c>
      <c r="N84" s="10">
        <f t="shared" si="40"/>
        <v>11802770000</v>
      </c>
      <c r="O84" s="5">
        <f t="shared" si="29"/>
        <v>126</v>
      </c>
      <c r="P84" s="9">
        <f t="shared" si="41"/>
        <v>24785817000</v>
      </c>
      <c r="Q84" s="3">
        <f t="shared" si="30"/>
        <v>128</v>
      </c>
      <c r="R84" s="10">
        <f>ROUND($J84*1.637*1.75*2.1*2.3*1.25,0)</f>
        <v>71259223875</v>
      </c>
      <c r="S84" s="5">
        <f t="shared" si="31"/>
        <v>130</v>
      </c>
      <c r="T84" s="9">
        <f>ROUND($J84*1.637*1.75*2.1*2.3*2.6*1.25,0)</f>
        <v>185273982075</v>
      </c>
      <c r="U84" s="3">
        <f t="shared" si="32"/>
        <v>133</v>
      </c>
      <c r="V84" s="10">
        <f>ROUND($J84*1.637*1.75*2.1*2.3*2.6*3.2*1.25,0)</f>
        <v>592876742640</v>
      </c>
      <c r="W84" s="5">
        <f t="shared" si="33"/>
        <v>137</v>
      </c>
      <c r="X84" s="9">
        <f>ROUND($J84*1.637*1.75*2.1*2.3*2.6*3.2*4.2*1.25,0)</f>
        <v>2490082319088</v>
      </c>
      <c r="Y84" s="3">
        <f t="shared" si="34"/>
        <v>139</v>
      </c>
      <c r="Z84" s="10">
        <f>ROUND($J84*1.637*1.75*2.1*2.3*2.6*3.2*4.2*2.4*1.25,0)</f>
        <v>5976197565811</v>
      </c>
      <c r="AA84" s="5">
        <f t="shared" si="35"/>
        <v>141</v>
      </c>
      <c r="AB84" s="9">
        <f>ROUND($J84*1.637*1.75*2.1*2.3*2.6*3.2*4.2*2.4*2.5*1.25,0)</f>
        <v>14940493914528</v>
      </c>
      <c r="AC84" s="3">
        <f t="shared" si="36"/>
        <v>143</v>
      </c>
      <c r="AD84" s="10">
        <f>ROUND($J84*1.637*1.75*2.1*2.3*2.6*3.2*4.2*2.4*2.5*2.8*1.25,0)</f>
        <v>41833382960678</v>
      </c>
      <c r="AE84" s="5">
        <f t="shared" si="37"/>
        <v>146</v>
      </c>
      <c r="AF84" s="9">
        <f>ROUND($J84*1.637*1.75*2.1*2.3*2.6*3.2*4.2*2.4*2.5*2.8*3.2*1.25,0)</f>
        <v>133866825474171</v>
      </c>
      <c r="AG84" s="3">
        <f t="shared" si="38"/>
        <v>149</v>
      </c>
      <c r="AH84" s="10">
        <f>ROUND($J84*1.637*1.75*2.1*2.3*2.6*3.2*4.2*2.4*2.5*2.8*3.2*3.8*1.25,0)</f>
        <v>508693936801849</v>
      </c>
    </row>
    <row r="85" spans="1:34" x14ac:dyDescent="0.3">
      <c r="A85" s="2">
        <v>110</v>
      </c>
      <c r="B85" s="2" t="s">
        <v>161</v>
      </c>
      <c r="C85" s="2" t="s">
        <v>24</v>
      </c>
      <c r="D85" s="2" t="s">
        <v>79</v>
      </c>
      <c r="E85" s="2">
        <v>122</v>
      </c>
      <c r="F85" s="2" t="s">
        <v>54</v>
      </c>
      <c r="G85" s="2" t="s">
        <v>35</v>
      </c>
      <c r="H85" s="2">
        <v>31</v>
      </c>
      <c r="I85" s="3">
        <v>122</v>
      </c>
      <c r="J85" s="4">
        <v>681000000</v>
      </c>
      <c r="K85" s="5">
        <f t="shared" si="27"/>
        <v>123</v>
      </c>
      <c r="L85" s="9">
        <f t="shared" si="39"/>
        <v>1114797000</v>
      </c>
      <c r="M85" s="3">
        <f t="shared" si="28"/>
        <v>124</v>
      </c>
      <c r="N85" s="10">
        <f t="shared" si="40"/>
        <v>1950894750</v>
      </c>
      <c r="O85" s="5">
        <f t="shared" si="29"/>
        <v>126</v>
      </c>
      <c r="P85" s="9">
        <f t="shared" si="41"/>
        <v>4096878975</v>
      </c>
      <c r="Q85" s="3">
        <f t="shared" si="30"/>
        <v>128</v>
      </c>
      <c r="R85" s="10">
        <f>ROUND($J85*1.637*1.75*2.1*2.3*1,0)</f>
        <v>9422821643</v>
      </c>
      <c r="S85" s="5">
        <f t="shared" si="31"/>
        <v>130</v>
      </c>
      <c r="T85" s="9">
        <f>ROUND($J85*1.637*1.75*2.1*2.3*2.6*1,0)</f>
        <v>24499336271</v>
      </c>
      <c r="U85" s="3">
        <f t="shared" si="32"/>
        <v>133</v>
      </c>
      <c r="V85" s="10">
        <f>ROUND($J85*1.637*1.75*2.1*2.3*2.6*3.2*1,0)</f>
        <v>78397876066</v>
      </c>
      <c r="W85" s="5">
        <f t="shared" si="33"/>
        <v>137</v>
      </c>
      <c r="X85" s="9">
        <f>ROUND($J85*1.637*1.75*2.1*2.3*2.6*3.2*4.2*1,0)</f>
        <v>329271079476</v>
      </c>
      <c r="Y85" s="3">
        <f t="shared" si="34"/>
        <v>139</v>
      </c>
      <c r="Z85" s="10">
        <f>ROUND($J85*1.637*1.75*2.1*2.3*2.6*3.2*4.2*2.4*1,0)</f>
        <v>790250590741</v>
      </c>
      <c r="AA85" s="5">
        <f t="shared" si="35"/>
        <v>141</v>
      </c>
      <c r="AB85" s="9">
        <f>ROUND($J85*1.637*1.75*2.1*2.3*2.6*3.2*4.2*2.4*2.5*1,0)</f>
        <v>1975626476853</v>
      </c>
      <c r="AC85" s="3">
        <f t="shared" si="36"/>
        <v>143</v>
      </c>
      <c r="AD85" s="10">
        <f>ROUND($J85*1.637*1.75*2.1*2.3*2.6*3.2*4.2*2.4*2.5*2.8*1,0)</f>
        <v>5531754135189</v>
      </c>
      <c r="AE85" s="5">
        <f t="shared" si="37"/>
        <v>146</v>
      </c>
      <c r="AF85" s="9">
        <f>ROUND($J85*1.637*1.75*2.1*2.3*2.6*3.2*4.2*2.4*2.5*2.8*3.2*1,0)</f>
        <v>17701613232604</v>
      </c>
      <c r="AG85" s="3">
        <f t="shared" si="38"/>
        <v>149</v>
      </c>
      <c r="AH85" s="10">
        <f>ROUND($J85*1.637*1.75*2.1*2.3*2.6*3.2*4.2*2.4*2.5*2.8*3.2*3.8*1,0)</f>
        <v>67266130283895</v>
      </c>
    </row>
    <row r="86" spans="1:34" x14ac:dyDescent="0.3">
      <c r="A86" s="2">
        <v>118</v>
      </c>
      <c r="B86" s="2" t="s">
        <v>162</v>
      </c>
      <c r="C86" s="2" t="s">
        <v>24</v>
      </c>
      <c r="D86" s="2" t="s">
        <v>33</v>
      </c>
      <c r="E86" s="2">
        <v>122</v>
      </c>
      <c r="F86" s="2" t="s">
        <v>71</v>
      </c>
      <c r="G86" s="2" t="s">
        <v>38</v>
      </c>
      <c r="H86" s="2">
        <v>30</v>
      </c>
      <c r="I86" s="3">
        <v>122</v>
      </c>
      <c r="J86" s="4">
        <v>288000000</v>
      </c>
      <c r="K86" s="5">
        <f t="shared" si="27"/>
        <v>123</v>
      </c>
      <c r="L86" s="9">
        <f t="shared" si="39"/>
        <v>471456000</v>
      </c>
      <c r="M86" s="3">
        <f t="shared" si="28"/>
        <v>124</v>
      </c>
      <c r="N86" s="10">
        <f t="shared" si="40"/>
        <v>825048000</v>
      </c>
      <c r="O86" s="5">
        <f t="shared" si="29"/>
        <v>126</v>
      </c>
      <c r="P86" s="9">
        <f t="shared" si="41"/>
        <v>1732600800</v>
      </c>
      <c r="Q86" s="3">
        <f t="shared" si="30"/>
        <v>128</v>
      </c>
      <c r="R86" s="10">
        <f>ROUND($J86*1.637*1.75*2.1*2.3*1,0)</f>
        <v>3984981840</v>
      </c>
      <c r="S86" s="5">
        <f t="shared" si="31"/>
        <v>130</v>
      </c>
      <c r="T86" s="9">
        <f>ROUND($J86*1.637*1.75*2.1*2.3*2.6*1,0)</f>
        <v>10360952784</v>
      </c>
      <c r="U86" s="3">
        <f t="shared" si="32"/>
        <v>133</v>
      </c>
      <c r="V86" s="10">
        <f>ROUND($J86*1.637*1.75*2.1*2.3*2.6*3.2*1,0)</f>
        <v>33155048909</v>
      </c>
      <c r="W86" s="5">
        <f t="shared" si="33"/>
        <v>137</v>
      </c>
      <c r="X86" s="9">
        <f>ROUND($J86*1.637*1.75*2.1*2.3*2.6*3.2*4.2*1,0)</f>
        <v>139251205417</v>
      </c>
      <c r="Y86" s="3">
        <f t="shared" si="34"/>
        <v>139</v>
      </c>
      <c r="Z86" s="10">
        <f>ROUND($J86*1.637*1.75*2.1*2.3*2.6*3.2*4.2*2.4*1,0)</f>
        <v>334202893001</v>
      </c>
      <c r="AA86" s="5">
        <f t="shared" si="35"/>
        <v>141</v>
      </c>
      <c r="AB86" s="9">
        <f>ROUND($J86*1.637*1.75*2.1*2.3*2.6*3.2*4.2*2.4*2.5*1,0)</f>
        <v>835507232502</v>
      </c>
      <c r="AC86" s="3">
        <f t="shared" si="36"/>
        <v>143</v>
      </c>
      <c r="AD86" s="10">
        <f>ROUND($J86*1.637*1.75*2.1*2.3*2.6*3.2*4.2*2.4*2.5*2.8*1,0)</f>
        <v>2339420251005</v>
      </c>
      <c r="AE86" s="5">
        <f t="shared" si="37"/>
        <v>146</v>
      </c>
      <c r="AF86" s="9">
        <f>ROUND($J86*1.637*1.75*2.1*2.3*2.6*3.2*4.2*2.4*2.5*2.8*3.2*1,0)</f>
        <v>7486144803216</v>
      </c>
      <c r="AG86" s="3">
        <f t="shared" si="38"/>
        <v>149</v>
      </c>
      <c r="AH86" s="10">
        <f>ROUND($J86*1.637*1.75*2.1*2.3*2.6*3.2*4.2*2.4*2.5*2.8*3.2*3.8*1,0)</f>
        <v>28447350252220</v>
      </c>
    </row>
    <row r="87" spans="1:34" x14ac:dyDescent="0.3">
      <c r="A87" s="2">
        <v>37</v>
      </c>
      <c r="B87" s="2" t="s">
        <v>163</v>
      </c>
      <c r="C87" s="2" t="s">
        <v>24</v>
      </c>
      <c r="D87" s="2" t="s">
        <v>40</v>
      </c>
      <c r="E87" s="2">
        <v>122</v>
      </c>
      <c r="F87" s="2" t="s">
        <v>71</v>
      </c>
      <c r="G87" s="2" t="s">
        <v>133</v>
      </c>
      <c r="H87" s="2">
        <v>32</v>
      </c>
      <c r="I87" s="3">
        <v>122</v>
      </c>
      <c r="J87" s="4">
        <v>2200000000</v>
      </c>
      <c r="K87" s="5">
        <f t="shared" si="27"/>
        <v>123</v>
      </c>
      <c r="L87" s="9">
        <f t="shared" si="39"/>
        <v>3601400000</v>
      </c>
      <c r="M87" s="3">
        <f t="shared" si="28"/>
        <v>124</v>
      </c>
      <c r="N87" s="10">
        <f t="shared" si="40"/>
        <v>6302450000</v>
      </c>
      <c r="O87" s="5">
        <f t="shared" si="29"/>
        <v>126</v>
      </c>
      <c r="P87" s="9">
        <f t="shared" si="41"/>
        <v>13235145000</v>
      </c>
      <c r="Q87" s="3">
        <f t="shared" si="30"/>
        <v>128</v>
      </c>
      <c r="R87" s="10">
        <f>ROUND($J87*1.637*1.75*2.1*2.3*1.25,0)</f>
        <v>38051041875</v>
      </c>
      <c r="S87" s="5">
        <f t="shared" si="31"/>
        <v>130</v>
      </c>
      <c r="T87" s="9">
        <f>ROUND($J87*1.637*1.75*2.1*2.3*2.6*1.25,0)</f>
        <v>98932708875</v>
      </c>
      <c r="U87" s="3">
        <f t="shared" si="32"/>
        <v>133</v>
      </c>
      <c r="V87" s="10">
        <f>ROUND($J87*1.637*1.75*2.1*2.3*2.6*3.2*1.25,0)</f>
        <v>316584668400</v>
      </c>
      <c r="W87" s="5">
        <f t="shared" si="33"/>
        <v>137</v>
      </c>
      <c r="X87" s="9">
        <f>ROUND($J87*1.637*1.75*2.1*2.3*2.6*3.2*4.2*1.25,0)</f>
        <v>1329655607280</v>
      </c>
      <c r="Y87" s="3">
        <f t="shared" si="34"/>
        <v>139</v>
      </c>
      <c r="Z87" s="10">
        <f>ROUND($J87*1.637*1.75*2.1*2.3*2.6*3.2*4.2*2.4*1.25,0)</f>
        <v>3191173457472</v>
      </c>
      <c r="AA87" s="5">
        <f t="shared" si="35"/>
        <v>141</v>
      </c>
      <c r="AB87" s="9">
        <f>ROUND($J87*1.637*1.75*2.1*2.3*2.6*3.2*4.2*2.4*2.5*1.25,0)</f>
        <v>7977933643680</v>
      </c>
      <c r="AC87" s="3">
        <f t="shared" si="36"/>
        <v>143</v>
      </c>
      <c r="AD87" s="10">
        <f>ROUND($J87*1.637*1.75*2.1*2.3*2.6*3.2*4.2*2.4*2.5*2.8*1.25,0)</f>
        <v>22338214202304</v>
      </c>
      <c r="AE87" s="5">
        <f t="shared" si="37"/>
        <v>146</v>
      </c>
      <c r="AF87" s="9">
        <f>ROUND($J87*1.637*1.75*2.1*2.3*2.6*3.2*4.2*2.4*2.5*2.8*3.2*1.25,0)</f>
        <v>71482285447373</v>
      </c>
      <c r="AG87" s="3">
        <f t="shared" si="38"/>
        <v>149</v>
      </c>
      <c r="AH87" s="10">
        <f>ROUND($J87*1.637*1.75*2.1*2.3*2.6*3.2*4.2*2.4*2.5*2.8*3.2*3.8*1.25,0)</f>
        <v>271632684700017</v>
      </c>
    </row>
    <row r="88" spans="1:34" x14ac:dyDescent="0.3">
      <c r="A88" s="2">
        <v>108</v>
      </c>
      <c r="B88" s="2" t="s">
        <v>164</v>
      </c>
      <c r="C88" s="2" t="s">
        <v>24</v>
      </c>
      <c r="D88" s="2" t="s">
        <v>165</v>
      </c>
      <c r="E88" s="2">
        <v>122</v>
      </c>
      <c r="F88" s="2" t="s">
        <v>132</v>
      </c>
      <c r="G88" s="2" t="s">
        <v>38</v>
      </c>
      <c r="H88" s="2">
        <v>31</v>
      </c>
      <c r="I88" s="3">
        <v>122</v>
      </c>
      <c r="J88" s="4">
        <v>2240000000</v>
      </c>
      <c r="K88" s="5">
        <f t="shared" si="27"/>
        <v>123</v>
      </c>
      <c r="L88" s="9">
        <f t="shared" si="39"/>
        <v>3666880000</v>
      </c>
      <c r="M88" s="3">
        <f t="shared" si="28"/>
        <v>124</v>
      </c>
      <c r="N88" s="10">
        <f t="shared" si="40"/>
        <v>6417040000</v>
      </c>
      <c r="O88" s="5">
        <f t="shared" si="29"/>
        <v>126</v>
      </c>
      <c r="P88" s="9">
        <f t="shared" si="41"/>
        <v>13475784000</v>
      </c>
      <c r="Q88" s="3">
        <f t="shared" si="30"/>
        <v>128</v>
      </c>
      <c r="R88" s="10">
        <f>ROUND($J88*1.637*1.75*2.1*2.3*1.25,0)</f>
        <v>38742879000</v>
      </c>
      <c r="S88" s="5">
        <f t="shared" si="31"/>
        <v>130</v>
      </c>
      <c r="T88" s="9">
        <f>ROUND($J88*1.637*1.75*2.1*2.3*2.6*1.25,0)</f>
        <v>100731485400</v>
      </c>
      <c r="U88" s="3">
        <f t="shared" si="32"/>
        <v>133</v>
      </c>
      <c r="V88" s="10">
        <f>ROUND($J88*1.637*1.75*2.1*2.3*2.6*3.2*1.25,0)</f>
        <v>322340753280</v>
      </c>
      <c r="W88" s="5">
        <f t="shared" si="33"/>
        <v>137</v>
      </c>
      <c r="X88" s="9">
        <f>ROUND($J88*1.637*1.75*2.1*2.3*2.6*3.2*4.2*1.25,0)</f>
        <v>1353831163776</v>
      </c>
      <c r="Y88" s="3">
        <f t="shared" si="34"/>
        <v>139</v>
      </c>
      <c r="Z88" s="10">
        <f>ROUND($J88*1.637*1.75*2.1*2.3*2.6*3.2*4.2*2.4*1.25,0)</f>
        <v>3249194793062</v>
      </c>
      <c r="AA88" s="5">
        <f t="shared" si="35"/>
        <v>141</v>
      </c>
      <c r="AB88" s="9">
        <f>ROUND($J88*1.637*1.75*2.1*2.3*2.6*3.2*4.2*2.4*2.5*1.25,0)</f>
        <v>8122986982656</v>
      </c>
      <c r="AC88" s="3">
        <f t="shared" si="36"/>
        <v>143</v>
      </c>
      <c r="AD88" s="10">
        <f>ROUND($J88*1.637*1.75*2.1*2.3*2.6*3.2*4.2*2.4*2.5*2.8*1.25,0)</f>
        <v>22744363551437</v>
      </c>
      <c r="AE88" s="5">
        <f t="shared" si="37"/>
        <v>146</v>
      </c>
      <c r="AF88" s="9">
        <f>ROUND($J88*1.637*1.75*2.1*2.3*2.6*3.2*4.2*2.4*2.5*2.8*3.2*1.25,0)</f>
        <v>72781963364598</v>
      </c>
      <c r="AG88" s="3">
        <f t="shared" si="38"/>
        <v>149</v>
      </c>
      <c r="AH88" s="10">
        <f>ROUND($J88*1.637*1.75*2.1*2.3*2.6*3.2*4.2*2.4*2.5*2.8*3.2*3.8*1.25,0)</f>
        <v>276571460785471</v>
      </c>
    </row>
    <row r="89" spans="1:34" x14ac:dyDescent="0.3">
      <c r="A89" s="2">
        <v>111</v>
      </c>
      <c r="B89" s="2" t="s">
        <v>166</v>
      </c>
      <c r="C89" s="2" t="s">
        <v>24</v>
      </c>
      <c r="D89" s="2" t="s">
        <v>33</v>
      </c>
      <c r="E89" s="2">
        <v>122</v>
      </c>
      <c r="F89" s="2" t="s">
        <v>62</v>
      </c>
      <c r="G89" s="2" t="s">
        <v>67</v>
      </c>
      <c r="H89" s="2">
        <v>31</v>
      </c>
      <c r="I89" s="3">
        <v>122</v>
      </c>
      <c r="J89" s="4">
        <v>511200000</v>
      </c>
      <c r="K89" s="5">
        <f t="shared" si="27"/>
        <v>123</v>
      </c>
      <c r="L89" s="9">
        <f t="shared" si="39"/>
        <v>836834400</v>
      </c>
      <c r="M89" s="3">
        <f t="shared" si="28"/>
        <v>124</v>
      </c>
      <c r="N89" s="10">
        <f t="shared" si="40"/>
        <v>1464460200</v>
      </c>
      <c r="O89" s="5">
        <f t="shared" si="29"/>
        <v>126</v>
      </c>
      <c r="P89" s="9">
        <f t="shared" si="41"/>
        <v>3075366420</v>
      </c>
      <c r="Q89" s="3">
        <f t="shared" si="30"/>
        <v>128</v>
      </c>
      <c r="R89" s="10">
        <f>ROUND($J89*1.637*1.75*2.1*2.3*1,0)</f>
        <v>7073342766</v>
      </c>
      <c r="S89" s="5">
        <f t="shared" si="31"/>
        <v>130</v>
      </c>
      <c r="T89" s="9">
        <f>ROUND($J89*1.637*1.75*2.1*2.3*2.6*1,0)</f>
        <v>18390691192</v>
      </c>
      <c r="U89" s="3">
        <f t="shared" si="32"/>
        <v>133</v>
      </c>
      <c r="V89" s="10">
        <f>ROUND($J89*1.637*1.75*2.1*2.3*2.6*3.2*1,0)</f>
        <v>58850211813</v>
      </c>
      <c r="W89" s="5">
        <f t="shared" si="33"/>
        <v>137</v>
      </c>
      <c r="X89" s="9">
        <f>ROUND($J89*1.637*1.75*2.1*2.3*2.6*3.2*4.2*1,0)</f>
        <v>247170889615</v>
      </c>
      <c r="Y89" s="3">
        <f t="shared" si="34"/>
        <v>139</v>
      </c>
      <c r="Z89" s="10">
        <f>ROUND($J89*1.637*1.75*2.1*2.3*2.6*3.2*4.2*2.4*1,0)</f>
        <v>593210135076</v>
      </c>
      <c r="AA89" s="5">
        <f t="shared" si="35"/>
        <v>141</v>
      </c>
      <c r="AB89" s="9">
        <f>ROUND($J89*1.637*1.75*2.1*2.3*2.6*3.2*4.2*2.4*2.5*1,0)</f>
        <v>1483025337691</v>
      </c>
      <c r="AC89" s="3">
        <f t="shared" si="36"/>
        <v>143</v>
      </c>
      <c r="AD89" s="10">
        <f>ROUND($J89*1.637*1.75*2.1*2.3*2.6*3.2*4.2*2.4*2.5*2.8*1,0)</f>
        <v>4152470945534</v>
      </c>
      <c r="AE89" s="5">
        <f t="shared" si="37"/>
        <v>146</v>
      </c>
      <c r="AF89" s="9">
        <f>ROUND($J89*1.637*1.75*2.1*2.3*2.6*3.2*4.2*2.4*2.5*2.8*3.2*1,0)</f>
        <v>13287907025708</v>
      </c>
      <c r="AG89" s="3">
        <f t="shared" si="38"/>
        <v>149</v>
      </c>
      <c r="AH89" s="10">
        <f>ROUND($J89*1.637*1.75*2.1*2.3*2.6*3.2*4.2*2.4*2.5*2.8*3.2*3.8*1,0)</f>
        <v>50494046697690</v>
      </c>
    </row>
    <row r="90" spans="1:34" x14ac:dyDescent="0.3">
      <c r="A90" s="2">
        <v>109</v>
      </c>
      <c r="B90" s="2" t="s">
        <v>167</v>
      </c>
      <c r="C90" s="2" t="s">
        <v>24</v>
      </c>
      <c r="D90" s="2" t="s">
        <v>25</v>
      </c>
      <c r="E90" s="2">
        <v>122</v>
      </c>
      <c r="F90" s="2" t="s">
        <v>168</v>
      </c>
      <c r="G90" s="2" t="s">
        <v>169</v>
      </c>
      <c r="H90" s="2">
        <v>31</v>
      </c>
      <c r="I90" s="3">
        <v>122</v>
      </c>
      <c r="J90" s="4">
        <v>574000000</v>
      </c>
      <c r="K90" s="5">
        <f t="shared" si="27"/>
        <v>123</v>
      </c>
      <c r="L90" s="9">
        <f t="shared" si="39"/>
        <v>939638000</v>
      </c>
      <c r="M90" s="3">
        <f t="shared" si="28"/>
        <v>124</v>
      </c>
      <c r="N90" s="10">
        <f t="shared" si="40"/>
        <v>1644366500</v>
      </c>
      <c r="O90" s="5">
        <f t="shared" si="29"/>
        <v>126</v>
      </c>
      <c r="P90" s="9">
        <f t="shared" si="41"/>
        <v>3453169650</v>
      </c>
      <c r="Q90" s="3">
        <f t="shared" si="30"/>
        <v>128</v>
      </c>
      <c r="R90" s="10">
        <f>ROUND($J90*1.637*1.75*2.1*2.3*1,0)</f>
        <v>7942290195</v>
      </c>
      <c r="S90" s="5">
        <f t="shared" si="31"/>
        <v>130</v>
      </c>
      <c r="T90" s="9">
        <f>ROUND($J90*1.637*1.75*2.1*2.3*2.6*1,0)</f>
        <v>20649954507</v>
      </c>
      <c r="U90" s="3">
        <f t="shared" si="32"/>
        <v>133</v>
      </c>
      <c r="V90" s="10">
        <f>ROUND($J90*1.637*1.75*2.1*2.3*2.6*3.2*1,0)</f>
        <v>66079854422</v>
      </c>
      <c r="W90" s="5">
        <f t="shared" si="33"/>
        <v>137</v>
      </c>
      <c r="X90" s="9">
        <f>ROUND($J90*1.637*1.75*2.1*2.3*2.6*3.2*4.2*1,0)</f>
        <v>277535388574</v>
      </c>
      <c r="Y90" s="3">
        <f t="shared" si="34"/>
        <v>139</v>
      </c>
      <c r="Z90" s="10">
        <f>ROUND($J90*1.637*1.75*2.1*2.3*2.6*3.2*4.2*2.4*1,0)</f>
        <v>666084932578</v>
      </c>
      <c r="AA90" s="5">
        <f t="shared" si="35"/>
        <v>141</v>
      </c>
      <c r="AB90" s="9">
        <f>ROUND($J90*1.637*1.75*2.1*2.3*2.6*3.2*4.2*2.4*2.5*1,0)</f>
        <v>1665212331444</v>
      </c>
      <c r="AC90" s="3">
        <f t="shared" si="36"/>
        <v>143</v>
      </c>
      <c r="AD90" s="10">
        <f>ROUND($J90*1.637*1.75*2.1*2.3*2.6*3.2*4.2*2.4*2.5*2.8*1,0)</f>
        <v>4662594528045</v>
      </c>
      <c r="AE90" s="5">
        <f t="shared" si="37"/>
        <v>146</v>
      </c>
      <c r="AF90" s="9">
        <f>ROUND($J90*1.637*1.75*2.1*2.3*2.6*3.2*4.2*2.4*2.5*2.8*3.2*1,0)</f>
        <v>14920302489743</v>
      </c>
      <c r="AG90" s="3">
        <f t="shared" si="38"/>
        <v>149</v>
      </c>
      <c r="AH90" s="10">
        <f>ROUND($J90*1.637*1.75*2.1*2.3*2.6*3.2*4.2*2.4*2.5*2.8*3.2*3.8*1,0)</f>
        <v>56697149461022</v>
      </c>
    </row>
    <row r="91" spans="1:34" x14ac:dyDescent="0.3">
      <c r="A91" s="2">
        <v>106</v>
      </c>
      <c r="B91" s="2" t="s">
        <v>170</v>
      </c>
      <c r="C91" s="2" t="s">
        <v>24</v>
      </c>
      <c r="D91" s="2" t="s">
        <v>40</v>
      </c>
      <c r="E91" s="2">
        <v>122</v>
      </c>
      <c r="F91" s="2" t="s">
        <v>56</v>
      </c>
      <c r="G91" s="2" t="s">
        <v>171</v>
      </c>
      <c r="H91" s="2">
        <v>31</v>
      </c>
      <c r="I91" s="3">
        <v>122</v>
      </c>
      <c r="J91" s="4">
        <v>183000000</v>
      </c>
      <c r="K91" s="5">
        <f t="shared" si="27"/>
        <v>123</v>
      </c>
      <c r="L91" s="9">
        <f>ROUND($J91*1.637*0.8,0)</f>
        <v>239656800</v>
      </c>
      <c r="M91" s="3">
        <f t="shared" si="28"/>
        <v>124</v>
      </c>
      <c r="N91" s="10">
        <f>ROUND($J91*1.637*1.75*0.8,0)</f>
        <v>419399400</v>
      </c>
      <c r="O91" s="5">
        <f t="shared" si="29"/>
        <v>126</v>
      </c>
      <c r="P91" s="9">
        <f>ROUND($J91*1.637*1.75*2.1*0.8,0)</f>
        <v>880738740</v>
      </c>
      <c r="Q91" s="3">
        <f t="shared" si="30"/>
        <v>128</v>
      </c>
      <c r="R91" s="10">
        <f>ROUND($J91*1.637*1.75*2.1*2.3*0.542035092435954,0)</f>
        <v>1372500000</v>
      </c>
      <c r="S91" s="5">
        <f t="shared" si="31"/>
        <v>130</v>
      </c>
      <c r="T91" s="9">
        <f>ROUND($J91*1.637*1.75*2.1*2.3*2.6*0.544690061623969,0)</f>
        <v>3585979048</v>
      </c>
      <c r="U91" s="3">
        <f t="shared" si="32"/>
        <v>133</v>
      </c>
      <c r="V91" s="10">
        <f>ROUND($J91*1.637*1.75*2.1*2.3*2.6*3.2*0.547345030811984,0)</f>
        <v>11531065909</v>
      </c>
      <c r="W91" s="5">
        <f t="shared" si="33"/>
        <v>137</v>
      </c>
      <c r="X91" s="9">
        <f>ROUND($J91*1.637*1.75*2.1*2.3*2.6*3.2*4.2*0.55,0)</f>
        <v>48665395226</v>
      </c>
      <c r="Y91" s="3">
        <f t="shared" si="34"/>
        <v>139</v>
      </c>
      <c r="Z91" s="10">
        <f>ROUND($J91*1.637*1.75*2.1*2.3*2.6*3.2*4.2*2.4*0.55,0)</f>
        <v>116796948543</v>
      </c>
      <c r="AA91" s="5">
        <f t="shared" si="35"/>
        <v>141</v>
      </c>
      <c r="AB91" s="9">
        <f>ROUND($J91*1.637*1.75*2.1*2.3*2.6*3.2*4.2*2.4*2.5*0.55,0)</f>
        <v>291992371359</v>
      </c>
      <c r="AC91" s="3">
        <f t="shared" si="36"/>
        <v>143</v>
      </c>
      <c r="AD91" s="10">
        <f>ROUND($J91*1.637*1.75*2.1*2.3*2.6*3.2*4.2*2.4*2.5*2.8*0.55,0)</f>
        <v>817578639804</v>
      </c>
      <c r="AE91" s="5">
        <f t="shared" si="37"/>
        <v>146</v>
      </c>
      <c r="AF91" s="9">
        <f>ROUND($J91*1.637*1.75*2.1*2.3*2.6*3.2*4.2*2.4*2.5*2.8*3.2*0.55,0)</f>
        <v>2616251647374</v>
      </c>
      <c r="AG91" s="3">
        <f t="shared" si="38"/>
        <v>149</v>
      </c>
      <c r="AH91" s="10">
        <f>ROUND($J91*1.637*1.75*2.1*2.3*2.6*3.2*4.2*2.4*2.5*2.8*3.2*3.8*0.55,0)</f>
        <v>9941756260021</v>
      </c>
    </row>
    <row r="92" spans="1:34" x14ac:dyDescent="0.3">
      <c r="A92" s="2">
        <v>112</v>
      </c>
      <c r="B92" s="2" t="s">
        <v>172</v>
      </c>
      <c r="C92" s="2" t="s">
        <v>24</v>
      </c>
      <c r="D92" s="2" t="s">
        <v>40</v>
      </c>
      <c r="E92" s="2">
        <v>122</v>
      </c>
      <c r="F92" s="2" t="s">
        <v>26</v>
      </c>
      <c r="G92" s="2" t="s">
        <v>51</v>
      </c>
      <c r="H92" s="2">
        <v>31</v>
      </c>
      <c r="I92" s="3">
        <v>122</v>
      </c>
      <c r="J92" s="4">
        <v>630000000</v>
      </c>
      <c r="K92" s="5">
        <f t="shared" si="27"/>
        <v>123</v>
      </c>
      <c r="L92" s="9">
        <f>ROUND($J92*1.637*1,0)</f>
        <v>1031310000</v>
      </c>
      <c r="M92" s="3">
        <f t="shared" si="28"/>
        <v>124</v>
      </c>
      <c r="N92" s="10">
        <f>ROUND($J92*1.637*1.75*1,0)</f>
        <v>1804792500</v>
      </c>
      <c r="O92" s="5">
        <f t="shared" si="29"/>
        <v>126</v>
      </c>
      <c r="P92" s="9">
        <f>ROUND($J92*1.637*1.75*2.1*1,0)</f>
        <v>3790064250</v>
      </c>
      <c r="Q92" s="3">
        <f t="shared" si="30"/>
        <v>128</v>
      </c>
      <c r="R92" s="10">
        <f>ROUND($J92*1.637*1.75*2.1*2.3*1,0)</f>
        <v>8717147775</v>
      </c>
      <c r="S92" s="5">
        <f t="shared" si="31"/>
        <v>130</v>
      </c>
      <c r="T92" s="9">
        <f>ROUND($J92*1.637*1.75*2.1*2.3*2.6*1,0)</f>
        <v>22664584215</v>
      </c>
      <c r="U92" s="3">
        <f t="shared" si="32"/>
        <v>133</v>
      </c>
      <c r="V92" s="10">
        <f>ROUND($J92*1.637*1.75*2.1*2.3*2.6*3.2*1,0)</f>
        <v>72526669488</v>
      </c>
      <c r="W92" s="5">
        <f t="shared" si="33"/>
        <v>137</v>
      </c>
      <c r="X92" s="9">
        <f>ROUND($J92*1.637*1.75*2.1*2.3*2.6*3.2*4.2*1,0)</f>
        <v>304612011850</v>
      </c>
      <c r="Y92" s="3">
        <f t="shared" si="34"/>
        <v>139</v>
      </c>
      <c r="Z92" s="10">
        <f>ROUND($J92*1.637*1.75*2.1*2.3*2.6*3.2*4.2*2.4*1,0)</f>
        <v>731068828439</v>
      </c>
      <c r="AA92" s="5">
        <f t="shared" si="35"/>
        <v>141</v>
      </c>
      <c r="AB92" s="9">
        <f>ROUND($J92*1.637*1.75*2.1*2.3*2.6*3.2*4.2*2.4*2.5*1,0)</f>
        <v>1827672071098</v>
      </c>
      <c r="AC92" s="3">
        <f t="shared" si="36"/>
        <v>143</v>
      </c>
      <c r="AD92" s="10">
        <f>ROUND($J92*1.637*1.75*2.1*2.3*2.6*3.2*4.2*2.4*2.5*2.8*1,0)</f>
        <v>5117481799073</v>
      </c>
      <c r="AE92" s="5">
        <f t="shared" si="37"/>
        <v>146</v>
      </c>
      <c r="AF92" s="9">
        <f>ROUND($J92*1.637*1.75*2.1*2.3*2.6*3.2*4.2*2.4*2.5*2.8*3.2*1,0)</f>
        <v>16375941757035</v>
      </c>
      <c r="AG92" s="3">
        <f t="shared" si="38"/>
        <v>149</v>
      </c>
      <c r="AH92" s="10">
        <f>ROUND($J92*1.637*1.75*2.1*2.3*2.6*3.2*4.2*2.4*2.5*2.8*3.2*3.8*1,0)</f>
        <v>62228578676731</v>
      </c>
    </row>
    <row r="93" spans="1:34" x14ac:dyDescent="0.3">
      <c r="A93" s="2">
        <v>114</v>
      </c>
      <c r="B93" s="2" t="s">
        <v>173</v>
      </c>
      <c r="C93" s="2" t="s">
        <v>24</v>
      </c>
      <c r="D93" s="2" t="s">
        <v>64</v>
      </c>
      <c r="E93" s="2">
        <v>122</v>
      </c>
      <c r="F93" s="2" t="s">
        <v>174</v>
      </c>
      <c r="G93" s="2" t="s">
        <v>72</v>
      </c>
      <c r="H93" s="2">
        <v>31</v>
      </c>
      <c r="I93" s="3">
        <v>122</v>
      </c>
      <c r="J93" s="4">
        <v>254000000</v>
      </c>
      <c r="K93" s="5">
        <f t="shared" si="27"/>
        <v>123</v>
      </c>
      <c r="L93" s="9">
        <f>ROUND($J93*1.637*0.8,0)</f>
        <v>332638400</v>
      </c>
      <c r="M93" s="3">
        <f t="shared" si="28"/>
        <v>124</v>
      </c>
      <c r="N93" s="10">
        <f>ROUND($J93*1.637*1.75*0.8,0)</f>
        <v>582117200</v>
      </c>
      <c r="O93" s="5">
        <f t="shared" si="29"/>
        <v>126</v>
      </c>
      <c r="P93" s="9">
        <f>ROUND($J93*1.637*1.75*2.1*0.8,0)</f>
        <v>1222446120</v>
      </c>
      <c r="Q93" s="3">
        <f t="shared" si="30"/>
        <v>128</v>
      </c>
      <c r="R93" s="10">
        <f>ROUND($J93*1.637*1.75*2.1*2.3*0.542035092435954,0)</f>
        <v>1905000000</v>
      </c>
      <c r="S93" s="5">
        <f t="shared" si="31"/>
        <v>130</v>
      </c>
      <c r="T93" s="9">
        <f>ROUND($J93*1.637*1.75*2.1*2.3*2.6*0.544690061623969,0)</f>
        <v>4977260537</v>
      </c>
      <c r="U93" s="3">
        <f t="shared" si="32"/>
        <v>133</v>
      </c>
      <c r="V93" s="10">
        <f>ROUND($J93*1.637*1.75*2.1*2.3*2.6*3.2*0.547345030811984,0)</f>
        <v>16004867436</v>
      </c>
      <c r="W93" s="5">
        <f t="shared" si="33"/>
        <v>137</v>
      </c>
      <c r="X93" s="9">
        <f>ROUND($J93*1.637*1.75*2.1*2.3*2.6*3.2*4.2*0.55,0)</f>
        <v>67546504850</v>
      </c>
      <c r="Y93" s="3">
        <f t="shared" si="34"/>
        <v>139</v>
      </c>
      <c r="Z93" s="10">
        <f>ROUND($J93*1.637*1.75*2.1*2.3*2.6*3.2*4.2*2.4*0.55,0)</f>
        <v>162111611640</v>
      </c>
      <c r="AA93" s="5">
        <f t="shared" si="35"/>
        <v>141</v>
      </c>
      <c r="AB93" s="9">
        <f>ROUND($J93*1.637*1.75*2.1*2.3*2.6*3.2*4.2*2.4*2.5*0.55,0)</f>
        <v>405279029099</v>
      </c>
      <c r="AC93" s="3">
        <f t="shared" si="36"/>
        <v>143</v>
      </c>
      <c r="AD93" s="10">
        <f>ROUND($J93*1.637*1.75*2.1*2.3*2.6*3.2*4.2*2.4*2.5*2.8*0.55,0)</f>
        <v>1134781281477</v>
      </c>
      <c r="AE93" s="5">
        <f t="shared" si="37"/>
        <v>146</v>
      </c>
      <c r="AF93" s="9">
        <f>ROUND($J93*1.637*1.75*2.1*2.3*2.6*3.2*4.2*2.4*2.5*2.8*3.2*0.55,0)</f>
        <v>3631300100727</v>
      </c>
      <c r="AG93" s="3">
        <f t="shared" si="38"/>
        <v>149</v>
      </c>
      <c r="AH93" s="10">
        <f>ROUND($J93*1.637*1.75*2.1*2.3*2.6*3.2*4.2*2.4*2.5*2.8*3.2*3.8*0.55,0)</f>
        <v>13798940382761</v>
      </c>
    </row>
    <row r="94" spans="1:34" x14ac:dyDescent="0.3">
      <c r="A94" s="2">
        <v>117</v>
      </c>
      <c r="B94" s="2" t="s">
        <v>175</v>
      </c>
      <c r="C94" s="2" t="s">
        <v>24</v>
      </c>
      <c r="D94" s="2" t="s">
        <v>33</v>
      </c>
      <c r="E94" s="2">
        <v>122</v>
      </c>
      <c r="F94" s="2" t="s">
        <v>54</v>
      </c>
      <c r="G94" s="2" t="s">
        <v>57</v>
      </c>
      <c r="H94" s="2">
        <v>30</v>
      </c>
      <c r="I94" s="3">
        <v>122</v>
      </c>
      <c r="J94" s="4">
        <v>186000000</v>
      </c>
      <c r="K94" s="5">
        <f t="shared" si="27"/>
        <v>123</v>
      </c>
      <c r="L94" s="9">
        <f>ROUND($J94*1.637*1,0)</f>
        <v>304482000</v>
      </c>
      <c r="M94" s="3">
        <f t="shared" si="28"/>
        <v>124</v>
      </c>
      <c r="N94" s="10">
        <f>ROUND($J94*1.637*1.75*1,0)</f>
        <v>532843500</v>
      </c>
      <c r="O94" s="5">
        <f t="shared" si="29"/>
        <v>126</v>
      </c>
      <c r="P94" s="9">
        <f>ROUND($J94*1.637*1.75*2.1*1,0)</f>
        <v>1118971350</v>
      </c>
      <c r="Q94" s="3">
        <f t="shared" si="30"/>
        <v>128</v>
      </c>
      <c r="R94" s="10">
        <f>ROUND($J94*1.637*1.75*2.1*2.3*1,0)</f>
        <v>2573634105</v>
      </c>
      <c r="S94" s="5">
        <f t="shared" si="31"/>
        <v>130</v>
      </c>
      <c r="T94" s="9">
        <f>ROUND($J94*1.637*1.75*2.1*2.3*2.6*1,0)</f>
        <v>6691448673</v>
      </c>
      <c r="U94" s="3">
        <f t="shared" si="32"/>
        <v>133</v>
      </c>
      <c r="V94" s="10">
        <f>ROUND($J94*1.637*1.75*2.1*2.3*2.6*3.2*1,0)</f>
        <v>21412635754</v>
      </c>
      <c r="W94" s="5">
        <f t="shared" si="33"/>
        <v>137</v>
      </c>
      <c r="X94" s="9">
        <f>ROUND($J94*1.637*1.75*2.1*2.3*2.6*3.2*4.2*1,0)</f>
        <v>89933070165</v>
      </c>
      <c r="Y94" s="3">
        <f t="shared" si="34"/>
        <v>139</v>
      </c>
      <c r="Z94" s="10">
        <f>ROUND($J94*1.637*1.75*2.1*2.3*2.6*3.2*4.2*2.4*1,0)</f>
        <v>215839368396</v>
      </c>
      <c r="AA94" s="5">
        <f t="shared" si="35"/>
        <v>141</v>
      </c>
      <c r="AB94" s="9">
        <f>ROUND($J94*1.637*1.75*2.1*2.3*2.6*3.2*4.2*2.4*2.5*1,0)</f>
        <v>539598420991</v>
      </c>
      <c r="AC94" s="3">
        <f t="shared" si="36"/>
        <v>143</v>
      </c>
      <c r="AD94" s="10">
        <f>ROUND($J94*1.637*1.75*2.1*2.3*2.6*3.2*4.2*2.4*2.5*2.8*1,0)</f>
        <v>1510875578774</v>
      </c>
      <c r="AE94" s="5">
        <f t="shared" si="37"/>
        <v>146</v>
      </c>
      <c r="AF94" s="9">
        <f>ROUND($J94*1.637*1.75*2.1*2.3*2.6*3.2*4.2*2.4*2.5*2.8*3.2*1,0)</f>
        <v>4834801852077</v>
      </c>
      <c r="AG94" s="3">
        <f t="shared" si="38"/>
        <v>149</v>
      </c>
      <c r="AH94" s="10">
        <f>ROUND($J94*1.637*1.75*2.1*2.3*2.6*3.2*4.2*2.4*2.5*2.8*3.2*3.8*1,0)</f>
        <v>18372247037892</v>
      </c>
    </row>
    <row r="95" spans="1:34" x14ac:dyDescent="0.3">
      <c r="A95" s="2">
        <v>116</v>
      </c>
      <c r="B95" s="2" t="s">
        <v>176</v>
      </c>
      <c r="C95" s="2" t="s">
        <v>24</v>
      </c>
      <c r="D95" s="2" t="s">
        <v>102</v>
      </c>
      <c r="E95" s="2">
        <v>122</v>
      </c>
      <c r="F95" s="2" t="s">
        <v>54</v>
      </c>
      <c r="G95" s="2" t="s">
        <v>98</v>
      </c>
      <c r="H95" s="2">
        <v>31</v>
      </c>
      <c r="I95" s="3">
        <v>122</v>
      </c>
      <c r="J95" s="4">
        <v>529000000</v>
      </c>
      <c r="K95" s="5">
        <f t="shared" si="27"/>
        <v>123</v>
      </c>
      <c r="L95" s="9">
        <f>ROUND($J95*1.637*1,0)</f>
        <v>865973000</v>
      </c>
      <c r="M95" s="3">
        <f t="shared" si="28"/>
        <v>124</v>
      </c>
      <c r="N95" s="10">
        <f>ROUND($J95*1.637*1.75*1,0)</f>
        <v>1515452750</v>
      </c>
      <c r="O95" s="5">
        <f t="shared" si="29"/>
        <v>126</v>
      </c>
      <c r="P95" s="9">
        <f>ROUND($J95*1.637*1.75*2.1*1,0)</f>
        <v>3182450775</v>
      </c>
      <c r="Q95" s="3">
        <f t="shared" si="30"/>
        <v>128</v>
      </c>
      <c r="R95" s="10">
        <f>ROUND($J95*1.637*1.75*2.1*2.3*1,0)</f>
        <v>7319636783</v>
      </c>
      <c r="S95" s="5">
        <f t="shared" si="31"/>
        <v>130</v>
      </c>
      <c r="T95" s="9">
        <f>ROUND($J95*1.637*1.75*2.1*2.3*2.6*1,0)</f>
        <v>19031055635</v>
      </c>
      <c r="U95" s="3">
        <f t="shared" si="32"/>
        <v>133</v>
      </c>
      <c r="V95" s="10">
        <f>ROUND($J95*1.637*1.75*2.1*2.3*2.6*3.2*1,0)</f>
        <v>60899378030</v>
      </c>
      <c r="W95" s="5">
        <f t="shared" si="33"/>
        <v>137</v>
      </c>
      <c r="X95" s="9">
        <f>ROUND($J95*1.637*1.75*2.1*2.3*2.6*3.2*4.2*1,0)</f>
        <v>255777387728</v>
      </c>
      <c r="Y95" s="3">
        <f t="shared" si="34"/>
        <v>139</v>
      </c>
      <c r="Z95" s="10">
        <f>ROUND($J95*1.637*1.75*2.1*2.3*2.6*3.2*4.2*2.4*1,0)</f>
        <v>613865730546</v>
      </c>
      <c r="AA95" s="5">
        <f t="shared" si="35"/>
        <v>141</v>
      </c>
      <c r="AB95" s="9">
        <f>ROUND($J95*1.637*1.75*2.1*2.3*2.6*3.2*4.2*2.4*2.5*1,0)</f>
        <v>1534664326366</v>
      </c>
      <c r="AC95" s="3">
        <f t="shared" si="36"/>
        <v>143</v>
      </c>
      <c r="AD95" s="10">
        <f>ROUND($J95*1.637*1.75*2.1*2.3*2.6*3.2*4.2*2.4*2.5*2.8*1,0)</f>
        <v>4297060113825</v>
      </c>
      <c r="AE95" s="5">
        <f t="shared" si="37"/>
        <v>146</v>
      </c>
      <c r="AF95" s="9">
        <f>ROUND($J95*1.637*1.75*2.1*2.3*2.6*3.2*4.2*2.4*2.5*2.8*3.2*1,0)</f>
        <v>13750592364240</v>
      </c>
      <c r="AG95" s="3">
        <f t="shared" si="38"/>
        <v>149</v>
      </c>
      <c r="AH95" s="10">
        <f>ROUND($J95*1.637*1.75*2.1*2.3*2.6*3.2*4.2*2.4*2.5*2.8*3.2*3.8*1,0)</f>
        <v>52252250984112</v>
      </c>
    </row>
    <row r="96" spans="1:34" x14ac:dyDescent="0.3">
      <c r="A96" s="2">
        <v>105</v>
      </c>
      <c r="B96" s="2" t="s">
        <v>177</v>
      </c>
      <c r="C96" s="2" t="s">
        <v>24</v>
      </c>
      <c r="D96" s="2" t="s">
        <v>29</v>
      </c>
      <c r="E96" s="2">
        <v>122</v>
      </c>
      <c r="F96" s="2" t="s">
        <v>146</v>
      </c>
      <c r="G96" s="2" t="s">
        <v>72</v>
      </c>
      <c r="H96" s="2">
        <v>31</v>
      </c>
      <c r="I96" s="3">
        <v>122</v>
      </c>
      <c r="J96" s="4">
        <v>493000000</v>
      </c>
      <c r="K96" s="5">
        <f t="shared" si="27"/>
        <v>123</v>
      </c>
      <c r="L96" s="9">
        <f>ROUND($J96*1.637*0.8,0)</f>
        <v>645632800</v>
      </c>
      <c r="M96" s="3">
        <f t="shared" si="28"/>
        <v>124</v>
      </c>
      <c r="N96" s="10">
        <f>ROUND($J96*1.637*1.75*0.8,0)</f>
        <v>1129857400</v>
      </c>
      <c r="O96" s="5">
        <f t="shared" si="29"/>
        <v>126</v>
      </c>
      <c r="P96" s="9">
        <f>ROUND($J96*1.637*1.75*2.1*0.8,0)</f>
        <v>2372700540</v>
      </c>
      <c r="Q96" s="3">
        <f t="shared" si="30"/>
        <v>128</v>
      </c>
      <c r="R96" s="10">
        <f>ROUND($J96*1.637*1.75*2.1*2.3*0.542035092435954,0)</f>
        <v>3697500000</v>
      </c>
      <c r="S96" s="5">
        <f t="shared" si="31"/>
        <v>130</v>
      </c>
      <c r="T96" s="9">
        <f>ROUND($J96*1.637*1.75*2.1*2.3*2.6*0.544690061623969,0)</f>
        <v>9660588365</v>
      </c>
      <c r="U96" s="3">
        <f t="shared" si="32"/>
        <v>133</v>
      </c>
      <c r="V96" s="10">
        <f>ROUND($J96*1.637*1.75*2.1*2.3*2.6*3.2*0.547345030811984,0)</f>
        <v>31064565536</v>
      </c>
      <c r="W96" s="5">
        <f t="shared" si="33"/>
        <v>137</v>
      </c>
      <c r="X96" s="9">
        <f>ROUND($J96*1.637*1.75*2.1*2.3*2.6*3.2*4.2*0.55,0)</f>
        <v>131104042878</v>
      </c>
      <c r="Y96" s="3">
        <f t="shared" si="34"/>
        <v>139</v>
      </c>
      <c r="Z96" s="10">
        <f>ROUND($J96*1.637*1.75*2.1*2.3*2.6*3.2*4.2*2.4*0.55,0)</f>
        <v>314649702907</v>
      </c>
      <c r="AA96" s="5">
        <f t="shared" si="35"/>
        <v>141</v>
      </c>
      <c r="AB96" s="9">
        <f>ROUND($J96*1.637*1.75*2.1*2.3*2.6*3.2*4.2*2.4*2.5*0.55,0)</f>
        <v>786624257267</v>
      </c>
      <c r="AC96" s="3">
        <f t="shared" si="36"/>
        <v>143</v>
      </c>
      <c r="AD96" s="10">
        <f>ROUND($J96*1.637*1.75*2.1*2.3*2.6*3.2*4.2*2.4*2.5*2.8*0.55,0)</f>
        <v>2202547920347</v>
      </c>
      <c r="AE96" s="5">
        <f t="shared" si="37"/>
        <v>146</v>
      </c>
      <c r="AF96" s="9">
        <f>ROUND($J96*1.637*1.75*2.1*2.3*2.6*3.2*4.2*2.4*2.5*2.8*3.2*0.55,0)</f>
        <v>7048153345111</v>
      </c>
      <c r="AG96" s="3">
        <f t="shared" si="38"/>
        <v>149</v>
      </c>
      <c r="AH96" s="10">
        <f>ROUND($J96*1.637*1.75*2.1*2.3*2.6*3.2*4.2*2.4*2.5*2.8*3.2*3.8*0.55,0)</f>
        <v>26782982711422</v>
      </c>
    </row>
    <row r="97" spans="1:34" x14ac:dyDescent="0.3">
      <c r="A97" s="2">
        <v>44</v>
      </c>
      <c r="B97" s="2" t="s">
        <v>178</v>
      </c>
      <c r="C97" s="2" t="s">
        <v>24</v>
      </c>
      <c r="D97" s="2" t="s">
        <v>33</v>
      </c>
      <c r="E97" s="2">
        <v>122</v>
      </c>
      <c r="F97" s="2" t="s">
        <v>179</v>
      </c>
      <c r="G97" s="2" t="s">
        <v>57</v>
      </c>
      <c r="H97" s="2">
        <v>31</v>
      </c>
      <c r="I97" s="3">
        <v>122</v>
      </c>
      <c r="J97" s="4">
        <v>680000000</v>
      </c>
      <c r="K97" s="5">
        <f t="shared" si="27"/>
        <v>123</v>
      </c>
      <c r="L97" s="9">
        <f>ROUND($J97*1.637*1,0)</f>
        <v>1113160000</v>
      </c>
      <c r="M97" s="3">
        <f t="shared" si="28"/>
        <v>124</v>
      </c>
      <c r="N97" s="10">
        <f>ROUND($J97*1.637*1.75*1,0)</f>
        <v>1948030000</v>
      </c>
      <c r="O97" s="5">
        <f t="shared" si="29"/>
        <v>126</v>
      </c>
      <c r="P97" s="9">
        <f>ROUND($J97*1.637*1.75*2.1*1,0)</f>
        <v>4090863000</v>
      </c>
      <c r="Q97" s="3">
        <f t="shared" si="30"/>
        <v>128</v>
      </c>
      <c r="R97" s="10">
        <f>ROUND($J97*1.637*1.75*2.1*2.3*1,0)</f>
        <v>9408984900</v>
      </c>
      <c r="S97" s="5">
        <f t="shared" si="31"/>
        <v>130</v>
      </c>
      <c r="T97" s="9">
        <f>ROUND($J97*1.637*1.75*2.1*2.3*2.6*1,0)</f>
        <v>24463360740</v>
      </c>
      <c r="U97" s="3">
        <f t="shared" si="32"/>
        <v>133</v>
      </c>
      <c r="V97" s="10">
        <f>ROUND($J97*1.637*1.75*2.1*2.3*2.6*3.2*1,0)</f>
        <v>78282754368</v>
      </c>
      <c r="W97" s="5">
        <f t="shared" si="33"/>
        <v>137</v>
      </c>
      <c r="X97" s="9">
        <f>ROUND($J97*1.637*1.75*2.1*2.3*2.6*3.2*4.2*1,0)</f>
        <v>328787568346</v>
      </c>
      <c r="Y97" s="3">
        <f t="shared" si="34"/>
        <v>139</v>
      </c>
      <c r="Z97" s="10">
        <f>ROUND($J97*1.637*1.75*2.1*2.3*2.6*3.2*4.2*2.4*1,0)</f>
        <v>789090164029</v>
      </c>
      <c r="AA97" s="5">
        <f t="shared" si="35"/>
        <v>141</v>
      </c>
      <c r="AB97" s="9">
        <f>ROUND($J97*1.637*1.75*2.1*2.3*2.6*3.2*4.2*2.4*2.5*1,0)</f>
        <v>1972725410074</v>
      </c>
      <c r="AC97" s="3">
        <f t="shared" si="36"/>
        <v>143</v>
      </c>
      <c r="AD97" s="10">
        <f>ROUND($J97*1.637*1.75*2.1*2.3*2.6*3.2*4.2*2.4*2.5*2.8*1,0)</f>
        <v>5523631148206</v>
      </c>
      <c r="AE97" s="5">
        <f t="shared" si="37"/>
        <v>146</v>
      </c>
      <c r="AF97" s="9">
        <f>ROUND($J97*1.637*1.75*2.1*2.3*2.6*3.2*4.2*2.4*2.5*2.8*3.2*1,0)</f>
        <v>17675619674260</v>
      </c>
      <c r="AG97" s="3">
        <f t="shared" si="38"/>
        <v>149</v>
      </c>
      <c r="AH97" s="10">
        <f>ROUND($J97*1.637*1.75*2.1*2.3*2.6*3.2*4.2*2.4*2.5*2.8*3.2*3.8*1,0)</f>
        <v>67167354762186</v>
      </c>
    </row>
    <row r="98" spans="1:34" x14ac:dyDescent="0.3">
      <c r="A98" s="2">
        <v>48</v>
      </c>
      <c r="B98" s="2" t="s">
        <v>180</v>
      </c>
      <c r="C98" s="2" t="s">
        <v>24</v>
      </c>
      <c r="D98" s="2" t="s">
        <v>47</v>
      </c>
      <c r="E98" s="2">
        <v>122</v>
      </c>
      <c r="F98" s="2" t="s">
        <v>144</v>
      </c>
      <c r="G98" s="2" t="s">
        <v>98</v>
      </c>
      <c r="H98" s="2">
        <v>27</v>
      </c>
      <c r="I98" s="3">
        <v>122</v>
      </c>
      <c r="J98" s="4">
        <v>146000000</v>
      </c>
      <c r="K98" s="5">
        <f t="shared" si="27"/>
        <v>123</v>
      </c>
      <c r="L98" s="9">
        <f>ROUND($J98*1.637*0.8,0)</f>
        <v>191201600</v>
      </c>
      <c r="M98" s="3">
        <f t="shared" si="28"/>
        <v>124</v>
      </c>
      <c r="N98" s="10">
        <f>ROUND($J98*1.637*1.75*0.8,0)</f>
        <v>334602800</v>
      </c>
      <c r="O98" s="5">
        <f t="shared" si="29"/>
        <v>126</v>
      </c>
      <c r="P98" s="9">
        <f>ROUND($J98*1.637*1.75*2.1*0.8,0)</f>
        <v>702665880</v>
      </c>
      <c r="Q98" s="3">
        <f t="shared" si="30"/>
        <v>128</v>
      </c>
      <c r="R98" s="10">
        <f>ROUND($J98*1.637*1.75*2.1*2.3*0.542035092435954,0)</f>
        <v>1095000000</v>
      </c>
      <c r="S98" s="5">
        <f t="shared" si="31"/>
        <v>130</v>
      </c>
      <c r="T98" s="9">
        <f>ROUND($J98*1.637*1.75*2.1*2.3*2.6*0.544690061623969,0)</f>
        <v>2860945033</v>
      </c>
      <c r="U98" s="3">
        <f t="shared" si="32"/>
        <v>133</v>
      </c>
      <c r="V98" s="10">
        <f>ROUND($J98*1.637*1.75*2.1*2.3*2.6*3.2*0.547345030811984,0)</f>
        <v>9199648212</v>
      </c>
      <c r="W98" s="5">
        <f t="shared" si="33"/>
        <v>137</v>
      </c>
      <c r="X98" s="9">
        <f>ROUND($J98*1.637*1.75*2.1*2.3*2.6*3.2*4.2*0.55,0)</f>
        <v>38825943733</v>
      </c>
      <c r="Y98" s="3">
        <f t="shared" si="34"/>
        <v>139</v>
      </c>
      <c r="Z98" s="10">
        <f>ROUND($J98*1.637*1.75*2.1*2.3*2.6*3.2*4.2*2.4*0.55,0)</f>
        <v>93182264958</v>
      </c>
      <c r="AA98" s="5">
        <f t="shared" si="35"/>
        <v>141</v>
      </c>
      <c r="AB98" s="9">
        <f>ROUND($J98*1.637*1.75*2.1*2.3*2.6*3.2*4.2*2.4*2.5*0.55,0)</f>
        <v>232955662395</v>
      </c>
      <c r="AC98" s="3">
        <f t="shared" si="36"/>
        <v>143</v>
      </c>
      <c r="AD98" s="10">
        <f>ROUND($J98*1.637*1.75*2.1*2.3*2.6*3.2*4.2*2.4*2.5*2.8*0.55,0)</f>
        <v>652275854707</v>
      </c>
      <c r="AE98" s="5">
        <f t="shared" si="37"/>
        <v>146</v>
      </c>
      <c r="AF98" s="9">
        <f>ROUND($J98*1.637*1.75*2.1*2.3*2.6*3.2*4.2*2.4*2.5*2.8*3.2*0.55,0)</f>
        <v>2087282735063</v>
      </c>
      <c r="AG98" s="3">
        <f t="shared" si="38"/>
        <v>149</v>
      </c>
      <c r="AH98" s="10">
        <f>ROUND($J98*1.637*1.75*2.1*2.3*2.6*3.2*4.2*2.4*2.5*2.8*3.2*3.8*0.55,0)</f>
        <v>7931674393240</v>
      </c>
    </row>
    <row r="99" spans="1:34" x14ac:dyDescent="0.3">
      <c r="A99" s="2">
        <v>42</v>
      </c>
      <c r="B99" s="2" t="s">
        <v>181</v>
      </c>
      <c r="C99" s="2" t="s">
        <v>24</v>
      </c>
      <c r="D99" s="2" t="s">
        <v>25</v>
      </c>
      <c r="E99" s="2">
        <v>122</v>
      </c>
      <c r="F99" s="2" t="s">
        <v>123</v>
      </c>
      <c r="G99" s="2" t="s">
        <v>57</v>
      </c>
      <c r="H99" s="2">
        <v>31</v>
      </c>
      <c r="I99" s="3">
        <v>122</v>
      </c>
      <c r="J99" s="4">
        <v>362000000</v>
      </c>
      <c r="K99" s="5">
        <f t="shared" si="27"/>
        <v>123</v>
      </c>
      <c r="L99" s="9">
        <f t="shared" ref="L99:L104" si="42">ROUND($J99*1.637*1,0)</f>
        <v>592594000</v>
      </c>
      <c r="M99" s="3">
        <f t="shared" si="28"/>
        <v>124</v>
      </c>
      <c r="N99" s="10">
        <f t="shared" ref="N99:N104" si="43">ROUND($J99*1.637*1.75*1,0)</f>
        <v>1037039500</v>
      </c>
      <c r="O99" s="5">
        <f t="shared" si="29"/>
        <v>126</v>
      </c>
      <c r="P99" s="9">
        <f t="shared" ref="P99:P104" si="44">ROUND($J99*1.637*1.75*2.1*1,0)</f>
        <v>2177782950</v>
      </c>
      <c r="Q99" s="3">
        <f t="shared" si="30"/>
        <v>128</v>
      </c>
      <c r="R99" s="10">
        <f>ROUND($J99*1.637*1.75*2.1*2.3*1,0)</f>
        <v>5008900785</v>
      </c>
      <c r="S99" s="5">
        <f t="shared" si="31"/>
        <v>130</v>
      </c>
      <c r="T99" s="9">
        <f>ROUND($J99*1.637*1.75*2.1*2.3*2.6*1,0)</f>
        <v>13023142041</v>
      </c>
      <c r="U99" s="3">
        <f t="shared" si="32"/>
        <v>133</v>
      </c>
      <c r="V99" s="10">
        <f>ROUND($J99*1.637*1.75*2.1*2.3*2.6*3.2*1,0)</f>
        <v>41674054531</v>
      </c>
      <c r="W99" s="5">
        <f t="shared" si="33"/>
        <v>137</v>
      </c>
      <c r="X99" s="9">
        <f>ROUND($J99*1.637*1.75*2.1*2.3*2.6*3.2*4.2*1,0)</f>
        <v>175031029031</v>
      </c>
      <c r="Y99" s="3">
        <f t="shared" si="34"/>
        <v>139</v>
      </c>
      <c r="Z99" s="10">
        <f>ROUND($J99*1.637*1.75*2.1*2.3*2.6*3.2*4.2*2.4*1,0)</f>
        <v>420074469674</v>
      </c>
      <c r="AA99" s="5">
        <f t="shared" si="35"/>
        <v>141</v>
      </c>
      <c r="AB99" s="9">
        <f>ROUND($J99*1.637*1.75*2.1*2.3*2.6*3.2*4.2*2.4*2.5*1,0)</f>
        <v>1050186174186</v>
      </c>
      <c r="AC99" s="3">
        <f t="shared" si="36"/>
        <v>143</v>
      </c>
      <c r="AD99" s="10">
        <f>ROUND($J99*1.637*1.75*2.1*2.3*2.6*3.2*4.2*2.4*2.5*2.8*1,0)</f>
        <v>2940521287721</v>
      </c>
      <c r="AE99" s="5">
        <f t="shared" si="37"/>
        <v>146</v>
      </c>
      <c r="AF99" s="9">
        <f>ROUND($J99*1.637*1.75*2.1*2.3*2.6*3.2*4.2*2.4*2.5*2.8*3.2*1,0)</f>
        <v>9409668120709</v>
      </c>
      <c r="AG99" s="3">
        <f t="shared" si="38"/>
        <v>149</v>
      </c>
      <c r="AH99" s="10">
        <f>ROUND($J99*1.637*1.75*2.1*2.3*2.6*3.2*4.2*2.4*2.5*2.8*3.2*3.8*1,0)</f>
        <v>35756738858693</v>
      </c>
    </row>
    <row r="100" spans="1:34" x14ac:dyDescent="0.3">
      <c r="A100" s="2">
        <v>121</v>
      </c>
      <c r="B100" s="2" t="s">
        <v>182</v>
      </c>
      <c r="C100" s="2" t="s">
        <v>24</v>
      </c>
      <c r="D100" s="2" t="s">
        <v>102</v>
      </c>
      <c r="E100" s="2">
        <v>122</v>
      </c>
      <c r="F100" s="2" t="s">
        <v>183</v>
      </c>
      <c r="G100" s="2" t="s">
        <v>57</v>
      </c>
      <c r="H100" s="2">
        <v>30</v>
      </c>
      <c r="I100" s="3">
        <v>122</v>
      </c>
      <c r="J100" s="4">
        <v>418100000</v>
      </c>
      <c r="K100" s="5">
        <f t="shared" si="27"/>
        <v>123</v>
      </c>
      <c r="L100" s="9">
        <f t="shared" si="42"/>
        <v>684429700</v>
      </c>
      <c r="M100" s="3">
        <f t="shared" si="28"/>
        <v>124</v>
      </c>
      <c r="N100" s="10">
        <f t="shared" si="43"/>
        <v>1197751975</v>
      </c>
      <c r="O100" s="5">
        <f t="shared" si="29"/>
        <v>126</v>
      </c>
      <c r="P100" s="9">
        <f t="shared" si="44"/>
        <v>2515279148</v>
      </c>
      <c r="Q100" s="3">
        <f t="shared" si="30"/>
        <v>128</v>
      </c>
      <c r="R100" s="10">
        <f>ROUND($J100*1.637*1.75*2.1*2.3*1,0)</f>
        <v>5785142039</v>
      </c>
      <c r="S100" s="5">
        <f t="shared" si="31"/>
        <v>130</v>
      </c>
      <c r="T100" s="9">
        <f>ROUND($J100*1.637*1.75*2.1*2.3*2.6*1,0)</f>
        <v>15041369302</v>
      </c>
      <c r="U100" s="3">
        <f t="shared" si="32"/>
        <v>133</v>
      </c>
      <c r="V100" s="10">
        <f>ROUND($J100*1.637*1.75*2.1*2.3*2.6*3.2*1,0)</f>
        <v>48132381767</v>
      </c>
      <c r="W100" s="5">
        <f t="shared" si="33"/>
        <v>137</v>
      </c>
      <c r="X100" s="9">
        <f>ROUND($J100*1.637*1.75*2.1*2.3*2.6*3.2*4.2*1,0)</f>
        <v>202156003420</v>
      </c>
      <c r="Y100" s="3">
        <f t="shared" si="34"/>
        <v>139</v>
      </c>
      <c r="Z100" s="10">
        <f>ROUND($J100*1.637*1.75*2.1*2.3*2.6*3.2*4.2*2.4*1,0)</f>
        <v>485174408207</v>
      </c>
      <c r="AA100" s="5">
        <f t="shared" si="35"/>
        <v>141</v>
      </c>
      <c r="AB100" s="9">
        <f>ROUND($J100*1.637*1.75*2.1*2.3*2.6*3.2*4.2*2.4*2.5*1,0)</f>
        <v>1212936020517</v>
      </c>
      <c r="AC100" s="3">
        <f t="shared" si="36"/>
        <v>143</v>
      </c>
      <c r="AD100" s="10">
        <f>ROUND($J100*1.637*1.75*2.1*2.3*2.6*3.2*4.2*2.4*2.5*2.8*1,0)</f>
        <v>3396220857448</v>
      </c>
      <c r="AE100" s="5">
        <f t="shared" si="37"/>
        <v>146</v>
      </c>
      <c r="AF100" s="9">
        <f>ROUND($J100*1.637*1.75*2.1*2.3*2.6*3.2*4.2*2.4*2.5*2.8*3.2*1,0)</f>
        <v>10867906743835</v>
      </c>
      <c r="AG100" s="3">
        <f t="shared" si="38"/>
        <v>149</v>
      </c>
      <c r="AH100" s="10">
        <f>ROUND($J100*1.637*1.75*2.1*2.3*2.6*3.2*4.2*2.4*2.5*2.8*3.2*3.8*1,0)</f>
        <v>41298045626573</v>
      </c>
    </row>
    <row r="101" spans="1:34" x14ac:dyDescent="0.3">
      <c r="A101" s="2">
        <v>104</v>
      </c>
      <c r="B101" s="2" t="s">
        <v>184</v>
      </c>
      <c r="C101" s="2" t="s">
        <v>24</v>
      </c>
      <c r="D101" s="2" t="s">
        <v>45</v>
      </c>
      <c r="E101" s="2">
        <v>122</v>
      </c>
      <c r="F101" s="2" t="s">
        <v>97</v>
      </c>
      <c r="G101" s="2" t="s">
        <v>185</v>
      </c>
      <c r="H101" s="2">
        <v>32</v>
      </c>
      <c r="I101" s="3">
        <v>122</v>
      </c>
      <c r="J101" s="4">
        <v>531000000</v>
      </c>
      <c r="K101" s="5">
        <f t="shared" si="27"/>
        <v>123</v>
      </c>
      <c r="L101" s="9">
        <f t="shared" si="42"/>
        <v>869247000</v>
      </c>
      <c r="M101" s="3">
        <f t="shared" si="28"/>
        <v>124</v>
      </c>
      <c r="N101" s="10">
        <f t="shared" si="43"/>
        <v>1521182250</v>
      </c>
      <c r="O101" s="5">
        <f t="shared" si="29"/>
        <v>126</v>
      </c>
      <c r="P101" s="9">
        <f t="shared" si="44"/>
        <v>3194482725</v>
      </c>
      <c r="Q101" s="3">
        <f t="shared" si="30"/>
        <v>128</v>
      </c>
      <c r="R101" s="10">
        <f>ROUND($J101*1.637*1.75*2.1*2.3*1.25,0)</f>
        <v>9184137834</v>
      </c>
      <c r="S101" s="5">
        <f t="shared" si="31"/>
        <v>130</v>
      </c>
      <c r="T101" s="9">
        <f>ROUND($J101*1.637*1.75*2.1*2.3*2.6*1.25,0)</f>
        <v>23878758369</v>
      </c>
      <c r="U101" s="3">
        <f t="shared" si="32"/>
        <v>133</v>
      </c>
      <c r="V101" s="10">
        <f>ROUND($J101*1.637*1.75*2.1*2.3*2.6*3.2*1.25,0)</f>
        <v>76412026782</v>
      </c>
      <c r="W101" s="5">
        <f t="shared" si="33"/>
        <v>137</v>
      </c>
      <c r="X101" s="9">
        <f>ROUND($J101*1.637*1.75*2.1*2.3*2.6*3.2*4.2*1.25,0)</f>
        <v>320930512484</v>
      </c>
      <c r="Y101" s="3">
        <f t="shared" si="34"/>
        <v>139</v>
      </c>
      <c r="Z101" s="10">
        <f>ROUND($J101*1.637*1.75*2.1*2.3*2.6*3.2*4.2*2.4*1.25,0)</f>
        <v>770233229963</v>
      </c>
      <c r="AA101" s="5">
        <f t="shared" si="35"/>
        <v>141</v>
      </c>
      <c r="AB101" s="9">
        <f>ROUND($J101*1.637*1.75*2.1*2.3*2.6*3.2*4.2*2.4*2.5*1.25,0)</f>
        <v>1925583074906</v>
      </c>
      <c r="AC101" s="3">
        <f t="shared" si="36"/>
        <v>143</v>
      </c>
      <c r="AD101" s="10">
        <f>ROUND($J101*1.637*1.75*2.1*2.3*2.6*3.2*4.2*2.4*2.5*2.8*1.25,0)</f>
        <v>5391632609738</v>
      </c>
      <c r="AE101" s="5">
        <f t="shared" si="37"/>
        <v>146</v>
      </c>
      <c r="AF101" s="9">
        <f>ROUND($J101*1.637*1.75*2.1*2.3*2.6*3.2*4.2*2.4*2.5*2.8*3.2*1.25,0)</f>
        <v>17253224351161</v>
      </c>
      <c r="AG101" s="3">
        <f t="shared" si="38"/>
        <v>149</v>
      </c>
      <c r="AH101" s="10">
        <f>ROUND($J101*1.637*1.75*2.1*2.3*2.6*3.2*4.2*2.4*2.5*2.8*3.2*3.8*1.25,0)</f>
        <v>65562252534413</v>
      </c>
    </row>
    <row r="102" spans="1:34" x14ac:dyDescent="0.3">
      <c r="A102" s="2">
        <v>237</v>
      </c>
      <c r="B102" s="2" t="s">
        <v>186</v>
      </c>
      <c r="C102" s="2" t="s">
        <v>24</v>
      </c>
      <c r="D102" s="2" t="s">
        <v>75</v>
      </c>
      <c r="E102" s="2">
        <v>121</v>
      </c>
      <c r="F102" s="2" t="s">
        <v>56</v>
      </c>
      <c r="G102" s="2" t="s">
        <v>95</v>
      </c>
      <c r="H102" s="2">
        <v>30</v>
      </c>
      <c r="I102" s="3">
        <v>121</v>
      </c>
      <c r="J102" s="4">
        <v>118000000</v>
      </c>
      <c r="K102" s="5">
        <f t="shared" si="27"/>
        <v>122</v>
      </c>
      <c r="L102" s="9">
        <f t="shared" si="42"/>
        <v>193166000</v>
      </c>
      <c r="M102" s="3">
        <f t="shared" si="28"/>
        <v>123</v>
      </c>
      <c r="N102" s="10">
        <f t="shared" si="43"/>
        <v>338040500</v>
      </c>
      <c r="O102" s="5">
        <f t="shared" si="29"/>
        <v>125</v>
      </c>
      <c r="P102" s="9">
        <f t="shared" si="44"/>
        <v>709885050</v>
      </c>
      <c r="Q102" s="3">
        <f t="shared" si="30"/>
        <v>127</v>
      </c>
      <c r="R102" s="10">
        <f>ROUND($J102*1.637*1.75*2.1*2.3*1,0)</f>
        <v>1632735615</v>
      </c>
      <c r="S102" s="5">
        <f t="shared" si="31"/>
        <v>129</v>
      </c>
      <c r="T102" s="9">
        <f>ROUND($J102*1.637*1.75*2.1*2.3*2.6*1,0)</f>
        <v>4245112599</v>
      </c>
      <c r="U102" s="3">
        <f t="shared" si="32"/>
        <v>132</v>
      </c>
      <c r="V102" s="10">
        <f>ROUND($J102*1.637*1.75*2.1*2.3*2.6*3.2*1,0)</f>
        <v>13584360317</v>
      </c>
      <c r="W102" s="5">
        <f t="shared" si="33"/>
        <v>136</v>
      </c>
      <c r="X102" s="9">
        <f>ROUND($J102*1.637*1.75*2.1*2.3*2.6*3.2*4.2*1,0)</f>
        <v>57054313331</v>
      </c>
      <c r="Y102" s="3">
        <f t="shared" si="34"/>
        <v>138</v>
      </c>
      <c r="Z102" s="10">
        <f>ROUND($J102*1.637*1.75*2.1*2.3*2.6*3.2*4.2*2.4*1,0)</f>
        <v>136930351993</v>
      </c>
      <c r="AA102" s="5">
        <f t="shared" si="35"/>
        <v>140</v>
      </c>
      <c r="AB102" s="9">
        <f>ROUND($J102*1.637*1.75*2.1*2.3*2.6*3.2*4.2*2.4*2.5*1,0)</f>
        <v>342325879983</v>
      </c>
      <c r="AC102" s="3">
        <f t="shared" si="36"/>
        <v>142</v>
      </c>
      <c r="AD102" s="10">
        <f>ROUND($J102*1.637*1.75*2.1*2.3*2.6*3.2*4.2*2.4*2.5*2.8*1,0)</f>
        <v>958512463953</v>
      </c>
      <c r="AE102" s="5">
        <f t="shared" si="37"/>
        <v>145</v>
      </c>
      <c r="AF102" s="9">
        <f>ROUND($J102*1.637*1.75*2.1*2.3*2.6*3.2*4.2*2.4*2.5*2.8*3.2*1,0)</f>
        <v>3067239884651</v>
      </c>
      <c r="AG102" s="3">
        <f t="shared" si="38"/>
        <v>148</v>
      </c>
      <c r="AH102" s="10">
        <f>ROUND($J102*1.637*1.75*2.1*2.3*2.6*3.2*4.2*2.4*2.5*2.8*3.2*3.8*1,0)</f>
        <v>11655511561673</v>
      </c>
    </row>
    <row r="103" spans="1:34" x14ac:dyDescent="0.3">
      <c r="A103" s="2">
        <v>238</v>
      </c>
      <c r="B103" s="2" t="s">
        <v>187</v>
      </c>
      <c r="C103" s="2" t="s">
        <v>24</v>
      </c>
      <c r="D103" s="2" t="s">
        <v>102</v>
      </c>
      <c r="E103" s="2">
        <v>121</v>
      </c>
      <c r="F103" s="2" t="s">
        <v>54</v>
      </c>
      <c r="G103" s="2" t="s">
        <v>95</v>
      </c>
      <c r="H103" s="2">
        <v>30</v>
      </c>
      <c r="I103" s="3">
        <v>121</v>
      </c>
      <c r="J103" s="4">
        <v>163100000</v>
      </c>
      <c r="K103" s="5">
        <f t="shared" si="27"/>
        <v>122</v>
      </c>
      <c r="L103" s="9">
        <f t="shared" si="42"/>
        <v>266994700</v>
      </c>
      <c r="M103" s="3">
        <f t="shared" si="28"/>
        <v>123</v>
      </c>
      <c r="N103" s="10">
        <f t="shared" si="43"/>
        <v>467240725</v>
      </c>
      <c r="O103" s="5">
        <f t="shared" si="29"/>
        <v>125</v>
      </c>
      <c r="P103" s="9">
        <f t="shared" si="44"/>
        <v>981205523</v>
      </c>
      <c r="Q103" s="3">
        <f t="shared" si="30"/>
        <v>127</v>
      </c>
      <c r="R103" s="10">
        <f>ROUND($J103*1.637*1.75*2.1*2.3*1,0)</f>
        <v>2256772702</v>
      </c>
      <c r="S103" s="5">
        <f t="shared" si="31"/>
        <v>129</v>
      </c>
      <c r="T103" s="9">
        <f>ROUND($J103*1.637*1.75*2.1*2.3*2.6*1,0)</f>
        <v>5867609025</v>
      </c>
      <c r="U103" s="3">
        <f t="shared" si="32"/>
        <v>132</v>
      </c>
      <c r="V103" s="10">
        <f>ROUND($J103*1.637*1.75*2.1*2.3*2.6*3.2*1,0)</f>
        <v>18776348879</v>
      </c>
      <c r="W103" s="5">
        <f t="shared" si="33"/>
        <v>136</v>
      </c>
      <c r="X103" s="9">
        <f>ROUND($J103*1.637*1.75*2.1*2.3*2.6*3.2*4.2*1,0)</f>
        <v>78860665290</v>
      </c>
      <c r="Y103" s="3">
        <f t="shared" si="34"/>
        <v>138</v>
      </c>
      <c r="Z103" s="10">
        <f>ROUND($J103*1.637*1.75*2.1*2.3*2.6*3.2*4.2*2.4*1,0)</f>
        <v>189265596696</v>
      </c>
      <c r="AA103" s="5">
        <f t="shared" si="35"/>
        <v>140</v>
      </c>
      <c r="AB103" s="9">
        <f>ROUND($J103*1.637*1.75*2.1*2.3*2.6*3.2*4.2*2.4*2.5*1,0)</f>
        <v>473163991740</v>
      </c>
      <c r="AC103" s="3">
        <f t="shared" si="36"/>
        <v>142</v>
      </c>
      <c r="AD103" s="10">
        <f>ROUND($J103*1.637*1.75*2.1*2.3*2.6*3.2*4.2*2.4*2.5*2.8*1,0)</f>
        <v>1324859176871</v>
      </c>
      <c r="AE103" s="5">
        <f t="shared" si="37"/>
        <v>145</v>
      </c>
      <c r="AF103" s="9">
        <f>ROUND($J103*1.637*1.75*2.1*2.3*2.6*3.2*4.2*2.4*2.5*2.8*3.2*1,0)</f>
        <v>4239549365988</v>
      </c>
      <c r="AG103" s="3">
        <f t="shared" si="38"/>
        <v>148</v>
      </c>
      <c r="AH103" s="10">
        <f>ROUND($J103*1.637*1.75*2.1*2.3*2.6*3.2*4.2*2.4*2.5*2.8*3.2*3.8*1,0)</f>
        <v>16110287590754</v>
      </c>
    </row>
    <row r="104" spans="1:34" x14ac:dyDescent="0.3">
      <c r="A104" s="2">
        <v>47</v>
      </c>
      <c r="B104" s="2" t="s">
        <v>188</v>
      </c>
      <c r="C104" s="2" t="s">
        <v>24</v>
      </c>
      <c r="D104" s="2" t="s">
        <v>47</v>
      </c>
      <c r="E104" s="2">
        <v>121</v>
      </c>
      <c r="F104" s="2" t="s">
        <v>42</v>
      </c>
      <c r="G104" s="2" t="s">
        <v>57</v>
      </c>
      <c r="H104" s="2">
        <v>27</v>
      </c>
      <c r="I104" s="3">
        <v>121</v>
      </c>
      <c r="J104" s="4">
        <v>160400000</v>
      </c>
      <c r="K104" s="5">
        <f t="shared" si="27"/>
        <v>122</v>
      </c>
      <c r="L104" s="9">
        <f t="shared" si="42"/>
        <v>262574800</v>
      </c>
      <c r="M104" s="3">
        <f t="shared" si="28"/>
        <v>123</v>
      </c>
      <c r="N104" s="10">
        <f t="shared" si="43"/>
        <v>459505900</v>
      </c>
      <c r="O104" s="5">
        <f t="shared" si="29"/>
        <v>125</v>
      </c>
      <c r="P104" s="9">
        <f t="shared" si="44"/>
        <v>964962390</v>
      </c>
      <c r="Q104" s="3">
        <f t="shared" si="30"/>
        <v>127</v>
      </c>
      <c r="R104" s="10">
        <f>ROUND($J104*1.637*1.75*2.1*2.3*1,0)</f>
        <v>2219413497</v>
      </c>
      <c r="S104" s="5">
        <f t="shared" si="31"/>
        <v>129</v>
      </c>
      <c r="T104" s="9">
        <f>ROUND($J104*1.637*1.75*2.1*2.3*2.6*1,0)</f>
        <v>5770475092</v>
      </c>
      <c r="U104" s="3">
        <f t="shared" si="32"/>
        <v>132</v>
      </c>
      <c r="V104" s="10">
        <f>ROUND($J104*1.637*1.75*2.1*2.3*2.6*3.2*1,0)</f>
        <v>18465520295</v>
      </c>
      <c r="W104" s="5">
        <f t="shared" si="33"/>
        <v>136</v>
      </c>
      <c r="X104" s="9">
        <f>ROUND($J104*1.637*1.75*2.1*2.3*2.6*3.2*4.2*1,0)</f>
        <v>77555185239</v>
      </c>
      <c r="Y104" s="3">
        <f t="shared" si="34"/>
        <v>138</v>
      </c>
      <c r="Z104" s="10">
        <f>ROUND($J104*1.637*1.75*2.1*2.3*2.6*3.2*4.2*2.4*1,0)</f>
        <v>186132444574</v>
      </c>
      <c r="AA104" s="5">
        <f t="shared" si="35"/>
        <v>140</v>
      </c>
      <c r="AB104" s="9">
        <f>ROUND($J104*1.637*1.75*2.1*2.3*2.6*3.2*4.2*2.4*2.5*1,0)</f>
        <v>465331111435</v>
      </c>
      <c r="AC104" s="3">
        <f t="shared" si="36"/>
        <v>142</v>
      </c>
      <c r="AD104" s="10">
        <f>ROUND($J104*1.637*1.75*2.1*2.3*2.6*3.2*4.2*2.4*2.5*2.8*1,0)</f>
        <v>1302927112018</v>
      </c>
      <c r="AE104" s="5">
        <f t="shared" si="37"/>
        <v>145</v>
      </c>
      <c r="AF104" s="9">
        <f>ROUND($J104*1.637*1.75*2.1*2.3*2.6*3.2*4.2*2.4*2.5*2.8*3.2*1,0)</f>
        <v>4169366758458</v>
      </c>
      <c r="AG104" s="3">
        <f t="shared" si="38"/>
        <v>148</v>
      </c>
      <c r="AH104" s="10">
        <f>ROUND($J104*1.637*1.75*2.1*2.3*2.6*3.2*4.2*2.4*2.5*2.8*3.2*3.8*1,0)</f>
        <v>15843593682139</v>
      </c>
    </row>
    <row r="105" spans="1:34" x14ac:dyDescent="0.3">
      <c r="A105" s="2">
        <v>239</v>
      </c>
      <c r="B105" s="2" t="s">
        <v>189</v>
      </c>
      <c r="C105" s="2" t="s">
        <v>24</v>
      </c>
      <c r="D105" s="2" t="s">
        <v>102</v>
      </c>
      <c r="E105" s="2">
        <v>121</v>
      </c>
      <c r="F105" s="2" t="s">
        <v>62</v>
      </c>
      <c r="G105" s="2" t="s">
        <v>51</v>
      </c>
      <c r="H105" s="2">
        <v>30</v>
      </c>
      <c r="I105" s="3">
        <v>121</v>
      </c>
      <c r="J105" s="4">
        <v>172000000</v>
      </c>
      <c r="K105" s="5">
        <f t="shared" si="27"/>
        <v>122</v>
      </c>
      <c r="L105" s="9">
        <f>ROUND($J105*1.637*0.8,0)</f>
        <v>225251200</v>
      </c>
      <c r="M105" s="3">
        <f t="shared" si="28"/>
        <v>123</v>
      </c>
      <c r="N105" s="10">
        <f>ROUND($J105*1.637*1.75*0.8,0)</f>
        <v>394189600</v>
      </c>
      <c r="O105" s="5">
        <f t="shared" si="29"/>
        <v>125</v>
      </c>
      <c r="P105" s="9">
        <f>ROUND($J105*1.637*1.75*2.1*0.8,0)</f>
        <v>827798160</v>
      </c>
      <c r="Q105" s="3">
        <f t="shared" si="30"/>
        <v>127</v>
      </c>
      <c r="R105" s="10">
        <f>ROUND($J105*1.637*1.75*2.1*2.3*0.542035092435954,0)</f>
        <v>1290000000</v>
      </c>
      <c r="S105" s="5">
        <f t="shared" si="31"/>
        <v>129</v>
      </c>
      <c r="T105" s="9">
        <f>ROUND($J105*1.637*1.75*2.1*2.3*2.6*0.544690061623969,0)</f>
        <v>3370428395</v>
      </c>
      <c r="U105" s="3">
        <f t="shared" si="32"/>
        <v>132</v>
      </c>
      <c r="V105" s="10">
        <f>ROUND($J105*1.637*1.75*2.1*2.3*2.6*3.2*0.547345030811984,0)</f>
        <v>10837941729</v>
      </c>
      <c r="W105" s="5">
        <f t="shared" si="33"/>
        <v>136</v>
      </c>
      <c r="X105" s="9">
        <f>ROUND($J105*1.637*1.75*2.1*2.3*2.6*3.2*4.2*0.55,0)</f>
        <v>45740152890</v>
      </c>
      <c r="Y105" s="3">
        <f t="shared" si="34"/>
        <v>138</v>
      </c>
      <c r="Z105" s="10">
        <f>ROUND($J105*1.637*1.75*2.1*2.3*2.6*3.2*4.2*2.4*0.55,0)</f>
        <v>109776366937</v>
      </c>
      <c r="AA105" s="5">
        <f t="shared" si="35"/>
        <v>140</v>
      </c>
      <c r="AB105" s="9">
        <f>ROUND($J105*1.637*1.75*2.1*2.3*2.6*3.2*4.2*2.4*2.5*0.55,0)</f>
        <v>274440917343</v>
      </c>
      <c r="AC105" s="3">
        <f t="shared" si="36"/>
        <v>142</v>
      </c>
      <c r="AD105" s="10">
        <f>ROUND($J105*1.637*1.75*2.1*2.3*2.6*3.2*4.2*2.4*2.5*2.8*0.55,0)</f>
        <v>768434568559</v>
      </c>
      <c r="AE105" s="5">
        <f t="shared" si="37"/>
        <v>145</v>
      </c>
      <c r="AF105" s="9">
        <f>ROUND($J105*1.637*1.75*2.1*2.3*2.6*3.2*4.2*2.4*2.5*2.8*3.2*0.55,0)</f>
        <v>2458990619390</v>
      </c>
      <c r="AG105" s="3">
        <f t="shared" si="38"/>
        <v>148</v>
      </c>
      <c r="AH105" s="10">
        <f>ROUND($J105*1.637*1.75*2.1*2.3*2.6*3.2*4.2*2.4*2.5*2.8*3.2*3.8*0.55,0)</f>
        <v>9344164353681</v>
      </c>
    </row>
    <row r="106" spans="1:34" x14ac:dyDescent="0.3">
      <c r="A106" s="2">
        <v>240</v>
      </c>
      <c r="B106" s="2" t="s">
        <v>190</v>
      </c>
      <c r="C106" s="2" t="s">
        <v>24</v>
      </c>
      <c r="D106" s="2" t="s">
        <v>90</v>
      </c>
      <c r="E106" s="2">
        <v>121</v>
      </c>
      <c r="F106" s="2" t="s">
        <v>62</v>
      </c>
      <c r="G106" s="2" t="s">
        <v>51</v>
      </c>
      <c r="H106" s="2">
        <v>30</v>
      </c>
      <c r="I106" s="3">
        <v>121</v>
      </c>
      <c r="J106" s="4">
        <v>242000000</v>
      </c>
      <c r="K106" s="5">
        <f t="shared" si="27"/>
        <v>122</v>
      </c>
      <c r="L106" s="9">
        <f>ROUND($J106*1.637*1,0)</f>
        <v>396154000</v>
      </c>
      <c r="M106" s="3">
        <f t="shared" si="28"/>
        <v>123</v>
      </c>
      <c r="N106" s="10">
        <f>ROUND($J106*1.637*1.75*1,0)</f>
        <v>693269500</v>
      </c>
      <c r="O106" s="5">
        <f t="shared" si="29"/>
        <v>125</v>
      </c>
      <c r="P106" s="9">
        <f>ROUND($J106*1.637*1.75*2.1*1,0)</f>
        <v>1455865950</v>
      </c>
      <c r="Q106" s="3">
        <f t="shared" si="30"/>
        <v>127</v>
      </c>
      <c r="R106" s="10">
        <f>ROUND($J106*1.637*1.75*2.1*2.3*1,0)</f>
        <v>3348491685</v>
      </c>
      <c r="S106" s="5">
        <f t="shared" si="31"/>
        <v>129</v>
      </c>
      <c r="T106" s="9">
        <f>ROUND($J106*1.637*1.75*2.1*2.3*2.6*1,0)</f>
        <v>8706078381</v>
      </c>
      <c r="U106" s="3">
        <f t="shared" si="32"/>
        <v>132</v>
      </c>
      <c r="V106" s="10">
        <f>ROUND($J106*1.637*1.75*2.1*2.3*2.6*3.2*1,0)</f>
        <v>27859450819</v>
      </c>
      <c r="W106" s="5">
        <f t="shared" si="33"/>
        <v>136</v>
      </c>
      <c r="X106" s="9">
        <f>ROUND($J106*1.637*1.75*2.1*2.3*2.6*3.2*4.2*1,0)</f>
        <v>117009693441</v>
      </c>
      <c r="Y106" s="3">
        <f t="shared" si="34"/>
        <v>138</v>
      </c>
      <c r="Z106" s="10">
        <f>ROUND($J106*1.637*1.75*2.1*2.3*2.6*3.2*4.2*2.4*1,0)</f>
        <v>280823264258</v>
      </c>
      <c r="AA106" s="5">
        <f t="shared" si="35"/>
        <v>140</v>
      </c>
      <c r="AB106" s="9">
        <f>ROUND($J106*1.637*1.75*2.1*2.3*2.6*3.2*4.2*2.4*2.5*1,0)</f>
        <v>702058160644</v>
      </c>
      <c r="AC106" s="3">
        <f t="shared" si="36"/>
        <v>142</v>
      </c>
      <c r="AD106" s="10">
        <f>ROUND($J106*1.637*1.75*2.1*2.3*2.6*3.2*4.2*2.4*2.5*2.8*1,0)</f>
        <v>1965762849803</v>
      </c>
      <c r="AE106" s="5">
        <f t="shared" si="37"/>
        <v>145</v>
      </c>
      <c r="AF106" s="9">
        <f>ROUND($J106*1.637*1.75*2.1*2.3*2.6*3.2*4.2*2.4*2.5*2.8*3.2*1,0)</f>
        <v>6290441119369</v>
      </c>
      <c r="AG106" s="3">
        <f t="shared" si="38"/>
        <v>148</v>
      </c>
      <c r="AH106" s="10">
        <f>ROUND($J106*1.637*1.75*2.1*2.3*2.6*3.2*4.2*2.4*2.5*2.8*3.2*3.8*1,0)</f>
        <v>23903676253602</v>
      </c>
    </row>
    <row r="107" spans="1:34" x14ac:dyDescent="0.3">
      <c r="A107" s="2">
        <v>243</v>
      </c>
      <c r="B107" s="2" t="s">
        <v>191</v>
      </c>
      <c r="C107" s="2" t="s">
        <v>24</v>
      </c>
      <c r="D107" s="2" t="s">
        <v>40</v>
      </c>
      <c r="E107" s="2">
        <v>121</v>
      </c>
      <c r="F107" s="2" t="s">
        <v>120</v>
      </c>
      <c r="G107" s="2" t="s">
        <v>72</v>
      </c>
      <c r="H107" s="2">
        <v>30</v>
      </c>
      <c r="I107" s="3">
        <v>121</v>
      </c>
      <c r="J107" s="4">
        <v>152000000</v>
      </c>
      <c r="K107" s="5">
        <f t="shared" si="27"/>
        <v>122</v>
      </c>
      <c r="L107" s="9">
        <f>ROUND($J107*1.637*0.8,0)</f>
        <v>199059200</v>
      </c>
      <c r="M107" s="3">
        <f t="shared" si="28"/>
        <v>123</v>
      </c>
      <c r="N107" s="10">
        <f>ROUND($J107*1.637*1.75*0.8,0)</f>
        <v>348353600</v>
      </c>
      <c r="O107" s="5">
        <f t="shared" si="29"/>
        <v>125</v>
      </c>
      <c r="P107" s="9">
        <f>ROUND($J107*1.637*1.75*2.1*0.8,0)</f>
        <v>731542560</v>
      </c>
      <c r="Q107" s="3">
        <f t="shared" si="30"/>
        <v>127</v>
      </c>
      <c r="R107" s="10">
        <f>ROUND($J107*1.637*1.75*2.1*2.3*0.542035092435954,0)</f>
        <v>1140000000</v>
      </c>
      <c r="S107" s="5">
        <f t="shared" si="31"/>
        <v>129</v>
      </c>
      <c r="T107" s="9">
        <f>ROUND($J107*1.637*1.75*2.1*2.3*2.6*0.544690061623969,0)</f>
        <v>2978518117</v>
      </c>
      <c r="U107" s="3">
        <f t="shared" si="32"/>
        <v>132</v>
      </c>
      <c r="V107" s="10">
        <f>ROUND($J107*1.637*1.75*2.1*2.3*2.6*3.2*0.547345030811984,0)</f>
        <v>9577715946</v>
      </c>
      <c r="W107" s="5">
        <f t="shared" si="33"/>
        <v>136</v>
      </c>
      <c r="X107" s="9">
        <f>ROUND($J107*1.637*1.75*2.1*2.3*2.6*3.2*4.2*0.55,0)</f>
        <v>40421530461</v>
      </c>
      <c r="Y107" s="3">
        <f t="shared" si="34"/>
        <v>138</v>
      </c>
      <c r="Z107" s="10">
        <f>ROUND($J107*1.637*1.75*2.1*2.3*2.6*3.2*4.2*2.4*0.55,0)</f>
        <v>97011673107</v>
      </c>
      <c r="AA107" s="5">
        <f t="shared" si="35"/>
        <v>140</v>
      </c>
      <c r="AB107" s="9">
        <f>ROUND($J107*1.637*1.75*2.1*2.3*2.6*3.2*4.2*2.4*2.5*0.55,0)</f>
        <v>242529182768</v>
      </c>
      <c r="AC107" s="3">
        <f t="shared" si="36"/>
        <v>142</v>
      </c>
      <c r="AD107" s="10">
        <f>ROUND($J107*1.637*1.75*2.1*2.3*2.6*3.2*4.2*2.4*2.5*2.8*0.55,0)</f>
        <v>679081711750</v>
      </c>
      <c r="AE107" s="5">
        <f t="shared" si="37"/>
        <v>145</v>
      </c>
      <c r="AF107" s="9">
        <f>ROUND($J107*1.637*1.75*2.1*2.3*2.6*3.2*4.2*2.4*2.5*2.8*3.2*0.55,0)</f>
        <v>2173061477600</v>
      </c>
      <c r="AG107" s="3">
        <f t="shared" si="38"/>
        <v>148</v>
      </c>
      <c r="AH107" s="10">
        <f>ROUND($J107*1.637*1.75*2.1*2.3*2.6*3.2*4.2*2.4*2.5*2.8*3.2*3.8*0.55,0)</f>
        <v>8257633614881</v>
      </c>
    </row>
    <row r="108" spans="1:34" x14ac:dyDescent="0.3">
      <c r="A108" s="2">
        <v>244</v>
      </c>
      <c r="B108" s="2" t="s">
        <v>192</v>
      </c>
      <c r="C108" s="2" t="s">
        <v>24</v>
      </c>
      <c r="D108" s="2" t="s">
        <v>40</v>
      </c>
      <c r="E108" s="2">
        <v>121</v>
      </c>
      <c r="F108" s="2" t="s">
        <v>56</v>
      </c>
      <c r="G108" s="2" t="s">
        <v>95</v>
      </c>
      <c r="H108" s="2">
        <v>30</v>
      </c>
      <c r="I108" s="3">
        <v>121</v>
      </c>
      <c r="J108" s="4">
        <v>277000000</v>
      </c>
      <c r="K108" s="5">
        <f t="shared" si="27"/>
        <v>122</v>
      </c>
      <c r="L108" s="9">
        <f>ROUND($J108*1.637*1,0)</f>
        <v>453449000</v>
      </c>
      <c r="M108" s="3">
        <f t="shared" si="28"/>
        <v>123</v>
      </c>
      <c r="N108" s="10">
        <f>ROUND($J108*1.637*1.75*1,0)</f>
        <v>793535750</v>
      </c>
      <c r="O108" s="5">
        <f t="shared" si="29"/>
        <v>125</v>
      </c>
      <c r="P108" s="9">
        <f>ROUND($J108*1.637*1.75*2.1*1,0)</f>
        <v>1666425075</v>
      </c>
      <c r="Q108" s="3">
        <f t="shared" si="30"/>
        <v>127</v>
      </c>
      <c r="R108" s="10">
        <f>ROUND($J108*1.637*1.75*2.1*2.3*1,0)</f>
        <v>3832777673</v>
      </c>
      <c r="S108" s="5">
        <f t="shared" si="31"/>
        <v>129</v>
      </c>
      <c r="T108" s="9">
        <f>ROUND($J108*1.637*1.75*2.1*2.3*2.6*1,0)</f>
        <v>9965221949</v>
      </c>
      <c r="U108" s="3">
        <f t="shared" si="32"/>
        <v>132</v>
      </c>
      <c r="V108" s="10">
        <f>ROUND($J108*1.637*1.75*2.1*2.3*2.6*3.2*1,0)</f>
        <v>31888710235</v>
      </c>
      <c r="W108" s="5">
        <f t="shared" si="33"/>
        <v>136</v>
      </c>
      <c r="X108" s="9">
        <f>ROUND($J108*1.637*1.75*2.1*2.3*2.6*3.2*4.2*1,0)</f>
        <v>133932582988</v>
      </c>
      <c r="Y108" s="3">
        <f t="shared" si="34"/>
        <v>138</v>
      </c>
      <c r="Z108" s="10">
        <f>ROUND($J108*1.637*1.75*2.1*2.3*2.6*3.2*4.2*2.4*1,0)</f>
        <v>321438199171</v>
      </c>
      <c r="AA108" s="5">
        <f t="shared" si="35"/>
        <v>140</v>
      </c>
      <c r="AB108" s="9">
        <f>ROUND($J108*1.637*1.75*2.1*2.3*2.6*3.2*4.2*2.4*2.5*1,0)</f>
        <v>803595497927</v>
      </c>
      <c r="AC108" s="3">
        <f t="shared" si="36"/>
        <v>142</v>
      </c>
      <c r="AD108" s="10">
        <f>ROUND($J108*1.637*1.75*2.1*2.3*2.6*3.2*4.2*2.4*2.5*2.8*1,0)</f>
        <v>2250067394196</v>
      </c>
      <c r="AE108" s="5">
        <f t="shared" si="37"/>
        <v>145</v>
      </c>
      <c r="AF108" s="9">
        <f>ROUND($J108*1.637*1.75*2.1*2.3*2.6*3.2*4.2*2.4*2.5*2.8*3.2*1,0)</f>
        <v>7200215661426</v>
      </c>
      <c r="AG108" s="3">
        <f t="shared" si="38"/>
        <v>148</v>
      </c>
      <c r="AH108" s="10">
        <f>ROUND($J108*1.637*1.75*2.1*2.3*2.6*3.2*4.2*2.4*2.5*2.8*3.2*3.8*1,0)</f>
        <v>27360819513420</v>
      </c>
    </row>
    <row r="109" spans="1:34" x14ac:dyDescent="0.3">
      <c r="A109" s="2">
        <v>242</v>
      </c>
      <c r="B109" s="2" t="s">
        <v>193</v>
      </c>
      <c r="C109" s="2" t="s">
        <v>24</v>
      </c>
      <c r="D109" s="2" t="s">
        <v>102</v>
      </c>
      <c r="E109" s="2">
        <v>121</v>
      </c>
      <c r="F109" s="2" t="s">
        <v>194</v>
      </c>
      <c r="G109" s="2" t="s">
        <v>98</v>
      </c>
      <c r="H109" s="2">
        <v>30</v>
      </c>
      <c r="I109" s="3">
        <v>121</v>
      </c>
      <c r="J109" s="4">
        <v>144000000</v>
      </c>
      <c r="K109" s="5">
        <f t="shared" si="27"/>
        <v>122</v>
      </c>
      <c r="L109" s="9">
        <f>ROUND($J109*1.637*1,0)</f>
        <v>235728000</v>
      </c>
      <c r="M109" s="3">
        <f t="shared" si="28"/>
        <v>123</v>
      </c>
      <c r="N109" s="10">
        <f>ROUND($J109*1.637*1.75*1,0)</f>
        <v>412524000</v>
      </c>
      <c r="O109" s="5">
        <f t="shared" si="29"/>
        <v>125</v>
      </c>
      <c r="P109" s="9">
        <f>ROUND($J109*1.637*1.75*2.1*1,0)</f>
        <v>866300400</v>
      </c>
      <c r="Q109" s="3">
        <f t="shared" si="30"/>
        <v>127</v>
      </c>
      <c r="R109" s="10">
        <f>ROUND($J109*1.637*1.75*2.1*2.3*1,0)</f>
        <v>1992490920</v>
      </c>
      <c r="S109" s="5">
        <f t="shared" si="31"/>
        <v>129</v>
      </c>
      <c r="T109" s="9">
        <f>ROUND($J109*1.637*1.75*2.1*2.3*2.6*1,0)</f>
        <v>5180476392</v>
      </c>
      <c r="U109" s="3">
        <f t="shared" si="32"/>
        <v>132</v>
      </c>
      <c r="V109" s="10">
        <f>ROUND($J109*1.637*1.75*2.1*2.3*2.6*3.2*1,0)</f>
        <v>16577524454</v>
      </c>
      <c r="W109" s="5">
        <f t="shared" si="33"/>
        <v>136</v>
      </c>
      <c r="X109" s="9">
        <f>ROUND($J109*1.637*1.75*2.1*2.3*2.6*3.2*4.2*1,0)</f>
        <v>69625602708</v>
      </c>
      <c r="Y109" s="3">
        <f t="shared" si="34"/>
        <v>138</v>
      </c>
      <c r="Z109" s="10">
        <f>ROUND($J109*1.637*1.75*2.1*2.3*2.6*3.2*4.2*2.4*1,0)</f>
        <v>167101446500</v>
      </c>
      <c r="AA109" s="5">
        <f t="shared" si="35"/>
        <v>140</v>
      </c>
      <c r="AB109" s="9">
        <f>ROUND($J109*1.637*1.75*2.1*2.3*2.6*3.2*4.2*2.4*2.5*1,0)</f>
        <v>417753616251</v>
      </c>
      <c r="AC109" s="3">
        <f t="shared" si="36"/>
        <v>142</v>
      </c>
      <c r="AD109" s="10">
        <f>ROUND($J109*1.637*1.75*2.1*2.3*2.6*3.2*4.2*2.4*2.5*2.8*1,0)</f>
        <v>1169710125502</v>
      </c>
      <c r="AE109" s="5">
        <f t="shared" si="37"/>
        <v>145</v>
      </c>
      <c r="AF109" s="9">
        <f>ROUND($J109*1.637*1.75*2.1*2.3*2.6*3.2*4.2*2.4*2.5*2.8*3.2*1,0)</f>
        <v>3743072401608</v>
      </c>
      <c r="AG109" s="3">
        <f t="shared" si="38"/>
        <v>148</v>
      </c>
      <c r="AH109" s="10">
        <f>ROUND($J109*1.637*1.75*2.1*2.3*2.6*3.2*4.2*2.4*2.5*2.8*3.2*3.8*1,0)</f>
        <v>14223675126110</v>
      </c>
    </row>
    <row r="110" spans="1:34" x14ac:dyDescent="0.3">
      <c r="A110" s="2">
        <v>245</v>
      </c>
      <c r="B110" s="2" t="s">
        <v>195</v>
      </c>
      <c r="C110" s="2" t="s">
        <v>24</v>
      </c>
      <c r="D110" s="2" t="s">
        <v>40</v>
      </c>
      <c r="E110" s="2">
        <v>121</v>
      </c>
      <c r="F110" s="2" t="s">
        <v>42</v>
      </c>
      <c r="G110" s="2" t="s">
        <v>72</v>
      </c>
      <c r="H110" s="2">
        <v>30</v>
      </c>
      <c r="I110" s="3">
        <v>121</v>
      </c>
      <c r="J110" s="4">
        <v>257900000</v>
      </c>
      <c r="K110" s="5">
        <f t="shared" si="27"/>
        <v>122</v>
      </c>
      <c r="L110" s="9">
        <f>ROUND($J110*1.637*0.8,0)</f>
        <v>337745840</v>
      </c>
      <c r="M110" s="3">
        <f t="shared" si="28"/>
        <v>123</v>
      </c>
      <c r="N110" s="10">
        <f>ROUND($J110*1.637*1.75*0.8,0)</f>
        <v>591055220</v>
      </c>
      <c r="O110" s="5">
        <f t="shared" si="29"/>
        <v>125</v>
      </c>
      <c r="P110" s="9">
        <f>ROUND($J110*1.637*1.75*2.1*0.8,0)</f>
        <v>1241215962</v>
      </c>
      <c r="Q110" s="3">
        <f t="shared" si="30"/>
        <v>127</v>
      </c>
      <c r="R110" s="10">
        <f>ROUND($J110*1.637*1.75*2.1*2.3*0.542035092435954,0)</f>
        <v>1934250000</v>
      </c>
      <c r="S110" s="5">
        <f t="shared" si="31"/>
        <v>129</v>
      </c>
      <c r="T110" s="9">
        <f>ROUND($J110*1.637*1.75*2.1*2.3*2.6*0.544690061623969,0)</f>
        <v>5053683041</v>
      </c>
      <c r="U110" s="3">
        <f t="shared" si="32"/>
        <v>132</v>
      </c>
      <c r="V110" s="10">
        <f>ROUND($J110*1.637*1.75*2.1*2.3*2.6*3.2*0.547345030811984,0)</f>
        <v>16250611464</v>
      </c>
      <c r="W110" s="5">
        <f t="shared" si="33"/>
        <v>136</v>
      </c>
      <c r="X110" s="9">
        <f>ROUND($J110*1.637*1.75*2.1*2.3*2.6*3.2*4.2*0.55,0)</f>
        <v>68583636224</v>
      </c>
      <c r="Y110" s="3">
        <f t="shared" si="34"/>
        <v>138</v>
      </c>
      <c r="Z110" s="10">
        <f>ROUND($J110*1.637*1.75*2.1*2.3*2.6*3.2*4.2*2.4*0.55,0)</f>
        <v>164600726936</v>
      </c>
      <c r="AA110" s="5">
        <f t="shared" si="35"/>
        <v>140</v>
      </c>
      <c r="AB110" s="9">
        <f>ROUND($J110*1.637*1.75*2.1*2.3*2.6*3.2*4.2*2.4*2.5*0.55,0)</f>
        <v>411501817341</v>
      </c>
      <c r="AC110" s="3">
        <f t="shared" si="36"/>
        <v>142</v>
      </c>
      <c r="AD110" s="10">
        <f>ROUND($J110*1.637*1.75*2.1*2.3*2.6*3.2*4.2*2.4*2.5*2.8*0.55,0)</f>
        <v>1152205088555</v>
      </c>
      <c r="AE110" s="5">
        <f t="shared" si="37"/>
        <v>145</v>
      </c>
      <c r="AF110" s="9">
        <f>ROUND($J110*1.637*1.75*2.1*2.3*2.6*3.2*4.2*2.4*2.5*2.8*3.2*0.55,0)</f>
        <v>3687056283375</v>
      </c>
      <c r="AG110" s="3">
        <f t="shared" si="38"/>
        <v>148</v>
      </c>
      <c r="AH110" s="10">
        <f>ROUND($J110*1.637*1.75*2.1*2.3*2.6*3.2*4.2*2.4*2.5*2.8*3.2*3.8*0.55,0)</f>
        <v>14010813876827</v>
      </c>
    </row>
    <row r="111" spans="1:34" x14ac:dyDescent="0.3">
      <c r="A111" s="2">
        <v>122</v>
      </c>
      <c r="B111" s="2" t="s">
        <v>196</v>
      </c>
      <c r="C111" s="2" t="s">
        <v>24</v>
      </c>
      <c r="D111" s="2" t="s">
        <v>25</v>
      </c>
      <c r="E111" s="2">
        <v>121</v>
      </c>
      <c r="F111" s="2" t="s">
        <v>59</v>
      </c>
      <c r="G111" s="2" t="s">
        <v>51</v>
      </c>
      <c r="H111" s="2">
        <v>30</v>
      </c>
      <c r="I111" s="3">
        <v>121</v>
      </c>
      <c r="J111" s="4">
        <v>118000000</v>
      </c>
      <c r="K111" s="5">
        <f t="shared" si="27"/>
        <v>122</v>
      </c>
      <c r="L111" s="9">
        <f>ROUND($J111*1.637*0.8,0)</f>
        <v>154532800</v>
      </c>
      <c r="M111" s="3">
        <f t="shared" si="28"/>
        <v>123</v>
      </c>
      <c r="N111" s="10">
        <f>ROUND($J111*1.637*1.75*0.8,0)</f>
        <v>270432400</v>
      </c>
      <c r="O111" s="5">
        <f t="shared" si="29"/>
        <v>125</v>
      </c>
      <c r="P111" s="9">
        <f>ROUND($J111*1.637*1.75*2.1*0.8,0)</f>
        <v>567908040</v>
      </c>
      <c r="Q111" s="3">
        <f t="shared" si="30"/>
        <v>127</v>
      </c>
      <c r="R111" s="10">
        <f>ROUND($J111*1.637*1.75*2.1*2.3*0.542035092435954,0)</f>
        <v>885000000</v>
      </c>
      <c r="S111" s="5">
        <f t="shared" si="31"/>
        <v>129</v>
      </c>
      <c r="T111" s="9">
        <f>ROUND($J111*1.637*1.75*2.1*2.3*2.6*0.544690061623969,0)</f>
        <v>2312270643</v>
      </c>
      <c r="U111" s="3">
        <f t="shared" si="32"/>
        <v>132</v>
      </c>
      <c r="V111" s="10">
        <f>ROUND($J111*1.637*1.75*2.1*2.3*2.6*3.2*0.547345030811984,0)</f>
        <v>7435332116</v>
      </c>
      <c r="W111" s="5">
        <f t="shared" si="33"/>
        <v>136</v>
      </c>
      <c r="X111" s="9">
        <f>ROUND($J111*1.637*1.75*2.1*2.3*2.6*3.2*4.2*0.55,0)</f>
        <v>31379872332</v>
      </c>
      <c r="Y111" s="3">
        <f t="shared" si="34"/>
        <v>138</v>
      </c>
      <c r="Z111" s="10">
        <f>ROUND($J111*1.637*1.75*2.1*2.3*2.6*3.2*4.2*2.4*0.55,0)</f>
        <v>75311693596</v>
      </c>
      <c r="AA111" s="5">
        <f t="shared" si="35"/>
        <v>140</v>
      </c>
      <c r="AB111" s="9">
        <f>ROUND($J111*1.637*1.75*2.1*2.3*2.6*3.2*4.2*2.4*2.5*0.55,0)</f>
        <v>188279233991</v>
      </c>
      <c r="AC111" s="3">
        <f t="shared" si="36"/>
        <v>142</v>
      </c>
      <c r="AD111" s="10">
        <f>ROUND($J111*1.637*1.75*2.1*2.3*2.6*3.2*4.2*2.4*2.5*2.8*0.55,0)</f>
        <v>527181855174</v>
      </c>
      <c r="AE111" s="5">
        <f t="shared" si="37"/>
        <v>145</v>
      </c>
      <c r="AF111" s="9">
        <f>ROUND($J111*1.637*1.75*2.1*2.3*2.6*3.2*4.2*2.4*2.5*2.8*3.2*0.55,0)</f>
        <v>1686981936558</v>
      </c>
      <c r="AG111" s="3">
        <f t="shared" si="38"/>
        <v>148</v>
      </c>
      <c r="AH111" s="10">
        <f>ROUND($J111*1.637*1.75*2.1*2.3*2.6*3.2*4.2*2.4*2.5*2.8*3.2*3.8*0.55,0)</f>
        <v>6410531358920</v>
      </c>
    </row>
    <row r="112" spans="1:34" x14ac:dyDescent="0.3">
      <c r="A112" s="2">
        <v>246</v>
      </c>
      <c r="B112" s="2" t="s">
        <v>197</v>
      </c>
      <c r="C112" s="2" t="s">
        <v>24</v>
      </c>
      <c r="D112" s="2" t="s">
        <v>25</v>
      </c>
      <c r="E112" s="2">
        <v>121</v>
      </c>
      <c r="F112" s="2" t="s">
        <v>30</v>
      </c>
      <c r="G112" s="2" t="s">
        <v>198</v>
      </c>
      <c r="H112" s="2">
        <v>30</v>
      </c>
      <c r="I112" s="3">
        <v>121</v>
      </c>
      <c r="J112" s="4">
        <v>147000000</v>
      </c>
      <c r="K112" s="5">
        <f t="shared" si="27"/>
        <v>122</v>
      </c>
      <c r="L112" s="9">
        <f>ROUND($J112*1.637*1,0)</f>
        <v>240639000</v>
      </c>
      <c r="M112" s="3">
        <f t="shared" si="28"/>
        <v>123</v>
      </c>
      <c r="N112" s="10">
        <f>ROUND($J112*1.637*1.75*1,0)</f>
        <v>421118250</v>
      </c>
      <c r="O112" s="5">
        <f t="shared" si="29"/>
        <v>125</v>
      </c>
      <c r="P112" s="9">
        <f>ROUND($J112*1.637*1.75*2.1*1,0)</f>
        <v>884348325</v>
      </c>
      <c r="Q112" s="3">
        <f t="shared" si="30"/>
        <v>127</v>
      </c>
      <c r="R112" s="10">
        <f>ROUND($J112*1.637*1.75*2.1*2.3*1,0)</f>
        <v>2034001148</v>
      </c>
      <c r="S112" s="5">
        <f t="shared" si="31"/>
        <v>129</v>
      </c>
      <c r="T112" s="9">
        <f>ROUND($J112*1.637*1.75*2.1*2.3*2.6*1,0)</f>
        <v>5288402984</v>
      </c>
      <c r="U112" s="3">
        <f t="shared" si="32"/>
        <v>132</v>
      </c>
      <c r="V112" s="10">
        <f>ROUND($J112*1.637*1.75*2.1*2.3*2.6*3.2*1,0)</f>
        <v>16922889547</v>
      </c>
      <c r="W112" s="5">
        <f t="shared" si="33"/>
        <v>136</v>
      </c>
      <c r="X112" s="9">
        <f>ROUND($J112*1.637*1.75*2.1*2.3*2.6*3.2*4.2*1,0)</f>
        <v>71076136098</v>
      </c>
      <c r="Y112" s="3">
        <f t="shared" si="34"/>
        <v>138</v>
      </c>
      <c r="Z112" s="10">
        <f>ROUND($J112*1.637*1.75*2.1*2.3*2.6*3.2*4.2*2.4*1,0)</f>
        <v>170582726636</v>
      </c>
      <c r="AA112" s="5">
        <f t="shared" si="35"/>
        <v>140</v>
      </c>
      <c r="AB112" s="9">
        <f>ROUND($J112*1.637*1.75*2.1*2.3*2.6*3.2*4.2*2.4*2.5*1,0)</f>
        <v>426456816589</v>
      </c>
      <c r="AC112" s="3">
        <f t="shared" si="36"/>
        <v>142</v>
      </c>
      <c r="AD112" s="10">
        <f>ROUND($J112*1.637*1.75*2.1*2.3*2.6*3.2*4.2*2.4*2.5*2.8*1,0)</f>
        <v>1194079086450</v>
      </c>
      <c r="AE112" s="5">
        <f t="shared" si="37"/>
        <v>145</v>
      </c>
      <c r="AF112" s="9">
        <f>ROUND($J112*1.637*1.75*2.1*2.3*2.6*3.2*4.2*2.4*2.5*2.8*3.2*1,0)</f>
        <v>3821053076641</v>
      </c>
      <c r="AG112" s="3">
        <f t="shared" si="38"/>
        <v>148</v>
      </c>
      <c r="AH112" s="10">
        <f>ROUND($J112*1.637*1.75*2.1*2.3*2.6*3.2*4.2*2.4*2.5*2.8*3.2*3.8*1,0)</f>
        <v>14520001691237</v>
      </c>
    </row>
    <row r="113" spans="1:34" x14ac:dyDescent="0.3">
      <c r="A113" s="2">
        <v>241</v>
      </c>
      <c r="B113" s="2" t="s">
        <v>199</v>
      </c>
      <c r="C113" s="2" t="s">
        <v>24</v>
      </c>
      <c r="D113" s="2" t="s">
        <v>45</v>
      </c>
      <c r="E113" s="2">
        <v>121</v>
      </c>
      <c r="F113" s="2" t="s">
        <v>26</v>
      </c>
      <c r="G113" s="2" t="s">
        <v>200</v>
      </c>
      <c r="H113" s="2">
        <v>30</v>
      </c>
      <c r="I113" s="3">
        <v>121</v>
      </c>
      <c r="J113" s="4">
        <v>228100000</v>
      </c>
      <c r="K113" s="5">
        <f t="shared" si="27"/>
        <v>122</v>
      </c>
      <c r="L113" s="9">
        <f>ROUND($J113*1.637*1,0)</f>
        <v>373399700</v>
      </c>
      <c r="M113" s="3">
        <f t="shared" si="28"/>
        <v>123</v>
      </c>
      <c r="N113" s="10">
        <f>ROUND($J113*1.637*1.75*1,0)</f>
        <v>653449475</v>
      </c>
      <c r="O113" s="5">
        <f t="shared" si="29"/>
        <v>125</v>
      </c>
      <c r="P113" s="9">
        <f>ROUND($J113*1.637*1.75*2.1*1,0)</f>
        <v>1372243898</v>
      </c>
      <c r="Q113" s="3">
        <f t="shared" si="30"/>
        <v>127</v>
      </c>
      <c r="R113" s="10">
        <f>ROUND($J113*1.637*1.75*2.1*2.3*1,0)</f>
        <v>3156160964</v>
      </c>
      <c r="S113" s="5">
        <f t="shared" si="31"/>
        <v>129</v>
      </c>
      <c r="T113" s="9">
        <f>ROUND($J113*1.637*1.75*2.1*2.3*2.6*1,0)</f>
        <v>8206018507</v>
      </c>
      <c r="U113" s="3">
        <f t="shared" si="32"/>
        <v>132</v>
      </c>
      <c r="V113" s="10">
        <f>ROUND($J113*1.637*1.75*2.1*2.3*2.6*3.2*1,0)</f>
        <v>26259259223</v>
      </c>
      <c r="W113" s="5">
        <f t="shared" si="33"/>
        <v>136</v>
      </c>
      <c r="X113" s="9">
        <f>ROUND($J113*1.637*1.75*2.1*2.3*2.6*3.2*4.2*1,0)</f>
        <v>110288888735</v>
      </c>
      <c r="Y113" s="3">
        <f t="shared" si="34"/>
        <v>138</v>
      </c>
      <c r="Z113" s="10">
        <f>ROUND($J113*1.637*1.75*2.1*2.3*2.6*3.2*4.2*2.4*1,0)</f>
        <v>264693332963</v>
      </c>
      <c r="AA113" s="5">
        <f t="shared" si="35"/>
        <v>140</v>
      </c>
      <c r="AB113" s="9">
        <f>ROUND($J113*1.637*1.75*2.1*2.3*2.6*3.2*4.2*2.4*2.5*1,0)</f>
        <v>661733332409</v>
      </c>
      <c r="AC113" s="3">
        <f t="shared" si="36"/>
        <v>142</v>
      </c>
      <c r="AD113" s="10">
        <f>ROUND($J113*1.637*1.75*2.1*2.3*2.6*3.2*4.2*2.4*2.5*2.8*1,0)</f>
        <v>1852853330744</v>
      </c>
      <c r="AE113" s="5">
        <f t="shared" si="37"/>
        <v>145</v>
      </c>
      <c r="AF113" s="9">
        <f>ROUND($J113*1.637*1.75*2.1*2.3*2.6*3.2*4.2*2.4*2.5*2.8*3.2*1,0)</f>
        <v>5929130658380</v>
      </c>
      <c r="AG113" s="3">
        <f t="shared" si="38"/>
        <v>148</v>
      </c>
      <c r="AH113" s="10">
        <f>ROUND($J113*1.637*1.75*2.1*2.3*2.6*3.2*4.2*2.4*2.5*2.8*3.2*3.8*1,0)</f>
        <v>22530696501845</v>
      </c>
    </row>
    <row r="114" spans="1:34" x14ac:dyDescent="0.3">
      <c r="A114" s="2">
        <v>258</v>
      </c>
      <c r="B114" s="2" t="s">
        <v>201</v>
      </c>
      <c r="C114" s="2" t="s">
        <v>24</v>
      </c>
      <c r="D114" s="2" t="s">
        <v>93</v>
      </c>
      <c r="E114" s="2">
        <v>120</v>
      </c>
      <c r="F114" s="2" t="s">
        <v>120</v>
      </c>
      <c r="G114" s="2" t="s">
        <v>95</v>
      </c>
      <c r="H114" s="2">
        <v>30</v>
      </c>
      <c r="I114" s="3">
        <v>120</v>
      </c>
      <c r="J114" s="4">
        <v>221000000</v>
      </c>
      <c r="K114" s="5">
        <f t="shared" si="27"/>
        <v>121</v>
      </c>
      <c r="L114" s="9">
        <f t="shared" ref="L114:L128" si="45">ROUND($J114*1.637*0.8,0)</f>
        <v>289421600</v>
      </c>
      <c r="M114" s="3">
        <f t="shared" si="28"/>
        <v>122</v>
      </c>
      <c r="N114" s="10">
        <f t="shared" ref="N114:N128" si="46">ROUND($J114*1.637*1.75*0.8,0)</f>
        <v>506487800</v>
      </c>
      <c r="O114" s="5">
        <f t="shared" si="29"/>
        <v>124</v>
      </c>
      <c r="P114" s="9">
        <f t="shared" ref="P114:P128" si="47">ROUND($J114*1.637*1.75*2.1*0.8,0)</f>
        <v>1063624380</v>
      </c>
      <c r="Q114" s="3">
        <f t="shared" si="30"/>
        <v>126</v>
      </c>
      <c r="R114" s="10">
        <f t="shared" ref="R114:R128" si="48">ROUND($J114*1.637*1.75*2.1*2.3*0.542035092435954,0)</f>
        <v>1657500000</v>
      </c>
      <c r="S114" s="5">
        <f t="shared" si="31"/>
        <v>128</v>
      </c>
      <c r="T114" s="9">
        <f t="shared" ref="T114:T128" si="49">ROUND($J114*1.637*1.75*2.1*2.3*2.6*0.544690061623969,0)</f>
        <v>4330608577</v>
      </c>
      <c r="U114" s="3">
        <f t="shared" si="32"/>
        <v>131</v>
      </c>
      <c r="V114" s="10">
        <f t="shared" ref="V114:V128" si="50">ROUND($J114*1.637*1.75*2.1*2.3*2.6*3.2*0.547345030811984,0)</f>
        <v>13925494896</v>
      </c>
      <c r="W114" s="5">
        <f t="shared" si="33"/>
        <v>135</v>
      </c>
      <c r="X114" s="9">
        <f t="shared" ref="X114:X128" si="51">ROUND($J114*1.637*1.75*2.1*2.3*2.6*3.2*4.2*0.55,0)</f>
        <v>58770777842</v>
      </c>
      <c r="Y114" s="3">
        <f t="shared" si="34"/>
        <v>137</v>
      </c>
      <c r="Z114" s="10">
        <f t="shared" ref="Z114:Z128" si="52">ROUND($J114*1.637*1.75*2.1*2.3*2.6*3.2*4.2*2.4*0.55,0)</f>
        <v>141049866820</v>
      </c>
      <c r="AA114" s="5">
        <f t="shared" si="35"/>
        <v>139</v>
      </c>
      <c r="AB114" s="9">
        <f t="shared" ref="AB114:AB128" si="53">ROUND($J114*1.637*1.75*2.1*2.3*2.6*3.2*4.2*2.4*2.5*0.55,0)</f>
        <v>352624667051</v>
      </c>
      <c r="AC114" s="3">
        <f t="shared" si="36"/>
        <v>141</v>
      </c>
      <c r="AD114" s="10">
        <f t="shared" ref="AD114:AD128" si="54">ROUND($J114*1.637*1.75*2.1*2.3*2.6*3.2*4.2*2.4*2.5*2.8*0.55,0)</f>
        <v>987349067742</v>
      </c>
      <c r="AE114" s="5">
        <f t="shared" si="37"/>
        <v>144</v>
      </c>
      <c r="AF114" s="9">
        <f t="shared" ref="AF114:AF128" si="55">ROUND($J114*1.637*1.75*2.1*2.3*2.6*3.2*4.2*2.4*2.5*2.8*3.2*0.55,0)</f>
        <v>3159517016774</v>
      </c>
      <c r="AG114" s="3">
        <f t="shared" si="38"/>
        <v>147</v>
      </c>
      <c r="AH114" s="10">
        <f t="shared" ref="AH114:AH128" si="56">ROUND($J114*1.637*1.75*2.1*2.3*2.6*3.2*4.2*2.4*2.5*2.8*3.2*3.8*0.55,0)</f>
        <v>12006164663741</v>
      </c>
    </row>
    <row r="115" spans="1:34" x14ac:dyDescent="0.3">
      <c r="A115" s="2">
        <v>255</v>
      </c>
      <c r="B115" s="2" t="s">
        <v>202</v>
      </c>
      <c r="C115" s="2" t="s">
        <v>24</v>
      </c>
      <c r="D115" s="2" t="s">
        <v>29</v>
      </c>
      <c r="E115" s="2">
        <v>120</v>
      </c>
      <c r="F115" s="2" t="s">
        <v>62</v>
      </c>
      <c r="G115" s="2" t="s">
        <v>98</v>
      </c>
      <c r="H115" s="2">
        <v>30</v>
      </c>
      <c r="I115" s="3">
        <v>120</v>
      </c>
      <c r="J115" s="4">
        <v>217000000</v>
      </c>
      <c r="K115" s="5">
        <f t="shared" si="27"/>
        <v>121</v>
      </c>
      <c r="L115" s="9">
        <f t="shared" si="45"/>
        <v>284183200</v>
      </c>
      <c r="M115" s="3">
        <f t="shared" si="28"/>
        <v>122</v>
      </c>
      <c r="N115" s="10">
        <f t="shared" si="46"/>
        <v>497320600</v>
      </c>
      <c r="O115" s="5">
        <f t="shared" si="29"/>
        <v>124</v>
      </c>
      <c r="P115" s="9">
        <f t="shared" si="47"/>
        <v>1044373260</v>
      </c>
      <c r="Q115" s="3">
        <f t="shared" si="30"/>
        <v>126</v>
      </c>
      <c r="R115" s="10">
        <f t="shared" si="48"/>
        <v>1627500000</v>
      </c>
      <c r="S115" s="5">
        <f t="shared" si="31"/>
        <v>128</v>
      </c>
      <c r="T115" s="9">
        <f t="shared" si="49"/>
        <v>4252226522</v>
      </c>
      <c r="U115" s="3">
        <f t="shared" si="32"/>
        <v>131</v>
      </c>
      <c r="V115" s="10">
        <f t="shared" si="50"/>
        <v>13673449739</v>
      </c>
      <c r="W115" s="5">
        <f t="shared" si="33"/>
        <v>135</v>
      </c>
      <c r="X115" s="9">
        <f t="shared" si="51"/>
        <v>57707053356</v>
      </c>
      <c r="Y115" s="3">
        <f t="shared" si="34"/>
        <v>137</v>
      </c>
      <c r="Z115" s="10">
        <f t="shared" si="52"/>
        <v>138496928054</v>
      </c>
      <c r="AA115" s="5">
        <f t="shared" si="35"/>
        <v>139</v>
      </c>
      <c r="AB115" s="9">
        <f t="shared" si="53"/>
        <v>346242320136</v>
      </c>
      <c r="AC115" s="3">
        <f t="shared" si="36"/>
        <v>141</v>
      </c>
      <c r="AD115" s="10">
        <f t="shared" si="54"/>
        <v>969478496380</v>
      </c>
      <c r="AE115" s="5">
        <f t="shared" si="37"/>
        <v>144</v>
      </c>
      <c r="AF115" s="9">
        <f t="shared" si="55"/>
        <v>3102331188416</v>
      </c>
      <c r="AG115" s="3">
        <f t="shared" si="38"/>
        <v>147</v>
      </c>
      <c r="AH115" s="10">
        <f t="shared" si="56"/>
        <v>11788858515981</v>
      </c>
    </row>
    <row r="116" spans="1:34" x14ac:dyDescent="0.3">
      <c r="A116" s="2">
        <v>257</v>
      </c>
      <c r="B116" s="2" t="s">
        <v>203</v>
      </c>
      <c r="C116" s="2" t="s">
        <v>24</v>
      </c>
      <c r="D116" s="2" t="s">
        <v>25</v>
      </c>
      <c r="E116" s="2">
        <v>120</v>
      </c>
      <c r="F116" s="2" t="s">
        <v>204</v>
      </c>
      <c r="G116" s="2" t="s">
        <v>43</v>
      </c>
      <c r="H116" s="2">
        <v>30</v>
      </c>
      <c r="I116" s="3">
        <v>120</v>
      </c>
      <c r="J116" s="4">
        <v>155000000</v>
      </c>
      <c r="K116" s="5">
        <f t="shared" si="27"/>
        <v>121</v>
      </c>
      <c r="L116" s="9">
        <f t="shared" si="45"/>
        <v>202988000</v>
      </c>
      <c r="M116" s="3">
        <f t="shared" si="28"/>
        <v>122</v>
      </c>
      <c r="N116" s="10">
        <f t="shared" si="46"/>
        <v>355229000</v>
      </c>
      <c r="O116" s="5">
        <f t="shared" si="29"/>
        <v>124</v>
      </c>
      <c r="P116" s="9">
        <f t="shared" si="47"/>
        <v>745980900</v>
      </c>
      <c r="Q116" s="3">
        <f t="shared" si="30"/>
        <v>126</v>
      </c>
      <c r="R116" s="10">
        <f t="shared" si="48"/>
        <v>1162500000</v>
      </c>
      <c r="S116" s="5">
        <f t="shared" si="31"/>
        <v>128</v>
      </c>
      <c r="T116" s="9">
        <f t="shared" si="49"/>
        <v>3037304658</v>
      </c>
      <c r="U116" s="3">
        <f t="shared" si="32"/>
        <v>131</v>
      </c>
      <c r="V116" s="10">
        <f t="shared" si="50"/>
        <v>9766749814</v>
      </c>
      <c r="W116" s="5">
        <f t="shared" si="33"/>
        <v>135</v>
      </c>
      <c r="X116" s="9">
        <f t="shared" si="51"/>
        <v>41219323826</v>
      </c>
      <c r="Y116" s="3">
        <f t="shared" si="34"/>
        <v>137</v>
      </c>
      <c r="Z116" s="10">
        <f t="shared" si="52"/>
        <v>98926377182</v>
      </c>
      <c r="AA116" s="5">
        <f t="shared" si="35"/>
        <v>139</v>
      </c>
      <c r="AB116" s="9">
        <f t="shared" si="53"/>
        <v>247315942954</v>
      </c>
      <c r="AC116" s="3">
        <f t="shared" si="36"/>
        <v>141</v>
      </c>
      <c r="AD116" s="10">
        <f t="shared" si="54"/>
        <v>692484640271</v>
      </c>
      <c r="AE116" s="5">
        <f t="shared" si="37"/>
        <v>144</v>
      </c>
      <c r="AF116" s="9">
        <f t="shared" si="55"/>
        <v>2215950848869</v>
      </c>
      <c r="AG116" s="3">
        <f t="shared" si="38"/>
        <v>147</v>
      </c>
      <c r="AH116" s="10">
        <f t="shared" si="56"/>
        <v>8420613225701</v>
      </c>
    </row>
    <row r="117" spans="1:34" x14ac:dyDescent="0.3">
      <c r="A117" s="2">
        <v>259</v>
      </c>
      <c r="B117" s="2" t="s">
        <v>205</v>
      </c>
      <c r="C117" s="2" t="s">
        <v>24</v>
      </c>
      <c r="D117" s="2" t="s">
        <v>25</v>
      </c>
      <c r="E117" s="2">
        <v>120</v>
      </c>
      <c r="F117" s="2" t="s">
        <v>59</v>
      </c>
      <c r="G117" s="2" t="s">
        <v>206</v>
      </c>
      <c r="H117" s="2">
        <v>30</v>
      </c>
      <c r="I117" s="3">
        <v>120</v>
      </c>
      <c r="J117" s="4">
        <v>220000000</v>
      </c>
      <c r="K117" s="5">
        <f t="shared" si="27"/>
        <v>121</v>
      </c>
      <c r="L117" s="9">
        <f t="shared" si="45"/>
        <v>288112000</v>
      </c>
      <c r="M117" s="3">
        <f t="shared" si="28"/>
        <v>122</v>
      </c>
      <c r="N117" s="10">
        <f t="shared" si="46"/>
        <v>504196000</v>
      </c>
      <c r="O117" s="5">
        <f t="shared" si="29"/>
        <v>124</v>
      </c>
      <c r="P117" s="9">
        <f t="shared" si="47"/>
        <v>1058811600</v>
      </c>
      <c r="Q117" s="3">
        <f t="shared" si="30"/>
        <v>126</v>
      </c>
      <c r="R117" s="10">
        <f t="shared" si="48"/>
        <v>1650000000</v>
      </c>
      <c r="S117" s="5">
        <f t="shared" si="31"/>
        <v>128</v>
      </c>
      <c r="T117" s="9">
        <f t="shared" si="49"/>
        <v>4311013064</v>
      </c>
      <c r="U117" s="3">
        <f t="shared" si="32"/>
        <v>131</v>
      </c>
      <c r="V117" s="10">
        <f t="shared" si="50"/>
        <v>13862483606</v>
      </c>
      <c r="W117" s="5">
        <f t="shared" si="33"/>
        <v>135</v>
      </c>
      <c r="X117" s="9">
        <f t="shared" si="51"/>
        <v>58504846720</v>
      </c>
      <c r="Y117" s="3">
        <f t="shared" si="34"/>
        <v>137</v>
      </c>
      <c r="Z117" s="10">
        <f t="shared" si="52"/>
        <v>140411632129</v>
      </c>
      <c r="AA117" s="5">
        <f t="shared" si="35"/>
        <v>139</v>
      </c>
      <c r="AB117" s="9">
        <f t="shared" si="53"/>
        <v>351029080322</v>
      </c>
      <c r="AC117" s="3">
        <f t="shared" si="36"/>
        <v>141</v>
      </c>
      <c r="AD117" s="10">
        <f t="shared" si="54"/>
        <v>982881424901</v>
      </c>
      <c r="AE117" s="5">
        <f t="shared" si="37"/>
        <v>144</v>
      </c>
      <c r="AF117" s="9">
        <f t="shared" si="55"/>
        <v>3145220559684</v>
      </c>
      <c r="AG117" s="3">
        <f t="shared" si="38"/>
        <v>147</v>
      </c>
      <c r="AH117" s="10">
        <f t="shared" si="56"/>
        <v>11951838126801</v>
      </c>
    </row>
    <row r="118" spans="1:34" x14ac:dyDescent="0.3">
      <c r="A118" s="2">
        <v>256</v>
      </c>
      <c r="B118" s="2" t="s">
        <v>207</v>
      </c>
      <c r="C118" s="2" t="s">
        <v>24</v>
      </c>
      <c r="D118" s="2" t="s">
        <v>165</v>
      </c>
      <c r="E118" s="2">
        <v>120</v>
      </c>
      <c r="F118" s="2" t="s">
        <v>54</v>
      </c>
      <c r="G118" s="2" t="s">
        <v>95</v>
      </c>
      <c r="H118" s="2">
        <v>30</v>
      </c>
      <c r="I118" s="3">
        <v>120</v>
      </c>
      <c r="J118" s="4">
        <v>167000000</v>
      </c>
      <c r="K118" s="5">
        <f t="shared" si="27"/>
        <v>121</v>
      </c>
      <c r="L118" s="9">
        <f t="shared" si="45"/>
        <v>218703200</v>
      </c>
      <c r="M118" s="3">
        <f t="shared" si="28"/>
        <v>122</v>
      </c>
      <c r="N118" s="10">
        <f t="shared" si="46"/>
        <v>382730600</v>
      </c>
      <c r="O118" s="5">
        <f t="shared" si="29"/>
        <v>124</v>
      </c>
      <c r="P118" s="9">
        <f t="shared" si="47"/>
        <v>803734260</v>
      </c>
      <c r="Q118" s="3">
        <f t="shared" si="30"/>
        <v>126</v>
      </c>
      <c r="R118" s="10">
        <f t="shared" si="48"/>
        <v>1252500000</v>
      </c>
      <c r="S118" s="5">
        <f t="shared" si="31"/>
        <v>128</v>
      </c>
      <c r="T118" s="9">
        <f t="shared" si="49"/>
        <v>3272450825</v>
      </c>
      <c r="U118" s="3">
        <f t="shared" si="32"/>
        <v>131</v>
      </c>
      <c r="V118" s="10">
        <f t="shared" si="50"/>
        <v>10522885283</v>
      </c>
      <c r="W118" s="5">
        <f t="shared" si="33"/>
        <v>135</v>
      </c>
      <c r="X118" s="9">
        <f t="shared" si="51"/>
        <v>44410497283</v>
      </c>
      <c r="Y118" s="3">
        <f t="shared" si="34"/>
        <v>137</v>
      </c>
      <c r="Z118" s="10">
        <f t="shared" si="52"/>
        <v>106585193480</v>
      </c>
      <c r="AA118" s="5">
        <f t="shared" si="35"/>
        <v>139</v>
      </c>
      <c r="AB118" s="9">
        <f t="shared" si="53"/>
        <v>266462983699</v>
      </c>
      <c r="AC118" s="3">
        <f t="shared" si="36"/>
        <v>141</v>
      </c>
      <c r="AD118" s="10">
        <f t="shared" si="54"/>
        <v>746096354357</v>
      </c>
      <c r="AE118" s="5">
        <f t="shared" si="37"/>
        <v>144</v>
      </c>
      <c r="AF118" s="9">
        <f t="shared" si="55"/>
        <v>2387508333942</v>
      </c>
      <c r="AG118" s="3">
        <f t="shared" si="38"/>
        <v>147</v>
      </c>
      <c r="AH118" s="10">
        <f t="shared" si="56"/>
        <v>9072531668981</v>
      </c>
    </row>
    <row r="119" spans="1:34" x14ac:dyDescent="0.3">
      <c r="A119" s="2">
        <v>254</v>
      </c>
      <c r="B119" s="2" t="s">
        <v>208</v>
      </c>
      <c r="C119" s="2" t="s">
        <v>24</v>
      </c>
      <c r="D119" s="2" t="s">
        <v>25</v>
      </c>
      <c r="E119" s="2">
        <v>120</v>
      </c>
      <c r="F119" s="2" t="s">
        <v>26</v>
      </c>
      <c r="G119" s="2" t="s">
        <v>209</v>
      </c>
      <c r="H119" s="2">
        <v>29</v>
      </c>
      <c r="I119" s="3">
        <v>120</v>
      </c>
      <c r="J119" s="4">
        <v>133000000</v>
      </c>
      <c r="K119" s="5">
        <f t="shared" si="27"/>
        <v>121</v>
      </c>
      <c r="L119" s="9">
        <f t="shared" si="45"/>
        <v>174176800</v>
      </c>
      <c r="M119" s="3">
        <f t="shared" si="28"/>
        <v>122</v>
      </c>
      <c r="N119" s="10">
        <f t="shared" si="46"/>
        <v>304809400</v>
      </c>
      <c r="O119" s="5">
        <f t="shared" si="29"/>
        <v>124</v>
      </c>
      <c r="P119" s="9">
        <f t="shared" si="47"/>
        <v>640099740</v>
      </c>
      <c r="Q119" s="3">
        <f t="shared" si="30"/>
        <v>126</v>
      </c>
      <c r="R119" s="10">
        <f t="shared" si="48"/>
        <v>997500000</v>
      </c>
      <c r="S119" s="5">
        <f t="shared" si="31"/>
        <v>128</v>
      </c>
      <c r="T119" s="9">
        <f t="shared" si="49"/>
        <v>2606203352</v>
      </c>
      <c r="U119" s="3">
        <f t="shared" si="32"/>
        <v>131</v>
      </c>
      <c r="V119" s="10">
        <f t="shared" si="50"/>
        <v>8380501453</v>
      </c>
      <c r="W119" s="5">
        <f t="shared" si="33"/>
        <v>135</v>
      </c>
      <c r="X119" s="9">
        <f t="shared" si="51"/>
        <v>35368839154</v>
      </c>
      <c r="Y119" s="3">
        <f t="shared" si="34"/>
        <v>137</v>
      </c>
      <c r="Z119" s="10">
        <f t="shared" si="52"/>
        <v>84885213969</v>
      </c>
      <c r="AA119" s="5">
        <f t="shared" si="35"/>
        <v>139</v>
      </c>
      <c r="AB119" s="9">
        <f t="shared" si="53"/>
        <v>212213034922</v>
      </c>
      <c r="AC119" s="3">
        <f t="shared" si="36"/>
        <v>141</v>
      </c>
      <c r="AD119" s="10">
        <f t="shared" si="54"/>
        <v>594196497781</v>
      </c>
      <c r="AE119" s="5">
        <f t="shared" si="37"/>
        <v>144</v>
      </c>
      <c r="AF119" s="9">
        <f t="shared" si="55"/>
        <v>1901428792900</v>
      </c>
      <c r="AG119" s="3">
        <f t="shared" si="38"/>
        <v>147</v>
      </c>
      <c r="AH119" s="10">
        <f t="shared" si="56"/>
        <v>7225429413020</v>
      </c>
    </row>
    <row r="120" spans="1:34" x14ac:dyDescent="0.3">
      <c r="A120" s="2">
        <v>260</v>
      </c>
      <c r="B120" s="2" t="s">
        <v>210</v>
      </c>
      <c r="C120" s="2" t="s">
        <v>24</v>
      </c>
      <c r="D120" s="2" t="s">
        <v>33</v>
      </c>
      <c r="E120" s="2">
        <v>120</v>
      </c>
      <c r="F120" s="2" t="s">
        <v>56</v>
      </c>
      <c r="G120" s="2" t="s">
        <v>95</v>
      </c>
      <c r="H120" s="2">
        <v>31</v>
      </c>
      <c r="I120" s="3">
        <v>120</v>
      </c>
      <c r="J120" s="4">
        <v>205000000</v>
      </c>
      <c r="K120" s="5">
        <f t="shared" si="27"/>
        <v>121</v>
      </c>
      <c r="L120" s="9">
        <f t="shared" si="45"/>
        <v>268468000</v>
      </c>
      <c r="M120" s="3">
        <f t="shared" si="28"/>
        <v>122</v>
      </c>
      <c r="N120" s="10">
        <f t="shared" si="46"/>
        <v>469819000</v>
      </c>
      <c r="O120" s="5">
        <f t="shared" si="29"/>
        <v>124</v>
      </c>
      <c r="P120" s="9">
        <f t="shared" si="47"/>
        <v>986619900</v>
      </c>
      <c r="Q120" s="3">
        <f t="shared" si="30"/>
        <v>126</v>
      </c>
      <c r="R120" s="10">
        <f t="shared" si="48"/>
        <v>1537500000</v>
      </c>
      <c r="S120" s="5">
        <f t="shared" si="31"/>
        <v>128</v>
      </c>
      <c r="T120" s="9">
        <f t="shared" si="49"/>
        <v>4017080355</v>
      </c>
      <c r="U120" s="3">
        <f t="shared" si="32"/>
        <v>131</v>
      </c>
      <c r="V120" s="10">
        <f t="shared" si="50"/>
        <v>12917314270</v>
      </c>
      <c r="W120" s="5">
        <f t="shared" si="33"/>
        <v>135</v>
      </c>
      <c r="X120" s="9">
        <f t="shared" si="51"/>
        <v>54515879898</v>
      </c>
      <c r="Y120" s="3">
        <f t="shared" si="34"/>
        <v>137</v>
      </c>
      <c r="Z120" s="10">
        <f t="shared" si="52"/>
        <v>130838111756</v>
      </c>
      <c r="AA120" s="5">
        <f t="shared" si="35"/>
        <v>139</v>
      </c>
      <c r="AB120" s="9">
        <f t="shared" si="53"/>
        <v>327095279391</v>
      </c>
      <c r="AC120" s="3">
        <f t="shared" si="36"/>
        <v>141</v>
      </c>
      <c r="AD120" s="10">
        <f t="shared" si="54"/>
        <v>915866782294</v>
      </c>
      <c r="AE120" s="5">
        <f t="shared" si="37"/>
        <v>144</v>
      </c>
      <c r="AF120" s="9">
        <f t="shared" si="55"/>
        <v>2930773703342</v>
      </c>
      <c r="AG120" s="3">
        <f t="shared" si="38"/>
        <v>147</v>
      </c>
      <c r="AH120" s="10">
        <f t="shared" si="56"/>
        <v>11136940072701</v>
      </c>
    </row>
    <row r="121" spans="1:34" x14ac:dyDescent="0.3">
      <c r="A121" s="2">
        <v>252</v>
      </c>
      <c r="B121" s="2" t="s">
        <v>211</v>
      </c>
      <c r="C121" s="2" t="s">
        <v>24</v>
      </c>
      <c r="D121" s="2" t="s">
        <v>40</v>
      </c>
      <c r="E121" s="2">
        <v>119</v>
      </c>
      <c r="F121" s="2" t="s">
        <v>212</v>
      </c>
      <c r="G121" s="2" t="s">
        <v>213</v>
      </c>
      <c r="H121" s="2">
        <v>30</v>
      </c>
      <c r="I121" s="3">
        <v>119</v>
      </c>
      <c r="J121" s="4">
        <v>189000000</v>
      </c>
      <c r="K121" s="5">
        <f t="shared" si="27"/>
        <v>120</v>
      </c>
      <c r="L121" s="9">
        <f t="shared" si="45"/>
        <v>247514400</v>
      </c>
      <c r="M121" s="3">
        <f t="shared" si="28"/>
        <v>121</v>
      </c>
      <c r="N121" s="10">
        <f t="shared" si="46"/>
        <v>433150200</v>
      </c>
      <c r="O121" s="5">
        <f t="shared" si="29"/>
        <v>123</v>
      </c>
      <c r="P121" s="9">
        <f t="shared" si="47"/>
        <v>909615420</v>
      </c>
      <c r="Q121" s="3">
        <f t="shared" si="30"/>
        <v>125</v>
      </c>
      <c r="R121" s="10">
        <f t="shared" si="48"/>
        <v>1417500000</v>
      </c>
      <c r="S121" s="5">
        <f t="shared" si="31"/>
        <v>127</v>
      </c>
      <c r="T121" s="9">
        <f t="shared" si="49"/>
        <v>3703552132</v>
      </c>
      <c r="U121" s="3">
        <f t="shared" si="32"/>
        <v>130</v>
      </c>
      <c r="V121" s="10">
        <f t="shared" si="50"/>
        <v>11909133644</v>
      </c>
      <c r="W121" s="5">
        <f t="shared" si="33"/>
        <v>134</v>
      </c>
      <c r="X121" s="9">
        <f t="shared" si="51"/>
        <v>50260981955</v>
      </c>
      <c r="Y121" s="3">
        <f t="shared" si="34"/>
        <v>136</v>
      </c>
      <c r="Z121" s="10">
        <f t="shared" si="52"/>
        <v>120626356692</v>
      </c>
      <c r="AA121" s="5">
        <f t="shared" si="35"/>
        <v>138</v>
      </c>
      <c r="AB121" s="9">
        <f t="shared" si="53"/>
        <v>301565891731</v>
      </c>
      <c r="AC121" s="3">
        <f t="shared" si="36"/>
        <v>140</v>
      </c>
      <c r="AD121" s="10">
        <f t="shared" si="54"/>
        <v>844384496847</v>
      </c>
      <c r="AE121" s="5">
        <f t="shared" si="37"/>
        <v>143</v>
      </c>
      <c r="AF121" s="9">
        <f t="shared" si="55"/>
        <v>2702030389911</v>
      </c>
      <c r="AG121" s="3">
        <f t="shared" si="38"/>
        <v>146</v>
      </c>
      <c r="AH121" s="10">
        <f t="shared" si="56"/>
        <v>10267715481661</v>
      </c>
    </row>
    <row r="122" spans="1:34" x14ac:dyDescent="0.3">
      <c r="A122" s="2">
        <v>253</v>
      </c>
      <c r="B122" s="2" t="s">
        <v>214</v>
      </c>
      <c r="C122" s="2" t="s">
        <v>24</v>
      </c>
      <c r="D122" s="2" t="s">
        <v>79</v>
      </c>
      <c r="E122" s="2">
        <v>119</v>
      </c>
      <c r="F122" s="2" t="s">
        <v>56</v>
      </c>
      <c r="G122" s="2" t="s">
        <v>133</v>
      </c>
      <c r="H122" s="2">
        <v>30</v>
      </c>
      <c r="I122" s="3">
        <v>119</v>
      </c>
      <c r="J122" s="4">
        <v>180000000</v>
      </c>
      <c r="K122" s="5">
        <f t="shared" si="27"/>
        <v>120</v>
      </c>
      <c r="L122" s="9">
        <f t="shared" si="45"/>
        <v>235728000</v>
      </c>
      <c r="M122" s="3">
        <f t="shared" si="28"/>
        <v>121</v>
      </c>
      <c r="N122" s="10">
        <f t="shared" si="46"/>
        <v>412524000</v>
      </c>
      <c r="O122" s="5">
        <f t="shared" si="29"/>
        <v>123</v>
      </c>
      <c r="P122" s="9">
        <f t="shared" si="47"/>
        <v>866300400</v>
      </c>
      <c r="Q122" s="3">
        <f t="shared" si="30"/>
        <v>125</v>
      </c>
      <c r="R122" s="10">
        <f t="shared" si="48"/>
        <v>1350000000</v>
      </c>
      <c r="S122" s="5">
        <f t="shared" si="31"/>
        <v>127</v>
      </c>
      <c r="T122" s="9">
        <f t="shared" si="49"/>
        <v>3527192507</v>
      </c>
      <c r="U122" s="3">
        <f t="shared" si="32"/>
        <v>130</v>
      </c>
      <c r="V122" s="10">
        <f t="shared" si="50"/>
        <v>11342032042</v>
      </c>
      <c r="W122" s="5">
        <f t="shared" si="33"/>
        <v>134</v>
      </c>
      <c r="X122" s="9">
        <f t="shared" si="51"/>
        <v>47867601862</v>
      </c>
      <c r="Y122" s="3">
        <f t="shared" si="34"/>
        <v>136</v>
      </c>
      <c r="Z122" s="10">
        <f t="shared" si="52"/>
        <v>114882244469</v>
      </c>
      <c r="AA122" s="5">
        <f t="shared" si="35"/>
        <v>138</v>
      </c>
      <c r="AB122" s="9">
        <f t="shared" si="53"/>
        <v>287205611172</v>
      </c>
      <c r="AC122" s="3">
        <f t="shared" si="36"/>
        <v>140</v>
      </c>
      <c r="AD122" s="10">
        <f t="shared" si="54"/>
        <v>804175711283</v>
      </c>
      <c r="AE122" s="5">
        <f t="shared" si="37"/>
        <v>143</v>
      </c>
      <c r="AF122" s="9">
        <f t="shared" si="55"/>
        <v>2573362276105</v>
      </c>
      <c r="AG122" s="3">
        <f t="shared" si="38"/>
        <v>146</v>
      </c>
      <c r="AH122" s="10">
        <f t="shared" si="56"/>
        <v>9778776649201</v>
      </c>
    </row>
    <row r="123" spans="1:34" x14ac:dyDescent="0.3">
      <c r="A123" s="2">
        <v>251</v>
      </c>
      <c r="B123" s="2" t="s">
        <v>215</v>
      </c>
      <c r="C123" s="2" t="s">
        <v>24</v>
      </c>
      <c r="D123" s="2" t="s">
        <v>33</v>
      </c>
      <c r="E123" s="2">
        <v>119</v>
      </c>
      <c r="F123" s="2" t="s">
        <v>56</v>
      </c>
      <c r="G123" s="2" t="s">
        <v>133</v>
      </c>
      <c r="H123" s="2">
        <v>30</v>
      </c>
      <c r="I123" s="3">
        <v>119</v>
      </c>
      <c r="J123" s="4">
        <v>120000000</v>
      </c>
      <c r="K123" s="5">
        <f t="shared" si="27"/>
        <v>120</v>
      </c>
      <c r="L123" s="9">
        <f t="shared" si="45"/>
        <v>157152000</v>
      </c>
      <c r="M123" s="3">
        <f t="shared" si="28"/>
        <v>121</v>
      </c>
      <c r="N123" s="10">
        <f t="shared" si="46"/>
        <v>275016000</v>
      </c>
      <c r="O123" s="5">
        <f t="shared" si="29"/>
        <v>123</v>
      </c>
      <c r="P123" s="9">
        <f t="shared" si="47"/>
        <v>577533600</v>
      </c>
      <c r="Q123" s="3">
        <f t="shared" si="30"/>
        <v>125</v>
      </c>
      <c r="R123" s="10">
        <f t="shared" si="48"/>
        <v>900000000</v>
      </c>
      <c r="S123" s="5">
        <f t="shared" si="31"/>
        <v>127</v>
      </c>
      <c r="T123" s="9">
        <f t="shared" si="49"/>
        <v>2351461671</v>
      </c>
      <c r="U123" s="3">
        <f t="shared" si="32"/>
        <v>130</v>
      </c>
      <c r="V123" s="10">
        <f t="shared" si="50"/>
        <v>7561354694</v>
      </c>
      <c r="W123" s="5">
        <f t="shared" si="33"/>
        <v>134</v>
      </c>
      <c r="X123" s="9">
        <f t="shared" si="51"/>
        <v>31911734575</v>
      </c>
      <c r="Y123" s="3">
        <f t="shared" si="34"/>
        <v>136</v>
      </c>
      <c r="Z123" s="10">
        <f t="shared" si="52"/>
        <v>76588162979</v>
      </c>
      <c r="AA123" s="5">
        <f t="shared" si="35"/>
        <v>138</v>
      </c>
      <c r="AB123" s="9">
        <f t="shared" si="53"/>
        <v>191470407448</v>
      </c>
      <c r="AC123" s="3">
        <f t="shared" si="36"/>
        <v>140</v>
      </c>
      <c r="AD123" s="10">
        <f t="shared" si="54"/>
        <v>536117140855</v>
      </c>
      <c r="AE123" s="5">
        <f t="shared" si="37"/>
        <v>143</v>
      </c>
      <c r="AF123" s="9">
        <f t="shared" si="55"/>
        <v>1715574850737</v>
      </c>
      <c r="AG123" s="3">
        <f t="shared" si="38"/>
        <v>146</v>
      </c>
      <c r="AH123" s="10">
        <f t="shared" si="56"/>
        <v>6519184432800</v>
      </c>
    </row>
    <row r="124" spans="1:34" x14ac:dyDescent="0.3">
      <c r="A124" s="2">
        <v>261</v>
      </c>
      <c r="B124" s="2" t="s">
        <v>216</v>
      </c>
      <c r="C124" s="2" t="s">
        <v>24</v>
      </c>
      <c r="D124" s="2" t="s">
        <v>25</v>
      </c>
      <c r="E124" s="2">
        <v>119</v>
      </c>
      <c r="F124" s="2" t="s">
        <v>217</v>
      </c>
      <c r="G124" s="2" t="s">
        <v>218</v>
      </c>
      <c r="H124" s="2">
        <v>29</v>
      </c>
      <c r="I124" s="3">
        <v>119</v>
      </c>
      <c r="J124" s="4">
        <v>90000000</v>
      </c>
      <c r="K124" s="5">
        <f t="shared" si="27"/>
        <v>120</v>
      </c>
      <c r="L124" s="9">
        <f t="shared" si="45"/>
        <v>117864000</v>
      </c>
      <c r="M124" s="3">
        <f t="shared" si="28"/>
        <v>121</v>
      </c>
      <c r="N124" s="10">
        <f t="shared" si="46"/>
        <v>206262000</v>
      </c>
      <c r="O124" s="5">
        <f t="shared" si="29"/>
        <v>123</v>
      </c>
      <c r="P124" s="9">
        <f t="shared" si="47"/>
        <v>433150200</v>
      </c>
      <c r="Q124" s="3">
        <f t="shared" si="30"/>
        <v>125</v>
      </c>
      <c r="R124" s="10">
        <f t="shared" si="48"/>
        <v>675000000</v>
      </c>
      <c r="S124" s="5">
        <f t="shared" si="31"/>
        <v>127</v>
      </c>
      <c r="T124" s="9">
        <f t="shared" si="49"/>
        <v>1763596253</v>
      </c>
      <c r="U124" s="3">
        <f t="shared" si="32"/>
        <v>130</v>
      </c>
      <c r="V124" s="10">
        <f t="shared" si="50"/>
        <v>5671016021</v>
      </c>
      <c r="W124" s="5">
        <f t="shared" si="33"/>
        <v>134</v>
      </c>
      <c r="X124" s="9">
        <f t="shared" si="51"/>
        <v>23933800931</v>
      </c>
      <c r="Y124" s="3">
        <f t="shared" si="34"/>
        <v>136</v>
      </c>
      <c r="Z124" s="10">
        <f t="shared" si="52"/>
        <v>57441122234</v>
      </c>
      <c r="AA124" s="5">
        <f t="shared" si="35"/>
        <v>138</v>
      </c>
      <c r="AB124" s="9">
        <f t="shared" si="53"/>
        <v>143602805586</v>
      </c>
      <c r="AC124" s="3">
        <f t="shared" si="36"/>
        <v>140</v>
      </c>
      <c r="AD124" s="10">
        <f t="shared" si="54"/>
        <v>402087855641</v>
      </c>
      <c r="AE124" s="5">
        <f t="shared" si="37"/>
        <v>143</v>
      </c>
      <c r="AF124" s="9">
        <f t="shared" si="55"/>
        <v>1286681138053</v>
      </c>
      <c r="AG124" s="3">
        <f t="shared" si="38"/>
        <v>146</v>
      </c>
      <c r="AH124" s="10">
        <f t="shared" si="56"/>
        <v>4889388324600</v>
      </c>
    </row>
    <row r="125" spans="1:34" x14ac:dyDescent="0.3">
      <c r="A125" s="2">
        <v>248</v>
      </c>
      <c r="B125" s="2" t="s">
        <v>219</v>
      </c>
      <c r="C125" s="2" t="s">
        <v>24</v>
      </c>
      <c r="D125" s="2" t="s">
        <v>40</v>
      </c>
      <c r="E125" s="2">
        <v>119</v>
      </c>
      <c r="F125" s="2" t="s">
        <v>108</v>
      </c>
      <c r="G125" s="2" t="s">
        <v>220</v>
      </c>
      <c r="H125" s="2">
        <v>29</v>
      </c>
      <c r="I125" s="3">
        <v>119</v>
      </c>
      <c r="J125" s="4">
        <v>70000000</v>
      </c>
      <c r="K125" s="5">
        <f t="shared" si="27"/>
        <v>120</v>
      </c>
      <c r="L125" s="9">
        <f t="shared" si="45"/>
        <v>91672000</v>
      </c>
      <c r="M125" s="3">
        <f t="shared" si="28"/>
        <v>121</v>
      </c>
      <c r="N125" s="10">
        <f t="shared" si="46"/>
        <v>160426000</v>
      </c>
      <c r="O125" s="5">
        <f t="shared" si="29"/>
        <v>123</v>
      </c>
      <c r="P125" s="9">
        <f t="shared" si="47"/>
        <v>336894600</v>
      </c>
      <c r="Q125" s="3">
        <f t="shared" si="30"/>
        <v>125</v>
      </c>
      <c r="R125" s="10">
        <f t="shared" si="48"/>
        <v>525000000</v>
      </c>
      <c r="S125" s="5">
        <f t="shared" si="31"/>
        <v>127</v>
      </c>
      <c r="T125" s="9">
        <f t="shared" si="49"/>
        <v>1371685975</v>
      </c>
      <c r="U125" s="3">
        <f t="shared" si="32"/>
        <v>130</v>
      </c>
      <c r="V125" s="10">
        <f t="shared" si="50"/>
        <v>4410790238</v>
      </c>
      <c r="W125" s="5">
        <f t="shared" si="33"/>
        <v>134</v>
      </c>
      <c r="X125" s="9">
        <f t="shared" si="51"/>
        <v>18615178502</v>
      </c>
      <c r="Y125" s="3">
        <f t="shared" si="34"/>
        <v>136</v>
      </c>
      <c r="Z125" s="10">
        <f t="shared" si="52"/>
        <v>44676428405</v>
      </c>
      <c r="AA125" s="5">
        <f t="shared" si="35"/>
        <v>138</v>
      </c>
      <c r="AB125" s="9">
        <f t="shared" si="53"/>
        <v>111691071012</v>
      </c>
      <c r="AC125" s="3">
        <f t="shared" si="36"/>
        <v>140</v>
      </c>
      <c r="AD125" s="10">
        <f t="shared" si="54"/>
        <v>312734998832</v>
      </c>
      <c r="AE125" s="5">
        <f t="shared" si="37"/>
        <v>143</v>
      </c>
      <c r="AF125" s="9">
        <f t="shared" si="55"/>
        <v>1000751996263</v>
      </c>
      <c r="AG125" s="3">
        <f t="shared" si="38"/>
        <v>146</v>
      </c>
      <c r="AH125" s="10">
        <f t="shared" si="56"/>
        <v>3802857585800</v>
      </c>
    </row>
    <row r="126" spans="1:34" x14ac:dyDescent="0.3">
      <c r="A126" s="2">
        <v>249</v>
      </c>
      <c r="B126" s="2" t="s">
        <v>221</v>
      </c>
      <c r="C126" s="2" t="s">
        <v>24</v>
      </c>
      <c r="D126" s="2" t="s">
        <v>40</v>
      </c>
      <c r="E126" s="2">
        <v>119</v>
      </c>
      <c r="F126" s="2" t="s">
        <v>34</v>
      </c>
      <c r="G126" s="2" t="s">
        <v>51</v>
      </c>
      <c r="H126" s="2">
        <v>29</v>
      </c>
      <c r="I126" s="3">
        <v>119</v>
      </c>
      <c r="J126" s="4">
        <v>124000000</v>
      </c>
      <c r="K126" s="5">
        <f t="shared" si="27"/>
        <v>120</v>
      </c>
      <c r="L126" s="9">
        <f t="shared" si="45"/>
        <v>162390400</v>
      </c>
      <c r="M126" s="3">
        <f t="shared" si="28"/>
        <v>121</v>
      </c>
      <c r="N126" s="10">
        <f t="shared" si="46"/>
        <v>284183200</v>
      </c>
      <c r="O126" s="5">
        <f t="shared" si="29"/>
        <v>123</v>
      </c>
      <c r="P126" s="9">
        <f t="shared" si="47"/>
        <v>596784720</v>
      </c>
      <c r="Q126" s="3">
        <f t="shared" si="30"/>
        <v>125</v>
      </c>
      <c r="R126" s="10">
        <f t="shared" si="48"/>
        <v>930000000</v>
      </c>
      <c r="S126" s="5">
        <f t="shared" si="31"/>
        <v>127</v>
      </c>
      <c r="T126" s="9">
        <f t="shared" si="49"/>
        <v>2429843727</v>
      </c>
      <c r="U126" s="3">
        <f t="shared" si="32"/>
        <v>130</v>
      </c>
      <c r="V126" s="10">
        <f t="shared" si="50"/>
        <v>7813399851</v>
      </c>
      <c r="W126" s="5">
        <f t="shared" si="33"/>
        <v>134</v>
      </c>
      <c r="X126" s="9">
        <f t="shared" si="51"/>
        <v>32975459061</v>
      </c>
      <c r="Y126" s="3">
        <f t="shared" si="34"/>
        <v>136</v>
      </c>
      <c r="Z126" s="10">
        <f t="shared" si="52"/>
        <v>79141101745</v>
      </c>
      <c r="AA126" s="5">
        <f t="shared" si="35"/>
        <v>138</v>
      </c>
      <c r="AB126" s="9">
        <f t="shared" si="53"/>
        <v>197852754363</v>
      </c>
      <c r="AC126" s="3">
        <f t="shared" si="36"/>
        <v>140</v>
      </c>
      <c r="AD126" s="10">
        <f t="shared" si="54"/>
        <v>553987712217</v>
      </c>
      <c r="AE126" s="5">
        <f t="shared" si="37"/>
        <v>143</v>
      </c>
      <c r="AF126" s="9">
        <f t="shared" si="55"/>
        <v>1772760679095</v>
      </c>
      <c r="AG126" s="3">
        <f t="shared" si="38"/>
        <v>146</v>
      </c>
      <c r="AH126" s="10">
        <f t="shared" si="56"/>
        <v>6736490580560</v>
      </c>
    </row>
    <row r="127" spans="1:34" x14ac:dyDescent="0.3">
      <c r="A127" s="2">
        <v>250</v>
      </c>
      <c r="B127" s="2" t="s">
        <v>222</v>
      </c>
      <c r="C127" s="2" t="s">
        <v>24</v>
      </c>
      <c r="D127" s="2" t="s">
        <v>40</v>
      </c>
      <c r="E127" s="2">
        <v>119</v>
      </c>
      <c r="F127" s="2" t="s">
        <v>223</v>
      </c>
      <c r="G127" s="2" t="s">
        <v>57</v>
      </c>
      <c r="H127" s="2">
        <v>30</v>
      </c>
      <c r="I127" s="3">
        <v>119</v>
      </c>
      <c r="J127" s="4">
        <v>122000000</v>
      </c>
      <c r="K127" s="5">
        <f t="shared" si="27"/>
        <v>120</v>
      </c>
      <c r="L127" s="9">
        <f t="shared" si="45"/>
        <v>159771200</v>
      </c>
      <c r="M127" s="3">
        <f t="shared" si="28"/>
        <v>121</v>
      </c>
      <c r="N127" s="10">
        <f t="shared" si="46"/>
        <v>279599600</v>
      </c>
      <c r="O127" s="5">
        <f t="shared" si="29"/>
        <v>123</v>
      </c>
      <c r="P127" s="9">
        <f t="shared" si="47"/>
        <v>587159160</v>
      </c>
      <c r="Q127" s="3">
        <f t="shared" si="30"/>
        <v>125</v>
      </c>
      <c r="R127" s="10">
        <f t="shared" si="48"/>
        <v>915000000</v>
      </c>
      <c r="S127" s="5">
        <f t="shared" si="31"/>
        <v>127</v>
      </c>
      <c r="T127" s="9">
        <f t="shared" si="49"/>
        <v>2390652699</v>
      </c>
      <c r="U127" s="3">
        <f t="shared" si="32"/>
        <v>130</v>
      </c>
      <c r="V127" s="10">
        <f t="shared" si="50"/>
        <v>7687377273</v>
      </c>
      <c r="W127" s="5">
        <f t="shared" si="33"/>
        <v>134</v>
      </c>
      <c r="X127" s="9">
        <f t="shared" si="51"/>
        <v>32443596818</v>
      </c>
      <c r="Y127" s="3">
        <f t="shared" si="34"/>
        <v>136</v>
      </c>
      <c r="Z127" s="10">
        <f t="shared" si="52"/>
        <v>77864632362</v>
      </c>
      <c r="AA127" s="5">
        <f t="shared" si="35"/>
        <v>138</v>
      </c>
      <c r="AB127" s="9">
        <f t="shared" si="53"/>
        <v>194661580906</v>
      </c>
      <c r="AC127" s="3">
        <f t="shared" si="36"/>
        <v>140</v>
      </c>
      <c r="AD127" s="10">
        <f t="shared" si="54"/>
        <v>545052426536</v>
      </c>
      <c r="AE127" s="5">
        <f t="shared" si="37"/>
        <v>143</v>
      </c>
      <c r="AF127" s="9">
        <f t="shared" si="55"/>
        <v>1744167764916</v>
      </c>
      <c r="AG127" s="3">
        <f t="shared" si="38"/>
        <v>146</v>
      </c>
      <c r="AH127" s="10">
        <f t="shared" si="56"/>
        <v>6627837506680</v>
      </c>
    </row>
    <row r="128" spans="1:34" x14ac:dyDescent="0.3">
      <c r="A128" s="2">
        <v>247</v>
      </c>
      <c r="B128" s="2" t="s">
        <v>224</v>
      </c>
      <c r="C128" s="2" t="s">
        <v>24</v>
      </c>
      <c r="D128" s="2" t="s">
        <v>25</v>
      </c>
      <c r="E128" s="2">
        <v>117</v>
      </c>
      <c r="F128" s="2" t="s">
        <v>225</v>
      </c>
      <c r="G128" s="2" t="s">
        <v>226</v>
      </c>
      <c r="H128" s="2">
        <v>29</v>
      </c>
      <c r="I128" s="3">
        <v>117</v>
      </c>
      <c r="J128" s="4">
        <v>20000000</v>
      </c>
      <c r="K128" s="5">
        <f t="shared" si="27"/>
        <v>118</v>
      </c>
      <c r="L128" s="9">
        <f t="shared" si="45"/>
        <v>26192000</v>
      </c>
      <c r="M128" s="3">
        <f t="shared" si="28"/>
        <v>119</v>
      </c>
      <c r="N128" s="10">
        <f t="shared" si="46"/>
        <v>45836000</v>
      </c>
      <c r="O128" s="5">
        <f t="shared" si="29"/>
        <v>121</v>
      </c>
      <c r="P128" s="9">
        <f t="shared" si="47"/>
        <v>96255600</v>
      </c>
      <c r="Q128" s="3">
        <f t="shared" si="30"/>
        <v>123</v>
      </c>
      <c r="R128" s="10">
        <f t="shared" si="48"/>
        <v>150000000</v>
      </c>
      <c r="S128" s="5">
        <f t="shared" si="31"/>
        <v>125</v>
      </c>
      <c r="T128" s="9">
        <f t="shared" si="49"/>
        <v>391910279</v>
      </c>
      <c r="U128" s="3">
        <f t="shared" si="32"/>
        <v>128</v>
      </c>
      <c r="V128" s="10">
        <f t="shared" si="50"/>
        <v>1260225782</v>
      </c>
      <c r="W128" s="5">
        <f t="shared" si="33"/>
        <v>132</v>
      </c>
      <c r="X128" s="9">
        <f t="shared" si="51"/>
        <v>5318622429</v>
      </c>
      <c r="Y128" s="3">
        <f t="shared" si="34"/>
        <v>134</v>
      </c>
      <c r="Z128" s="10">
        <f t="shared" si="52"/>
        <v>12764693830</v>
      </c>
      <c r="AA128" s="5">
        <f t="shared" si="35"/>
        <v>136</v>
      </c>
      <c r="AB128" s="9">
        <f t="shared" si="53"/>
        <v>31911734575</v>
      </c>
      <c r="AC128" s="3">
        <f t="shared" si="36"/>
        <v>138</v>
      </c>
      <c r="AD128" s="10">
        <f t="shared" si="54"/>
        <v>89352856809</v>
      </c>
      <c r="AE128" s="5">
        <f t="shared" si="37"/>
        <v>141</v>
      </c>
      <c r="AF128" s="9">
        <f t="shared" si="55"/>
        <v>285929141789</v>
      </c>
      <c r="AG128" s="3">
        <f t="shared" si="38"/>
        <v>144</v>
      </c>
      <c r="AH128" s="10">
        <f t="shared" si="56"/>
        <v>1086530738800</v>
      </c>
    </row>
    <row r="129" spans="1:34" x14ac:dyDescent="0.3">
      <c r="A129" s="2">
        <v>13</v>
      </c>
      <c r="B129" s="2" t="s">
        <v>227</v>
      </c>
      <c r="C129" s="2" t="s">
        <v>228</v>
      </c>
      <c r="D129" s="2" t="s">
        <v>40</v>
      </c>
      <c r="E129" s="2">
        <v>126</v>
      </c>
      <c r="F129" s="2" t="s">
        <v>56</v>
      </c>
      <c r="G129" s="2" t="s">
        <v>35</v>
      </c>
      <c r="H129" s="2">
        <v>34</v>
      </c>
      <c r="I129" s="3">
        <v>126</v>
      </c>
      <c r="J129" s="4">
        <v>2503000000</v>
      </c>
      <c r="K129" s="5">
        <f t="shared" si="27"/>
        <v>127</v>
      </c>
      <c r="L129" s="9">
        <f t="shared" ref="L129:L147" si="57">ROUND($J129*1.637*1,0)</f>
        <v>4097411000</v>
      </c>
      <c r="M129" s="3">
        <f t="shared" si="28"/>
        <v>128</v>
      </c>
      <c r="N129" s="10">
        <f t="shared" ref="N129:N147" si="58">ROUND($J129*1.637*1.75*1,0)</f>
        <v>7170469250</v>
      </c>
      <c r="O129" s="5">
        <f t="shared" si="29"/>
        <v>130</v>
      </c>
      <c r="P129" s="9">
        <f t="shared" ref="P129:P147" si="59">ROUND($J129*1.637*1.75*2.1*1,0)</f>
        <v>15057985425</v>
      </c>
      <c r="Q129" s="3">
        <f t="shared" si="30"/>
        <v>132</v>
      </c>
      <c r="R129" s="10">
        <f t="shared" ref="R129:R135" si="60">ROUND($J129*1.637*1.75*2.1*2.3*1.25,0)</f>
        <v>43291708097</v>
      </c>
      <c r="S129" s="5">
        <f t="shared" si="31"/>
        <v>134</v>
      </c>
      <c r="T129" s="9">
        <f t="shared" ref="T129:T135" si="61">ROUND($J129*1.637*1.75*2.1*2.3*2.6*1.25,0)</f>
        <v>112558441052</v>
      </c>
      <c r="U129" s="3">
        <f t="shared" si="32"/>
        <v>137</v>
      </c>
      <c r="V129" s="10">
        <f t="shared" ref="V129:V135" si="62">ROUND($J129*1.637*1.75*2.1*2.3*2.6*3.2*1.25,0)</f>
        <v>360187011366</v>
      </c>
      <c r="W129" s="5">
        <f t="shared" si="33"/>
        <v>141</v>
      </c>
      <c r="X129" s="9">
        <f t="shared" ref="X129:X135" si="63">ROUND($J129*1.637*1.75*2.1*2.3*2.6*3.2*4.2*1.25,0)</f>
        <v>1512785447737</v>
      </c>
      <c r="Y129" s="3">
        <f t="shared" si="34"/>
        <v>143</v>
      </c>
      <c r="Z129" s="10">
        <f t="shared" ref="Z129:Z135" si="64">ROUND($J129*1.637*1.75*2.1*2.3*2.6*3.2*4.2*2.4*1.25,0)</f>
        <v>3630685074569</v>
      </c>
      <c r="AA129" s="5">
        <f t="shared" si="35"/>
        <v>145</v>
      </c>
      <c r="AB129" s="9">
        <f t="shared" ref="AB129:AB135" si="65">ROUND($J129*1.637*1.75*2.1*2.3*2.6*3.2*4.2*2.4*2.5*1.25,0)</f>
        <v>9076712686423</v>
      </c>
      <c r="AC129" s="3">
        <f t="shared" si="36"/>
        <v>147</v>
      </c>
      <c r="AD129" s="10">
        <f t="shared" ref="AD129:AD135" si="66">ROUND($J129*1.637*1.75*2.1*2.3*2.6*3.2*4.2*2.4*2.5*2.8*1.25,0)</f>
        <v>25414795521985</v>
      </c>
      <c r="AE129" s="5">
        <f t="shared" si="37"/>
        <v>150</v>
      </c>
      <c r="AF129" s="9">
        <f t="shared" ref="AF129:AF135" si="67">ROUND($J129*1.637*1.75*2.1*2.3*2.6*3.2*4.2*2.4*2.5*2.8*3.2*1.25,0)</f>
        <v>81327345670352</v>
      </c>
      <c r="AG129" s="3">
        <f t="shared" si="38"/>
        <v>153</v>
      </c>
      <c r="AH129" s="10">
        <f t="shared" ref="AH129:AH135" si="68">ROUND($J129*1.637*1.75*2.1*2.3*2.6*3.2*4.2*2.4*2.5*2.8*3.2*3.8*1.25,0)</f>
        <v>309043913547337</v>
      </c>
    </row>
    <row r="130" spans="1:34" x14ac:dyDescent="0.3">
      <c r="A130" s="2">
        <v>11</v>
      </c>
      <c r="B130" s="2" t="s">
        <v>229</v>
      </c>
      <c r="C130" s="2" t="s">
        <v>228</v>
      </c>
      <c r="D130" s="2" t="s">
        <v>40</v>
      </c>
      <c r="E130" s="2">
        <v>126</v>
      </c>
      <c r="F130" s="2" t="s">
        <v>54</v>
      </c>
      <c r="G130" s="2" t="s">
        <v>38</v>
      </c>
      <c r="H130" s="2">
        <v>33</v>
      </c>
      <c r="I130" s="3">
        <v>126</v>
      </c>
      <c r="J130" s="4">
        <v>848000000</v>
      </c>
      <c r="K130" s="5">
        <f t="shared" si="27"/>
        <v>127</v>
      </c>
      <c r="L130" s="9">
        <f t="shared" si="57"/>
        <v>1388176000</v>
      </c>
      <c r="M130" s="3">
        <f t="shared" si="28"/>
        <v>128</v>
      </c>
      <c r="N130" s="10">
        <f t="shared" si="58"/>
        <v>2429308000</v>
      </c>
      <c r="O130" s="5">
        <f t="shared" si="29"/>
        <v>130</v>
      </c>
      <c r="P130" s="9">
        <f t="shared" si="59"/>
        <v>5101546800</v>
      </c>
      <c r="Q130" s="3">
        <f t="shared" si="30"/>
        <v>132</v>
      </c>
      <c r="R130" s="10">
        <f t="shared" si="60"/>
        <v>14666947050</v>
      </c>
      <c r="S130" s="5">
        <f t="shared" si="31"/>
        <v>134</v>
      </c>
      <c r="T130" s="9">
        <f t="shared" si="61"/>
        <v>38134062330</v>
      </c>
      <c r="U130" s="3">
        <f t="shared" si="32"/>
        <v>137</v>
      </c>
      <c r="V130" s="10">
        <f t="shared" si="62"/>
        <v>122028999456</v>
      </c>
      <c r="W130" s="5">
        <f t="shared" si="33"/>
        <v>141</v>
      </c>
      <c r="X130" s="9">
        <f t="shared" si="63"/>
        <v>512521797715</v>
      </c>
      <c r="Y130" s="3">
        <f t="shared" si="34"/>
        <v>143</v>
      </c>
      <c r="Z130" s="10">
        <f t="shared" si="64"/>
        <v>1230052314516</v>
      </c>
      <c r="AA130" s="5">
        <f t="shared" si="35"/>
        <v>145</v>
      </c>
      <c r="AB130" s="9">
        <f t="shared" si="65"/>
        <v>3075130786291</v>
      </c>
      <c r="AC130" s="3">
        <f t="shared" si="36"/>
        <v>147</v>
      </c>
      <c r="AD130" s="10">
        <f t="shared" si="66"/>
        <v>8610366201615</v>
      </c>
      <c r="AE130" s="5">
        <f t="shared" si="37"/>
        <v>150</v>
      </c>
      <c r="AF130" s="9">
        <f t="shared" si="67"/>
        <v>27553171845169</v>
      </c>
      <c r="AG130" s="3">
        <f t="shared" si="38"/>
        <v>153</v>
      </c>
      <c r="AH130" s="10">
        <f t="shared" si="68"/>
        <v>104702053011643</v>
      </c>
    </row>
    <row r="131" spans="1:34" x14ac:dyDescent="0.3">
      <c r="A131" s="2">
        <v>14</v>
      </c>
      <c r="B131" s="2" t="s">
        <v>230</v>
      </c>
      <c r="C131" s="2" t="s">
        <v>228</v>
      </c>
      <c r="D131" s="2" t="s">
        <v>64</v>
      </c>
      <c r="E131" s="2">
        <v>126</v>
      </c>
      <c r="F131" s="2" t="s">
        <v>71</v>
      </c>
      <c r="G131" s="2" t="s">
        <v>72</v>
      </c>
      <c r="H131" s="2">
        <v>32</v>
      </c>
      <c r="I131" s="3">
        <v>126</v>
      </c>
      <c r="J131" s="4">
        <v>1236000000</v>
      </c>
      <c r="K131" s="5">
        <f t="shared" ref="K131:K194" si="69">$E131+1</f>
        <v>127</v>
      </c>
      <c r="L131" s="9">
        <f t="shared" si="57"/>
        <v>2023332000</v>
      </c>
      <c r="M131" s="3">
        <f t="shared" ref="M131:M194" si="70">$E131+2</f>
        <v>128</v>
      </c>
      <c r="N131" s="10">
        <f t="shared" si="58"/>
        <v>3540831000</v>
      </c>
      <c r="O131" s="5">
        <f t="shared" ref="O131:O194" si="71">$E131+4</f>
        <v>130</v>
      </c>
      <c r="P131" s="9">
        <f t="shared" si="59"/>
        <v>7435745100</v>
      </c>
      <c r="Q131" s="3">
        <f t="shared" ref="Q131:Q194" si="72">$E131+6</f>
        <v>132</v>
      </c>
      <c r="R131" s="10">
        <f t="shared" si="60"/>
        <v>21377767163</v>
      </c>
      <c r="S131" s="5">
        <f t="shared" ref="S131:S194" si="73">$E131+8</f>
        <v>134</v>
      </c>
      <c r="T131" s="9">
        <f t="shared" si="61"/>
        <v>55582194623</v>
      </c>
      <c r="U131" s="3">
        <f t="shared" ref="U131:U194" si="74">$E131+11</f>
        <v>137</v>
      </c>
      <c r="V131" s="10">
        <f t="shared" si="62"/>
        <v>177863022792</v>
      </c>
      <c r="W131" s="5">
        <f t="shared" ref="W131:W194" si="75">$E131+15</f>
        <v>141</v>
      </c>
      <c r="X131" s="9">
        <f t="shared" si="63"/>
        <v>747024695726</v>
      </c>
      <c r="Y131" s="3">
        <f t="shared" ref="Y131:Y194" si="76">$E131+17</f>
        <v>143</v>
      </c>
      <c r="Z131" s="10">
        <f t="shared" si="64"/>
        <v>1792859269743</v>
      </c>
      <c r="AA131" s="5">
        <f t="shared" ref="AA131:AA194" si="77">$E131+19</f>
        <v>145</v>
      </c>
      <c r="AB131" s="9">
        <f t="shared" si="65"/>
        <v>4482148174358</v>
      </c>
      <c r="AC131" s="3">
        <f t="shared" ref="AC131:AC194" si="78">$E131+21</f>
        <v>147</v>
      </c>
      <c r="AD131" s="10">
        <f t="shared" si="66"/>
        <v>12550014888204</v>
      </c>
      <c r="AE131" s="5">
        <f t="shared" ref="AE131:AE194" si="79">$E131+24</f>
        <v>150</v>
      </c>
      <c r="AF131" s="9">
        <f t="shared" si="67"/>
        <v>40160047642251</v>
      </c>
      <c r="AG131" s="3">
        <f t="shared" ref="AG131:AG194" si="80">$E131+27</f>
        <v>153</v>
      </c>
      <c r="AH131" s="10">
        <f t="shared" si="68"/>
        <v>152608181040555</v>
      </c>
    </row>
    <row r="132" spans="1:34" x14ac:dyDescent="0.3">
      <c r="A132" s="2">
        <v>15</v>
      </c>
      <c r="B132" s="2" t="s">
        <v>231</v>
      </c>
      <c r="C132" s="2" t="s">
        <v>228</v>
      </c>
      <c r="D132" s="2" t="s">
        <v>64</v>
      </c>
      <c r="E132" s="2">
        <v>126</v>
      </c>
      <c r="F132" s="2" t="s">
        <v>54</v>
      </c>
      <c r="G132" s="2" t="s">
        <v>35</v>
      </c>
      <c r="H132" s="2">
        <v>32</v>
      </c>
      <c r="I132" s="3">
        <v>126</v>
      </c>
      <c r="J132" s="4">
        <v>935000000</v>
      </c>
      <c r="K132" s="5">
        <f t="shared" si="69"/>
        <v>127</v>
      </c>
      <c r="L132" s="9">
        <f t="shared" si="57"/>
        <v>1530595000</v>
      </c>
      <c r="M132" s="3">
        <f t="shared" si="70"/>
        <v>128</v>
      </c>
      <c r="N132" s="10">
        <f t="shared" si="58"/>
        <v>2678541250</v>
      </c>
      <c r="O132" s="5">
        <f t="shared" si="71"/>
        <v>130</v>
      </c>
      <c r="P132" s="9">
        <f t="shared" si="59"/>
        <v>5624936625</v>
      </c>
      <c r="Q132" s="3">
        <f t="shared" si="72"/>
        <v>132</v>
      </c>
      <c r="R132" s="10">
        <f t="shared" si="60"/>
        <v>16171692797</v>
      </c>
      <c r="S132" s="5">
        <f t="shared" si="73"/>
        <v>134</v>
      </c>
      <c r="T132" s="9">
        <f t="shared" si="61"/>
        <v>42046401272</v>
      </c>
      <c r="U132" s="3">
        <f t="shared" si="74"/>
        <v>137</v>
      </c>
      <c r="V132" s="10">
        <f t="shared" si="62"/>
        <v>134548484070</v>
      </c>
      <c r="W132" s="5">
        <f t="shared" si="75"/>
        <v>141</v>
      </c>
      <c r="X132" s="9">
        <f t="shared" si="63"/>
        <v>565103633094</v>
      </c>
      <c r="Y132" s="3">
        <f t="shared" si="76"/>
        <v>143</v>
      </c>
      <c r="Z132" s="10">
        <f t="shared" si="64"/>
        <v>1356248719426</v>
      </c>
      <c r="AA132" s="5">
        <f t="shared" si="77"/>
        <v>145</v>
      </c>
      <c r="AB132" s="9">
        <f t="shared" si="65"/>
        <v>3390621798564</v>
      </c>
      <c r="AC132" s="3">
        <f t="shared" si="78"/>
        <v>147</v>
      </c>
      <c r="AD132" s="10">
        <f t="shared" si="66"/>
        <v>9493741035979</v>
      </c>
      <c r="AE132" s="5">
        <f t="shared" si="79"/>
        <v>150</v>
      </c>
      <c r="AF132" s="9">
        <f t="shared" si="67"/>
        <v>30379971315133</v>
      </c>
      <c r="AG132" s="3">
        <f t="shared" si="80"/>
        <v>153</v>
      </c>
      <c r="AH132" s="10">
        <f t="shared" si="68"/>
        <v>115443890997507</v>
      </c>
    </row>
    <row r="133" spans="1:34" x14ac:dyDescent="0.3">
      <c r="A133" s="2">
        <v>16</v>
      </c>
      <c r="B133" s="2" t="s">
        <v>232</v>
      </c>
      <c r="C133" s="2" t="s">
        <v>228</v>
      </c>
      <c r="D133" s="2" t="s">
        <v>25</v>
      </c>
      <c r="E133" s="2">
        <v>125</v>
      </c>
      <c r="F133" s="2" t="s">
        <v>59</v>
      </c>
      <c r="G133" s="2" t="s">
        <v>57</v>
      </c>
      <c r="H133" s="2">
        <v>33</v>
      </c>
      <c r="I133" s="3">
        <v>125</v>
      </c>
      <c r="J133" s="4">
        <v>390000000</v>
      </c>
      <c r="K133" s="5">
        <f t="shared" si="69"/>
        <v>126</v>
      </c>
      <c r="L133" s="9">
        <f t="shared" si="57"/>
        <v>638430000</v>
      </c>
      <c r="M133" s="3">
        <f t="shared" si="70"/>
        <v>127</v>
      </c>
      <c r="N133" s="10">
        <f t="shared" si="58"/>
        <v>1117252500</v>
      </c>
      <c r="O133" s="5">
        <f t="shared" si="71"/>
        <v>129</v>
      </c>
      <c r="P133" s="9">
        <f t="shared" si="59"/>
        <v>2346230250</v>
      </c>
      <c r="Q133" s="3">
        <f t="shared" si="72"/>
        <v>131</v>
      </c>
      <c r="R133" s="10">
        <f t="shared" si="60"/>
        <v>6745411969</v>
      </c>
      <c r="S133" s="5">
        <f t="shared" si="73"/>
        <v>133</v>
      </c>
      <c r="T133" s="9">
        <f t="shared" si="61"/>
        <v>17538071119</v>
      </c>
      <c r="U133" s="3">
        <f t="shared" si="74"/>
        <v>136</v>
      </c>
      <c r="V133" s="10">
        <f t="shared" si="62"/>
        <v>56121827580</v>
      </c>
      <c r="W133" s="5">
        <f t="shared" si="75"/>
        <v>140</v>
      </c>
      <c r="X133" s="9">
        <f t="shared" si="63"/>
        <v>235711675836</v>
      </c>
      <c r="Y133" s="3">
        <f t="shared" si="76"/>
        <v>142</v>
      </c>
      <c r="Z133" s="10">
        <f t="shared" si="64"/>
        <v>565708022006</v>
      </c>
      <c r="AA133" s="5">
        <f t="shared" si="77"/>
        <v>144</v>
      </c>
      <c r="AB133" s="9">
        <f t="shared" si="65"/>
        <v>1414270055016</v>
      </c>
      <c r="AC133" s="3">
        <f t="shared" si="78"/>
        <v>146</v>
      </c>
      <c r="AD133" s="10">
        <f t="shared" si="66"/>
        <v>3959956154045</v>
      </c>
      <c r="AE133" s="5">
        <f t="shared" si="79"/>
        <v>149</v>
      </c>
      <c r="AF133" s="9">
        <f t="shared" si="67"/>
        <v>12671859692943</v>
      </c>
      <c r="AG133" s="3">
        <f t="shared" si="80"/>
        <v>152</v>
      </c>
      <c r="AH133" s="10">
        <f t="shared" si="68"/>
        <v>48153066833185</v>
      </c>
    </row>
    <row r="134" spans="1:34" x14ac:dyDescent="0.3">
      <c r="A134" s="2">
        <v>20</v>
      </c>
      <c r="B134" s="2" t="s">
        <v>233</v>
      </c>
      <c r="C134" s="2" t="s">
        <v>228</v>
      </c>
      <c r="D134" s="2" t="s">
        <v>45</v>
      </c>
      <c r="E134" s="2">
        <v>125</v>
      </c>
      <c r="F134" s="2" t="s">
        <v>56</v>
      </c>
      <c r="G134" s="2" t="s">
        <v>95</v>
      </c>
      <c r="H134" s="2">
        <v>32</v>
      </c>
      <c r="I134" s="3">
        <v>125</v>
      </c>
      <c r="J134" s="4">
        <v>92100000</v>
      </c>
      <c r="K134" s="5">
        <f t="shared" si="69"/>
        <v>126</v>
      </c>
      <c r="L134" s="9">
        <f t="shared" si="57"/>
        <v>150767700</v>
      </c>
      <c r="M134" s="3">
        <f t="shared" si="70"/>
        <v>127</v>
      </c>
      <c r="N134" s="10">
        <f t="shared" si="58"/>
        <v>263843475</v>
      </c>
      <c r="O134" s="5">
        <f t="shared" si="71"/>
        <v>129</v>
      </c>
      <c r="P134" s="9">
        <f t="shared" si="59"/>
        <v>554071298</v>
      </c>
      <c r="Q134" s="3">
        <f t="shared" si="72"/>
        <v>131</v>
      </c>
      <c r="R134" s="10">
        <f t="shared" si="60"/>
        <v>1592954980</v>
      </c>
      <c r="S134" s="5">
        <f t="shared" si="73"/>
        <v>133</v>
      </c>
      <c r="T134" s="9">
        <f t="shared" si="61"/>
        <v>4141682949</v>
      </c>
      <c r="U134" s="3">
        <f t="shared" si="74"/>
        <v>136</v>
      </c>
      <c r="V134" s="10">
        <f t="shared" si="62"/>
        <v>13253385436</v>
      </c>
      <c r="W134" s="5">
        <f t="shared" si="75"/>
        <v>140</v>
      </c>
      <c r="X134" s="9">
        <f t="shared" si="63"/>
        <v>55664218832</v>
      </c>
      <c r="Y134" s="3">
        <f t="shared" si="76"/>
        <v>142</v>
      </c>
      <c r="Z134" s="10">
        <f t="shared" si="64"/>
        <v>133594125197</v>
      </c>
      <c r="AA134" s="5">
        <f t="shared" si="77"/>
        <v>144</v>
      </c>
      <c r="AB134" s="9">
        <f t="shared" si="65"/>
        <v>333985312992</v>
      </c>
      <c r="AC134" s="3">
        <f t="shared" si="78"/>
        <v>146</v>
      </c>
      <c r="AD134" s="10">
        <f t="shared" si="66"/>
        <v>935158876378</v>
      </c>
      <c r="AE134" s="5">
        <f t="shared" si="79"/>
        <v>149</v>
      </c>
      <c r="AF134" s="9">
        <f t="shared" si="67"/>
        <v>2992508404410</v>
      </c>
      <c r="AG134" s="3">
        <f t="shared" si="80"/>
        <v>152</v>
      </c>
      <c r="AH134" s="10">
        <f t="shared" si="68"/>
        <v>11371531936760</v>
      </c>
    </row>
    <row r="135" spans="1:34" x14ac:dyDescent="0.3">
      <c r="A135" s="2">
        <v>12</v>
      </c>
      <c r="B135" s="2" t="s">
        <v>234</v>
      </c>
      <c r="C135" s="2" t="s">
        <v>228</v>
      </c>
      <c r="D135" s="2" t="s">
        <v>40</v>
      </c>
      <c r="E135" s="2">
        <v>125</v>
      </c>
      <c r="F135" s="2" t="s">
        <v>223</v>
      </c>
      <c r="G135" s="2" t="s">
        <v>185</v>
      </c>
      <c r="H135" s="2">
        <v>33</v>
      </c>
      <c r="I135" s="3">
        <v>125</v>
      </c>
      <c r="J135" s="4">
        <v>132000000</v>
      </c>
      <c r="K135" s="5">
        <f t="shared" si="69"/>
        <v>126</v>
      </c>
      <c r="L135" s="9">
        <f t="shared" si="57"/>
        <v>216084000</v>
      </c>
      <c r="M135" s="3">
        <f t="shared" si="70"/>
        <v>127</v>
      </c>
      <c r="N135" s="10">
        <f t="shared" si="58"/>
        <v>378147000</v>
      </c>
      <c r="O135" s="5">
        <f t="shared" si="71"/>
        <v>129</v>
      </c>
      <c r="P135" s="9">
        <f t="shared" si="59"/>
        <v>794108700</v>
      </c>
      <c r="Q135" s="3">
        <f t="shared" si="72"/>
        <v>131</v>
      </c>
      <c r="R135" s="10">
        <f t="shared" si="60"/>
        <v>2283062513</v>
      </c>
      <c r="S135" s="5">
        <f t="shared" si="73"/>
        <v>133</v>
      </c>
      <c r="T135" s="9">
        <f t="shared" si="61"/>
        <v>5935962533</v>
      </c>
      <c r="U135" s="3">
        <f t="shared" si="74"/>
        <v>136</v>
      </c>
      <c r="V135" s="10">
        <f t="shared" si="62"/>
        <v>18995080104</v>
      </c>
      <c r="W135" s="5">
        <f t="shared" si="75"/>
        <v>140</v>
      </c>
      <c r="X135" s="9">
        <f t="shared" si="63"/>
        <v>79779336437</v>
      </c>
      <c r="Y135" s="3">
        <f t="shared" si="76"/>
        <v>142</v>
      </c>
      <c r="Z135" s="10">
        <f t="shared" si="64"/>
        <v>191470407448</v>
      </c>
      <c r="AA135" s="5">
        <f t="shared" si="77"/>
        <v>144</v>
      </c>
      <c r="AB135" s="9">
        <f t="shared" si="65"/>
        <v>478676018621</v>
      </c>
      <c r="AC135" s="3">
        <f t="shared" si="78"/>
        <v>146</v>
      </c>
      <c r="AD135" s="10">
        <f t="shared" si="66"/>
        <v>1340292852138</v>
      </c>
      <c r="AE135" s="5">
        <f t="shared" si="79"/>
        <v>149</v>
      </c>
      <c r="AF135" s="9">
        <f t="shared" si="67"/>
        <v>4288937126842</v>
      </c>
      <c r="AG135" s="3">
        <f t="shared" si="80"/>
        <v>152</v>
      </c>
      <c r="AH135" s="10">
        <f t="shared" si="68"/>
        <v>16297961082001</v>
      </c>
    </row>
    <row r="136" spans="1:34" x14ac:dyDescent="0.3">
      <c r="A136" s="2">
        <v>124</v>
      </c>
      <c r="B136" s="2" t="s">
        <v>235</v>
      </c>
      <c r="C136" s="2" t="s">
        <v>228</v>
      </c>
      <c r="D136" s="2" t="s">
        <v>33</v>
      </c>
      <c r="E136" s="2">
        <v>125</v>
      </c>
      <c r="F136" s="2" t="s">
        <v>30</v>
      </c>
      <c r="G136" s="2" t="s">
        <v>95</v>
      </c>
      <c r="H136" s="2">
        <v>32</v>
      </c>
      <c r="I136" s="3">
        <v>125</v>
      </c>
      <c r="J136" s="4">
        <v>48500000</v>
      </c>
      <c r="K136" s="5">
        <f t="shared" si="69"/>
        <v>126</v>
      </c>
      <c r="L136" s="9">
        <f t="shared" si="57"/>
        <v>79394500</v>
      </c>
      <c r="M136" s="3">
        <f t="shared" si="70"/>
        <v>127</v>
      </c>
      <c r="N136" s="10">
        <f t="shared" si="58"/>
        <v>138940375</v>
      </c>
      <c r="O136" s="5">
        <f t="shared" si="71"/>
        <v>129</v>
      </c>
      <c r="P136" s="9">
        <f t="shared" si="59"/>
        <v>291774788</v>
      </c>
      <c r="Q136" s="3">
        <f t="shared" si="72"/>
        <v>131</v>
      </c>
      <c r="R136" s="10">
        <f>ROUND($J136*1.637*1.75*2.1*2.3*1,0)</f>
        <v>671082011</v>
      </c>
      <c r="S136" s="5">
        <f t="shared" si="73"/>
        <v>133</v>
      </c>
      <c r="T136" s="9">
        <f>ROUND($J136*1.637*1.75*2.1*2.3*2.6*1,0)</f>
        <v>1744813229</v>
      </c>
      <c r="U136" s="3">
        <f t="shared" si="74"/>
        <v>136</v>
      </c>
      <c r="V136" s="10">
        <f>ROUND($J136*1.637*1.75*2.1*2.3*2.6*3.2*1,0)</f>
        <v>5583402334</v>
      </c>
      <c r="W136" s="5">
        <f t="shared" si="75"/>
        <v>140</v>
      </c>
      <c r="X136" s="9">
        <f>ROUND($J136*1.637*1.75*2.1*2.3*2.6*3.2*4.2*1,0)</f>
        <v>23450289801</v>
      </c>
      <c r="Y136" s="3">
        <f t="shared" si="76"/>
        <v>142</v>
      </c>
      <c r="Z136" s="10">
        <f>ROUND($J136*1.637*1.75*2.1*2.3*2.6*3.2*4.2*2.4*1,0)</f>
        <v>56280695523</v>
      </c>
      <c r="AA136" s="5">
        <f t="shared" si="77"/>
        <v>144</v>
      </c>
      <c r="AB136" s="9">
        <f>ROUND($J136*1.637*1.75*2.1*2.3*2.6*3.2*4.2*2.4*2.5*1,0)</f>
        <v>140701738807</v>
      </c>
      <c r="AC136" s="3">
        <f t="shared" si="78"/>
        <v>146</v>
      </c>
      <c r="AD136" s="10">
        <f>ROUND($J136*1.637*1.75*2.1*2.3*2.6*3.2*4.2*2.4*2.5*2.8*1,0)</f>
        <v>393964868659</v>
      </c>
      <c r="AE136" s="5">
        <f t="shared" si="79"/>
        <v>149</v>
      </c>
      <c r="AF136" s="9">
        <f>ROUND($J136*1.637*1.75*2.1*2.3*2.6*3.2*4.2*2.4*2.5*2.8*3.2*1,0)</f>
        <v>1260687579708</v>
      </c>
      <c r="AG136" s="3">
        <f t="shared" si="80"/>
        <v>152</v>
      </c>
      <c r="AH136" s="10">
        <f>ROUND($J136*1.637*1.75*2.1*2.3*2.6*3.2*4.2*2.4*2.5*2.8*3.2*3.8*1,0)</f>
        <v>4790612802891</v>
      </c>
    </row>
    <row r="137" spans="1:34" x14ac:dyDescent="0.3">
      <c r="A137" s="2">
        <v>123</v>
      </c>
      <c r="B137" s="2" t="s">
        <v>236</v>
      </c>
      <c r="C137" s="2" t="s">
        <v>228</v>
      </c>
      <c r="D137" s="2" t="s">
        <v>79</v>
      </c>
      <c r="E137" s="2">
        <v>125</v>
      </c>
      <c r="F137" s="2" t="s">
        <v>237</v>
      </c>
      <c r="G137" s="2" t="s">
        <v>35</v>
      </c>
      <c r="H137" s="2">
        <v>32</v>
      </c>
      <c r="I137" s="3">
        <v>125</v>
      </c>
      <c r="J137" s="4">
        <v>331000000</v>
      </c>
      <c r="K137" s="5">
        <f t="shared" si="69"/>
        <v>126</v>
      </c>
      <c r="L137" s="9">
        <f t="shared" si="57"/>
        <v>541847000</v>
      </c>
      <c r="M137" s="3">
        <f t="shared" si="70"/>
        <v>127</v>
      </c>
      <c r="N137" s="10">
        <f t="shared" si="58"/>
        <v>948232250</v>
      </c>
      <c r="O137" s="5">
        <f t="shared" si="71"/>
        <v>129</v>
      </c>
      <c r="P137" s="9">
        <f t="shared" si="59"/>
        <v>1991287725</v>
      </c>
      <c r="Q137" s="3">
        <f t="shared" si="72"/>
        <v>131</v>
      </c>
      <c r="R137" s="10">
        <f>ROUND($J137*1.637*1.75*2.1*2.3*1.25,0)</f>
        <v>5724952209</v>
      </c>
      <c r="S137" s="5">
        <f t="shared" si="73"/>
        <v>133</v>
      </c>
      <c r="T137" s="9">
        <f>ROUND($J137*1.637*1.75*2.1*2.3*2.6*1.25,0)</f>
        <v>14884875744</v>
      </c>
      <c r="U137" s="3">
        <f t="shared" si="74"/>
        <v>136</v>
      </c>
      <c r="V137" s="10">
        <f>ROUND($J137*1.637*1.75*2.1*2.3*2.6*3.2*1.25,0)</f>
        <v>47631602382</v>
      </c>
      <c r="W137" s="5">
        <f t="shared" si="75"/>
        <v>140</v>
      </c>
      <c r="X137" s="9">
        <f>ROUND($J137*1.637*1.75*2.1*2.3*2.6*3.2*4.2*1.25,0)</f>
        <v>200052730004</v>
      </c>
      <c r="Y137" s="3">
        <f t="shared" si="76"/>
        <v>142</v>
      </c>
      <c r="Z137" s="10">
        <f>ROUND($J137*1.637*1.75*2.1*2.3*2.6*3.2*4.2*2.4*1.25,0)</f>
        <v>480126552011</v>
      </c>
      <c r="AA137" s="5">
        <f t="shared" si="77"/>
        <v>144</v>
      </c>
      <c r="AB137" s="9">
        <f>ROUND($J137*1.637*1.75*2.1*2.3*2.6*3.2*4.2*2.4*2.5*1.25,0)</f>
        <v>1200316380026</v>
      </c>
      <c r="AC137" s="3">
        <f t="shared" si="78"/>
        <v>146</v>
      </c>
      <c r="AD137" s="10">
        <f>ROUND($J137*1.637*1.75*2.1*2.3*2.6*3.2*4.2*2.4*2.5*2.8*1.25,0)</f>
        <v>3360885864074</v>
      </c>
      <c r="AE137" s="5">
        <f t="shared" si="79"/>
        <v>149</v>
      </c>
      <c r="AF137" s="9">
        <f>ROUND($J137*1.637*1.75*2.1*2.3*2.6*3.2*4.2*2.4*2.5*2.8*3.2*1.25,0)</f>
        <v>10754834765037</v>
      </c>
      <c r="AG137" s="3">
        <f t="shared" si="80"/>
        <v>152</v>
      </c>
      <c r="AH137" s="10">
        <f>ROUND($J137*1.637*1.75*2.1*2.3*2.6*3.2*4.2*2.4*2.5*2.8*3.2*3.8*1.25,0)</f>
        <v>40868372107139</v>
      </c>
    </row>
    <row r="138" spans="1:34" x14ac:dyDescent="0.3">
      <c r="A138" s="2">
        <v>18</v>
      </c>
      <c r="B138" s="2" t="s">
        <v>238</v>
      </c>
      <c r="C138" s="2" t="s">
        <v>228</v>
      </c>
      <c r="D138" s="2" t="s">
        <v>45</v>
      </c>
      <c r="E138" s="2">
        <v>125</v>
      </c>
      <c r="F138" s="2" t="s">
        <v>71</v>
      </c>
      <c r="G138" s="2" t="s">
        <v>72</v>
      </c>
      <c r="H138" s="2">
        <v>32</v>
      </c>
      <c r="I138" s="3">
        <v>125</v>
      </c>
      <c r="J138" s="4">
        <v>197000000</v>
      </c>
      <c r="K138" s="5">
        <f t="shared" si="69"/>
        <v>126</v>
      </c>
      <c r="L138" s="9">
        <f t="shared" si="57"/>
        <v>322489000</v>
      </c>
      <c r="M138" s="3">
        <f t="shared" si="70"/>
        <v>127</v>
      </c>
      <c r="N138" s="10">
        <f t="shared" si="58"/>
        <v>564355750</v>
      </c>
      <c r="O138" s="5">
        <f t="shared" si="71"/>
        <v>129</v>
      </c>
      <c r="P138" s="9">
        <f t="shared" si="59"/>
        <v>1185147075</v>
      </c>
      <c r="Q138" s="3">
        <f t="shared" si="72"/>
        <v>131</v>
      </c>
      <c r="R138" s="10">
        <f>ROUND($J138*1.637*1.75*2.1*2.3*1.25,0)</f>
        <v>3407297841</v>
      </c>
      <c r="S138" s="5">
        <f t="shared" si="73"/>
        <v>133</v>
      </c>
      <c r="T138" s="9">
        <f>ROUND($J138*1.637*1.75*2.1*2.3*2.6*1.25,0)</f>
        <v>8858974386</v>
      </c>
      <c r="U138" s="3">
        <f t="shared" si="74"/>
        <v>136</v>
      </c>
      <c r="V138" s="10">
        <f>ROUND($J138*1.637*1.75*2.1*2.3*2.6*3.2*1.25,0)</f>
        <v>28348718034</v>
      </c>
      <c r="W138" s="5">
        <f t="shared" si="75"/>
        <v>140</v>
      </c>
      <c r="X138" s="9">
        <f>ROUND($J138*1.637*1.75*2.1*2.3*2.6*3.2*4.2*1.25,0)</f>
        <v>119064615743</v>
      </c>
      <c r="Y138" s="3">
        <f t="shared" si="76"/>
        <v>142</v>
      </c>
      <c r="Z138" s="10">
        <f>ROUND($J138*1.637*1.75*2.1*2.3*2.6*3.2*4.2*2.4*1.25,0)</f>
        <v>285755077783</v>
      </c>
      <c r="AA138" s="5">
        <f t="shared" si="77"/>
        <v>144</v>
      </c>
      <c r="AB138" s="9">
        <f>ROUND($J138*1.637*1.75*2.1*2.3*2.6*3.2*4.2*2.4*2.5*1.25,0)</f>
        <v>714387694457</v>
      </c>
      <c r="AC138" s="3">
        <f t="shared" si="78"/>
        <v>146</v>
      </c>
      <c r="AD138" s="10">
        <f>ROUND($J138*1.637*1.75*2.1*2.3*2.6*3.2*4.2*2.4*2.5*2.8*1.25,0)</f>
        <v>2000285544479</v>
      </c>
      <c r="AE138" s="5">
        <f t="shared" si="79"/>
        <v>149</v>
      </c>
      <c r="AF138" s="9">
        <f>ROUND($J138*1.637*1.75*2.1*2.3*2.6*3.2*4.2*2.4*2.5*2.8*3.2*1.25,0)</f>
        <v>6400913742333</v>
      </c>
      <c r="AG138" s="3">
        <f t="shared" si="80"/>
        <v>152</v>
      </c>
      <c r="AH138" s="10">
        <f>ROUND($J138*1.637*1.75*2.1*2.3*2.6*3.2*4.2*2.4*2.5*2.8*3.2*3.8*1.25,0)</f>
        <v>24323472220865</v>
      </c>
    </row>
    <row r="139" spans="1:34" x14ac:dyDescent="0.3">
      <c r="A139" s="2">
        <v>17</v>
      </c>
      <c r="B139" s="2" t="s">
        <v>239</v>
      </c>
      <c r="C139" s="2" t="s">
        <v>228</v>
      </c>
      <c r="D139" s="2" t="s">
        <v>45</v>
      </c>
      <c r="E139" s="2">
        <v>125</v>
      </c>
      <c r="F139" s="2" t="s">
        <v>59</v>
      </c>
      <c r="G139" s="2" t="s">
        <v>218</v>
      </c>
      <c r="H139" s="2">
        <v>32</v>
      </c>
      <c r="I139" s="3">
        <v>125</v>
      </c>
      <c r="J139" s="4">
        <v>57500000</v>
      </c>
      <c r="K139" s="5">
        <f t="shared" si="69"/>
        <v>126</v>
      </c>
      <c r="L139" s="9">
        <f t="shared" si="57"/>
        <v>94127500</v>
      </c>
      <c r="M139" s="3">
        <f t="shared" si="70"/>
        <v>127</v>
      </c>
      <c r="N139" s="10">
        <f t="shared" si="58"/>
        <v>164723125</v>
      </c>
      <c r="O139" s="5">
        <f t="shared" si="71"/>
        <v>129</v>
      </c>
      <c r="P139" s="9">
        <f t="shared" si="59"/>
        <v>345918563</v>
      </c>
      <c r="Q139" s="3">
        <f t="shared" si="72"/>
        <v>131</v>
      </c>
      <c r="R139" s="10">
        <f>ROUND($J139*1.637*1.75*2.1*2.3*1,0)</f>
        <v>795612694</v>
      </c>
      <c r="S139" s="5">
        <f t="shared" si="73"/>
        <v>133</v>
      </c>
      <c r="T139" s="9">
        <f>ROUND($J139*1.637*1.75*2.1*2.3*2.6*1,0)</f>
        <v>2068593004</v>
      </c>
      <c r="U139" s="3">
        <f t="shared" si="74"/>
        <v>136</v>
      </c>
      <c r="V139" s="10">
        <f>ROUND($J139*1.637*1.75*2.1*2.3*2.6*3.2*1,0)</f>
        <v>6619497612</v>
      </c>
      <c r="W139" s="5">
        <f t="shared" si="75"/>
        <v>140</v>
      </c>
      <c r="X139" s="9">
        <f>ROUND($J139*1.637*1.75*2.1*2.3*2.6*3.2*4.2*1,0)</f>
        <v>27801889970</v>
      </c>
      <c r="Y139" s="3">
        <f t="shared" si="76"/>
        <v>142</v>
      </c>
      <c r="Z139" s="10">
        <f>ROUND($J139*1.637*1.75*2.1*2.3*2.6*3.2*4.2*2.4*1,0)</f>
        <v>66724535929</v>
      </c>
      <c r="AA139" s="5">
        <f t="shared" si="77"/>
        <v>144</v>
      </c>
      <c r="AB139" s="9">
        <f>ROUND($J139*1.637*1.75*2.1*2.3*2.6*3.2*4.2*2.4*2.5*1,0)</f>
        <v>166811339822</v>
      </c>
      <c r="AC139" s="3">
        <f t="shared" si="78"/>
        <v>146</v>
      </c>
      <c r="AD139" s="10">
        <f>ROUND($J139*1.637*1.75*2.1*2.3*2.6*3.2*4.2*2.4*2.5*2.8*1,0)</f>
        <v>467071751503</v>
      </c>
      <c r="AE139" s="5">
        <f t="shared" si="79"/>
        <v>149</v>
      </c>
      <c r="AF139" s="9">
        <f>ROUND($J139*1.637*1.75*2.1*2.3*2.6*3.2*4.2*2.4*2.5*2.8*3.2*1,0)</f>
        <v>1494629604809</v>
      </c>
      <c r="AG139" s="3">
        <f t="shared" si="80"/>
        <v>152</v>
      </c>
      <c r="AH139" s="10">
        <f>ROUND($J139*1.637*1.75*2.1*2.3*2.6*3.2*4.2*2.4*2.5*2.8*3.2*3.8*1,0)</f>
        <v>5679592498273</v>
      </c>
    </row>
    <row r="140" spans="1:34" x14ac:dyDescent="0.3">
      <c r="A140" s="2">
        <v>128</v>
      </c>
      <c r="B140" s="2" t="s">
        <v>240</v>
      </c>
      <c r="C140" s="2" t="s">
        <v>228</v>
      </c>
      <c r="D140" s="2" t="s">
        <v>241</v>
      </c>
      <c r="E140" s="2">
        <v>124</v>
      </c>
      <c r="F140" s="2" t="s">
        <v>62</v>
      </c>
      <c r="G140" s="2" t="s">
        <v>242</v>
      </c>
      <c r="H140" s="2">
        <v>31</v>
      </c>
      <c r="I140" s="3">
        <v>124</v>
      </c>
      <c r="J140" s="4">
        <v>21700000</v>
      </c>
      <c r="K140" s="5">
        <f t="shared" si="69"/>
        <v>125</v>
      </c>
      <c r="L140" s="9">
        <f t="shared" si="57"/>
        <v>35522900</v>
      </c>
      <c r="M140" s="3">
        <f t="shared" si="70"/>
        <v>126</v>
      </c>
      <c r="N140" s="10">
        <f t="shared" si="58"/>
        <v>62165075</v>
      </c>
      <c r="O140" s="5">
        <f t="shared" si="71"/>
        <v>128</v>
      </c>
      <c r="P140" s="9">
        <f t="shared" si="59"/>
        <v>130546658</v>
      </c>
      <c r="Q140" s="3">
        <f t="shared" si="72"/>
        <v>130</v>
      </c>
      <c r="R140" s="10">
        <f>ROUND($J140*1.637*1.75*2.1*2.3*1,0)</f>
        <v>300257312</v>
      </c>
      <c r="S140" s="5">
        <f t="shared" si="73"/>
        <v>132</v>
      </c>
      <c r="T140" s="9">
        <f>ROUND($J140*1.637*1.75*2.1*2.3*2.6*1,0)</f>
        <v>780669012</v>
      </c>
      <c r="U140" s="3">
        <f t="shared" si="74"/>
        <v>135</v>
      </c>
      <c r="V140" s="10">
        <f>ROUND($J140*1.637*1.75*2.1*2.3*2.6*3.2*1,0)</f>
        <v>2498140838</v>
      </c>
      <c r="W140" s="5">
        <f t="shared" si="75"/>
        <v>139</v>
      </c>
      <c r="X140" s="9">
        <f>ROUND($J140*1.637*1.75*2.1*2.3*2.6*3.2*4.2*1,0)</f>
        <v>10492191519</v>
      </c>
      <c r="Y140" s="3">
        <f t="shared" si="76"/>
        <v>141</v>
      </c>
      <c r="Z140" s="10">
        <f>ROUND($J140*1.637*1.75*2.1*2.3*2.6*3.2*4.2*2.4*1,0)</f>
        <v>25181259646</v>
      </c>
      <c r="AA140" s="5">
        <f t="shared" si="77"/>
        <v>143</v>
      </c>
      <c r="AB140" s="9">
        <f>ROUND($J140*1.637*1.75*2.1*2.3*2.6*3.2*4.2*2.4*2.5*1,0)</f>
        <v>62953149116</v>
      </c>
      <c r="AC140" s="3">
        <f t="shared" si="78"/>
        <v>145</v>
      </c>
      <c r="AD140" s="10">
        <f>ROUND($J140*1.637*1.75*2.1*2.3*2.6*3.2*4.2*2.4*2.5*2.8*1,0)</f>
        <v>176268817524</v>
      </c>
      <c r="AE140" s="5">
        <f t="shared" si="79"/>
        <v>148</v>
      </c>
      <c r="AF140" s="9">
        <f>ROUND($J140*1.637*1.75*2.1*2.3*2.6*3.2*4.2*2.4*2.5*2.8*3.2*1,0)</f>
        <v>564060216076</v>
      </c>
      <c r="AG140" s="3">
        <f t="shared" si="80"/>
        <v>151</v>
      </c>
      <c r="AH140" s="10">
        <f>ROUND($J140*1.637*1.75*2.1*2.3*2.6*3.2*4.2*2.4*2.5*2.8*3.2*3.8*1,0)</f>
        <v>2143428821087</v>
      </c>
    </row>
    <row r="141" spans="1:34" x14ac:dyDescent="0.3">
      <c r="A141" s="2">
        <v>126</v>
      </c>
      <c r="B141" s="2" t="s">
        <v>243</v>
      </c>
      <c r="C141" s="2" t="s">
        <v>228</v>
      </c>
      <c r="D141" s="2" t="s">
        <v>40</v>
      </c>
      <c r="E141" s="2">
        <v>124</v>
      </c>
      <c r="F141" s="2" t="s">
        <v>30</v>
      </c>
      <c r="G141" s="2" t="s">
        <v>244</v>
      </c>
      <c r="H141" s="2">
        <v>31</v>
      </c>
      <c r="I141" s="3">
        <v>124</v>
      </c>
      <c r="J141" s="4">
        <v>19400000</v>
      </c>
      <c r="K141" s="5">
        <f t="shared" si="69"/>
        <v>125</v>
      </c>
      <c r="L141" s="9">
        <f t="shared" si="57"/>
        <v>31757800</v>
      </c>
      <c r="M141" s="3">
        <f t="shared" si="70"/>
        <v>126</v>
      </c>
      <c r="N141" s="10">
        <f t="shared" si="58"/>
        <v>55576150</v>
      </c>
      <c r="O141" s="5">
        <f t="shared" si="71"/>
        <v>128</v>
      </c>
      <c r="P141" s="9">
        <f t="shared" si="59"/>
        <v>116709915</v>
      </c>
      <c r="Q141" s="3">
        <f t="shared" si="72"/>
        <v>130</v>
      </c>
      <c r="R141" s="10">
        <f>ROUND($J141*1.637*1.75*2.1*2.3*1,0)</f>
        <v>268432805</v>
      </c>
      <c r="S141" s="5">
        <f t="shared" si="73"/>
        <v>132</v>
      </c>
      <c r="T141" s="9">
        <f>ROUND($J141*1.637*1.75*2.1*2.3*2.6*1,0)</f>
        <v>697925292</v>
      </c>
      <c r="U141" s="3">
        <f t="shared" si="74"/>
        <v>135</v>
      </c>
      <c r="V141" s="10">
        <f>ROUND($J141*1.637*1.75*2.1*2.3*2.6*3.2*1,0)</f>
        <v>2233360933</v>
      </c>
      <c r="W141" s="5">
        <f t="shared" si="75"/>
        <v>139</v>
      </c>
      <c r="X141" s="9">
        <f>ROUND($J141*1.637*1.75*2.1*2.3*2.6*3.2*4.2*1,0)</f>
        <v>9380115920</v>
      </c>
      <c r="Y141" s="3">
        <f t="shared" si="76"/>
        <v>141</v>
      </c>
      <c r="Z141" s="10">
        <f>ROUND($J141*1.637*1.75*2.1*2.3*2.6*3.2*4.2*2.4*1,0)</f>
        <v>22512278209</v>
      </c>
      <c r="AA141" s="5">
        <f t="shared" si="77"/>
        <v>143</v>
      </c>
      <c r="AB141" s="9">
        <f>ROUND($J141*1.637*1.75*2.1*2.3*2.6*3.2*4.2*2.4*2.5*1,0)</f>
        <v>56280695523</v>
      </c>
      <c r="AC141" s="3">
        <f t="shared" si="78"/>
        <v>145</v>
      </c>
      <c r="AD141" s="10">
        <f>ROUND($J141*1.637*1.75*2.1*2.3*2.6*3.2*4.2*2.4*2.5*2.8*1,0)</f>
        <v>157585947464</v>
      </c>
      <c r="AE141" s="5">
        <f t="shared" si="79"/>
        <v>148</v>
      </c>
      <c r="AF141" s="9">
        <f>ROUND($J141*1.637*1.75*2.1*2.3*2.6*3.2*4.2*2.4*2.5*2.8*3.2*1,0)</f>
        <v>504275031883</v>
      </c>
      <c r="AG141" s="3">
        <f t="shared" si="80"/>
        <v>151</v>
      </c>
      <c r="AH141" s="10">
        <f>ROUND($J141*1.637*1.75*2.1*2.3*2.6*3.2*4.2*2.4*2.5*2.8*3.2*3.8*1,0)</f>
        <v>1916245121156</v>
      </c>
    </row>
    <row r="142" spans="1:34" x14ac:dyDescent="0.3">
      <c r="A142" s="2">
        <v>19</v>
      </c>
      <c r="B142" s="2" t="s">
        <v>245</v>
      </c>
      <c r="C142" s="2" t="s">
        <v>228</v>
      </c>
      <c r="D142" s="2" t="s">
        <v>45</v>
      </c>
      <c r="E142" s="2">
        <v>124</v>
      </c>
      <c r="F142" s="2" t="s">
        <v>212</v>
      </c>
      <c r="G142" s="2" t="s">
        <v>51</v>
      </c>
      <c r="H142" s="2">
        <v>32</v>
      </c>
      <c r="I142" s="3">
        <v>124</v>
      </c>
      <c r="J142" s="4">
        <v>18700000</v>
      </c>
      <c r="K142" s="5">
        <f t="shared" si="69"/>
        <v>125</v>
      </c>
      <c r="L142" s="9">
        <f t="shared" si="57"/>
        <v>30611900</v>
      </c>
      <c r="M142" s="3">
        <f t="shared" si="70"/>
        <v>126</v>
      </c>
      <c r="N142" s="10">
        <f t="shared" si="58"/>
        <v>53570825</v>
      </c>
      <c r="O142" s="5">
        <f t="shared" si="71"/>
        <v>128</v>
      </c>
      <c r="P142" s="9">
        <f t="shared" si="59"/>
        <v>112498733</v>
      </c>
      <c r="Q142" s="3">
        <f t="shared" si="72"/>
        <v>130</v>
      </c>
      <c r="R142" s="10">
        <f>ROUND($J142*1.637*1.75*2.1*2.3*1.25,0)</f>
        <v>323433856</v>
      </c>
      <c r="S142" s="5">
        <f t="shared" si="73"/>
        <v>132</v>
      </c>
      <c r="T142" s="9">
        <f>ROUND($J142*1.637*1.75*2.1*2.3*2.6*1.25,0)</f>
        <v>840928025</v>
      </c>
      <c r="U142" s="3">
        <f t="shared" si="74"/>
        <v>135</v>
      </c>
      <c r="V142" s="10">
        <f>ROUND($J142*1.637*1.75*2.1*2.3*2.6*3.2*1.25,0)</f>
        <v>2690969681</v>
      </c>
      <c r="W142" s="5">
        <f t="shared" si="75"/>
        <v>139</v>
      </c>
      <c r="X142" s="9">
        <f>ROUND($J142*1.637*1.75*2.1*2.3*2.6*3.2*4.2*1.25,0)</f>
        <v>11302072662</v>
      </c>
      <c r="Y142" s="3">
        <f t="shared" si="76"/>
        <v>141</v>
      </c>
      <c r="Z142" s="10">
        <f>ROUND($J142*1.637*1.75*2.1*2.3*2.6*3.2*4.2*2.4*1.25,0)</f>
        <v>27124974389</v>
      </c>
      <c r="AA142" s="5">
        <f t="shared" si="77"/>
        <v>143</v>
      </c>
      <c r="AB142" s="9">
        <f>ROUND($J142*1.637*1.75*2.1*2.3*2.6*3.2*4.2*2.4*2.5*1.25,0)</f>
        <v>67812435971</v>
      </c>
      <c r="AC142" s="3">
        <f t="shared" si="78"/>
        <v>145</v>
      </c>
      <c r="AD142" s="10">
        <f>ROUND($J142*1.637*1.75*2.1*2.3*2.6*3.2*4.2*2.4*2.5*2.8*1.25,0)</f>
        <v>189874820720</v>
      </c>
      <c r="AE142" s="5">
        <f t="shared" si="79"/>
        <v>148</v>
      </c>
      <c r="AF142" s="9">
        <f>ROUND($J142*1.637*1.75*2.1*2.3*2.6*3.2*4.2*2.4*2.5*2.8*3.2*1.25,0)</f>
        <v>607599426303</v>
      </c>
      <c r="AG142" s="3">
        <f t="shared" si="80"/>
        <v>151</v>
      </c>
      <c r="AH142" s="10">
        <f>ROUND($J142*1.637*1.75*2.1*2.3*2.6*3.2*4.2*2.4*2.5*2.8*3.2*3.8*1.25,0)</f>
        <v>2308877819950</v>
      </c>
    </row>
    <row r="143" spans="1:34" x14ac:dyDescent="0.3">
      <c r="A143" s="2">
        <v>125</v>
      </c>
      <c r="B143" s="2" t="s">
        <v>246</v>
      </c>
      <c r="C143" s="2" t="s">
        <v>228</v>
      </c>
      <c r="D143" s="2" t="s">
        <v>25</v>
      </c>
      <c r="E143" s="2">
        <v>124</v>
      </c>
      <c r="F143" s="2" t="s">
        <v>26</v>
      </c>
      <c r="G143" s="2" t="s">
        <v>247</v>
      </c>
      <c r="H143" s="2">
        <v>31</v>
      </c>
      <c r="I143" s="3">
        <v>124</v>
      </c>
      <c r="J143" s="4">
        <v>19700000</v>
      </c>
      <c r="K143" s="5">
        <f t="shared" si="69"/>
        <v>125</v>
      </c>
      <c r="L143" s="9">
        <f t="shared" si="57"/>
        <v>32248900</v>
      </c>
      <c r="M143" s="3">
        <f t="shared" si="70"/>
        <v>126</v>
      </c>
      <c r="N143" s="10">
        <f t="shared" si="58"/>
        <v>56435575</v>
      </c>
      <c r="O143" s="5">
        <f t="shared" si="71"/>
        <v>128</v>
      </c>
      <c r="P143" s="9">
        <f t="shared" si="59"/>
        <v>118514708</v>
      </c>
      <c r="Q143" s="3">
        <f t="shared" si="72"/>
        <v>130</v>
      </c>
      <c r="R143" s="10">
        <f>ROUND($J143*1.637*1.75*2.1*2.3*1,0)</f>
        <v>272583827</v>
      </c>
      <c r="S143" s="5">
        <f t="shared" si="73"/>
        <v>132</v>
      </c>
      <c r="T143" s="9">
        <f>ROUND($J143*1.637*1.75*2.1*2.3*2.6*1,0)</f>
        <v>708717951</v>
      </c>
      <c r="U143" s="3">
        <f t="shared" si="74"/>
        <v>135</v>
      </c>
      <c r="V143" s="10">
        <f>ROUND($J143*1.637*1.75*2.1*2.3*2.6*3.2*1,0)</f>
        <v>2267897443</v>
      </c>
      <c r="W143" s="5">
        <f t="shared" si="75"/>
        <v>139</v>
      </c>
      <c r="X143" s="9">
        <f>ROUND($J143*1.637*1.75*2.1*2.3*2.6*3.2*4.2*1,0)</f>
        <v>9525169259</v>
      </c>
      <c r="Y143" s="3">
        <f t="shared" si="76"/>
        <v>141</v>
      </c>
      <c r="Z143" s="10">
        <f>ROUND($J143*1.637*1.75*2.1*2.3*2.6*3.2*4.2*2.4*1,0)</f>
        <v>22860406223</v>
      </c>
      <c r="AA143" s="5">
        <f t="shared" si="77"/>
        <v>143</v>
      </c>
      <c r="AB143" s="9">
        <f>ROUND($J143*1.637*1.75*2.1*2.3*2.6*3.2*4.2*2.4*2.5*1,0)</f>
        <v>57151015557</v>
      </c>
      <c r="AC143" s="3">
        <f t="shared" si="78"/>
        <v>145</v>
      </c>
      <c r="AD143" s="10">
        <f>ROUND($J143*1.637*1.75*2.1*2.3*2.6*3.2*4.2*2.4*2.5*2.8*1,0)</f>
        <v>160022843558</v>
      </c>
      <c r="AE143" s="5">
        <f t="shared" si="79"/>
        <v>148</v>
      </c>
      <c r="AF143" s="9">
        <f>ROUND($J143*1.637*1.75*2.1*2.3*2.6*3.2*4.2*2.4*2.5*2.8*3.2*1,0)</f>
        <v>512073099387</v>
      </c>
      <c r="AG143" s="3">
        <f t="shared" si="80"/>
        <v>151</v>
      </c>
      <c r="AH143" s="10">
        <f>ROUND($J143*1.637*1.75*2.1*2.3*2.6*3.2*4.2*2.4*2.5*2.8*3.2*3.8*1,0)</f>
        <v>1945877777669</v>
      </c>
    </row>
    <row r="144" spans="1:34" x14ac:dyDescent="0.3">
      <c r="A144" s="2">
        <v>127</v>
      </c>
      <c r="B144" s="2" t="s">
        <v>248</v>
      </c>
      <c r="C144" s="2" t="s">
        <v>228</v>
      </c>
      <c r="D144" s="2" t="s">
        <v>33</v>
      </c>
      <c r="E144" s="2">
        <v>124</v>
      </c>
      <c r="F144" s="2" t="s">
        <v>54</v>
      </c>
      <c r="G144" s="2" t="s">
        <v>95</v>
      </c>
      <c r="H144" s="2">
        <v>31</v>
      </c>
      <c r="I144" s="3">
        <v>124</v>
      </c>
      <c r="J144" s="4">
        <v>22300000</v>
      </c>
      <c r="K144" s="5">
        <f t="shared" si="69"/>
        <v>125</v>
      </c>
      <c r="L144" s="9">
        <f t="shared" si="57"/>
        <v>36505100</v>
      </c>
      <c r="M144" s="3">
        <f t="shared" si="70"/>
        <v>126</v>
      </c>
      <c r="N144" s="10">
        <f t="shared" si="58"/>
        <v>63883925</v>
      </c>
      <c r="O144" s="5">
        <f t="shared" si="71"/>
        <v>128</v>
      </c>
      <c r="P144" s="9">
        <f t="shared" si="59"/>
        <v>134156243</v>
      </c>
      <c r="Q144" s="3">
        <f t="shared" si="72"/>
        <v>130</v>
      </c>
      <c r="R144" s="10">
        <f>ROUND($J144*1.637*1.75*2.1*2.3*1.25,0)</f>
        <v>385699197</v>
      </c>
      <c r="S144" s="5">
        <f t="shared" si="73"/>
        <v>132</v>
      </c>
      <c r="T144" s="9">
        <f>ROUND($J144*1.637*1.75*2.1*2.3*2.6*1.25,0)</f>
        <v>1002817913</v>
      </c>
      <c r="U144" s="3">
        <f t="shared" si="74"/>
        <v>135</v>
      </c>
      <c r="V144" s="10">
        <f>ROUND($J144*1.637*1.75*2.1*2.3*2.6*3.2*1.25,0)</f>
        <v>3209017321</v>
      </c>
      <c r="W144" s="5">
        <f t="shared" si="75"/>
        <v>139</v>
      </c>
      <c r="X144" s="9">
        <f>ROUND($J144*1.637*1.75*2.1*2.3*2.6*3.2*4.2*1.25,0)</f>
        <v>13477872747</v>
      </c>
      <c r="Y144" s="3">
        <f t="shared" si="76"/>
        <v>141</v>
      </c>
      <c r="Z144" s="10">
        <f>ROUND($J144*1.637*1.75*2.1*2.3*2.6*3.2*4.2*2.4*1.25,0)</f>
        <v>32346894592</v>
      </c>
      <c r="AA144" s="5">
        <f t="shared" si="77"/>
        <v>143</v>
      </c>
      <c r="AB144" s="9">
        <f>ROUND($J144*1.637*1.75*2.1*2.3*2.6*3.2*4.2*2.4*2.5*1.25,0)</f>
        <v>80867236479</v>
      </c>
      <c r="AC144" s="3">
        <f t="shared" si="78"/>
        <v>145</v>
      </c>
      <c r="AD144" s="10">
        <f>ROUND($J144*1.637*1.75*2.1*2.3*2.6*3.2*4.2*2.4*2.5*2.8*1.25,0)</f>
        <v>226428262142</v>
      </c>
      <c r="AE144" s="5">
        <f t="shared" si="79"/>
        <v>148</v>
      </c>
      <c r="AF144" s="9">
        <f>ROUND($J144*1.637*1.75*2.1*2.3*2.6*3.2*4.2*2.4*2.5*2.8*3.2*1.25,0)</f>
        <v>724570438853</v>
      </c>
      <c r="AG144" s="3">
        <f t="shared" si="80"/>
        <v>151</v>
      </c>
      <c r="AH144" s="10">
        <f>ROUND($J144*1.637*1.75*2.1*2.3*2.6*3.2*4.2*2.4*2.5*2.8*3.2*3.8*1.25,0)</f>
        <v>2753367667641</v>
      </c>
    </row>
    <row r="145" spans="1:34" x14ac:dyDescent="0.3">
      <c r="A145" s="2">
        <v>145</v>
      </c>
      <c r="B145" s="2" t="s">
        <v>249</v>
      </c>
      <c r="C145" s="2" t="s">
        <v>228</v>
      </c>
      <c r="D145" s="2" t="s">
        <v>64</v>
      </c>
      <c r="E145" s="2">
        <v>123</v>
      </c>
      <c r="F145" s="2" t="s">
        <v>194</v>
      </c>
      <c r="G145" s="2" t="s">
        <v>185</v>
      </c>
      <c r="H145" s="2">
        <v>31</v>
      </c>
      <c r="I145" s="3">
        <v>123</v>
      </c>
      <c r="J145" s="4">
        <v>12500000</v>
      </c>
      <c r="K145" s="5">
        <f t="shared" si="69"/>
        <v>124</v>
      </c>
      <c r="L145" s="9">
        <f t="shared" si="57"/>
        <v>20462500</v>
      </c>
      <c r="M145" s="3">
        <f t="shared" si="70"/>
        <v>125</v>
      </c>
      <c r="N145" s="10">
        <f t="shared" si="58"/>
        <v>35809375</v>
      </c>
      <c r="O145" s="5">
        <f t="shared" si="71"/>
        <v>127</v>
      </c>
      <c r="P145" s="9">
        <f t="shared" si="59"/>
        <v>75199688</v>
      </c>
      <c r="Q145" s="3">
        <f t="shared" si="72"/>
        <v>129</v>
      </c>
      <c r="R145" s="10">
        <f>ROUND($J145*1.637*1.75*2.1*2.3*1,0)</f>
        <v>172959281</v>
      </c>
      <c r="S145" s="5">
        <f t="shared" si="73"/>
        <v>131</v>
      </c>
      <c r="T145" s="9">
        <f>ROUND($J145*1.637*1.75*2.1*2.3*2.6*1,0)</f>
        <v>449694131</v>
      </c>
      <c r="U145" s="3">
        <f t="shared" si="74"/>
        <v>134</v>
      </c>
      <c r="V145" s="10">
        <f>ROUND($J145*1.637*1.75*2.1*2.3*2.6*3.2*1,0)</f>
        <v>1439021220</v>
      </c>
      <c r="W145" s="5">
        <f t="shared" si="75"/>
        <v>138</v>
      </c>
      <c r="X145" s="9">
        <f>ROUND($J145*1.637*1.75*2.1*2.3*2.6*3.2*4.2*1,0)</f>
        <v>6043889124</v>
      </c>
      <c r="Y145" s="3">
        <f t="shared" si="76"/>
        <v>140</v>
      </c>
      <c r="Z145" s="10">
        <f>ROUND($J145*1.637*1.75*2.1*2.3*2.6*3.2*4.2*2.4*1,0)</f>
        <v>14505333898</v>
      </c>
      <c r="AA145" s="5">
        <f t="shared" si="77"/>
        <v>142</v>
      </c>
      <c r="AB145" s="9">
        <f>ROUND($J145*1.637*1.75*2.1*2.3*2.6*3.2*4.2*2.4*2.5*1,0)</f>
        <v>36263334744</v>
      </c>
      <c r="AC145" s="3">
        <f t="shared" si="78"/>
        <v>144</v>
      </c>
      <c r="AD145" s="10">
        <f>ROUND($J145*1.637*1.75*2.1*2.3*2.6*3.2*4.2*2.4*2.5*2.8*1,0)</f>
        <v>101537337283</v>
      </c>
      <c r="AE145" s="5">
        <f t="shared" si="79"/>
        <v>147</v>
      </c>
      <c r="AF145" s="9">
        <f>ROUND($J145*1.637*1.75*2.1*2.3*2.6*3.2*4.2*2.4*2.5*2.8*3.2*1,0)</f>
        <v>324919479306</v>
      </c>
      <c r="AG145" s="3">
        <f t="shared" si="80"/>
        <v>150</v>
      </c>
      <c r="AH145" s="10">
        <f>ROUND($J145*1.637*1.75*2.1*2.3*2.6*3.2*4.2*2.4*2.5*2.8*3.2*3.8*1,0)</f>
        <v>1234694021364</v>
      </c>
    </row>
    <row r="146" spans="1:34" x14ac:dyDescent="0.3">
      <c r="A146" s="2">
        <v>142</v>
      </c>
      <c r="B146" s="2" t="s">
        <v>250</v>
      </c>
      <c r="C146" s="2" t="s">
        <v>228</v>
      </c>
      <c r="D146" s="2" t="s">
        <v>45</v>
      </c>
      <c r="E146" s="2">
        <v>123</v>
      </c>
      <c r="F146" s="2" t="s">
        <v>30</v>
      </c>
      <c r="G146" s="2" t="s">
        <v>86</v>
      </c>
      <c r="H146" s="2">
        <v>31</v>
      </c>
      <c r="I146" s="3">
        <v>123</v>
      </c>
      <c r="J146" s="4">
        <v>10300000</v>
      </c>
      <c r="K146" s="5">
        <f t="shared" si="69"/>
        <v>124</v>
      </c>
      <c r="L146" s="9">
        <f t="shared" si="57"/>
        <v>16861100</v>
      </c>
      <c r="M146" s="3">
        <f t="shared" si="70"/>
        <v>125</v>
      </c>
      <c r="N146" s="10">
        <f t="shared" si="58"/>
        <v>29506925</v>
      </c>
      <c r="O146" s="5">
        <f t="shared" si="71"/>
        <v>127</v>
      </c>
      <c r="P146" s="9">
        <f t="shared" si="59"/>
        <v>61964543</v>
      </c>
      <c r="Q146" s="3">
        <f t="shared" si="72"/>
        <v>129</v>
      </c>
      <c r="R146" s="10">
        <f>ROUND($J146*1.637*1.75*2.1*2.3*1,0)</f>
        <v>142518448</v>
      </c>
      <c r="S146" s="5">
        <f t="shared" si="73"/>
        <v>131</v>
      </c>
      <c r="T146" s="9">
        <f>ROUND($J146*1.637*1.75*2.1*2.3*2.6*1,0)</f>
        <v>370547964</v>
      </c>
      <c r="U146" s="3">
        <f t="shared" si="74"/>
        <v>134</v>
      </c>
      <c r="V146" s="10">
        <f>ROUND($J146*1.637*1.75*2.1*2.3*2.6*3.2*1,0)</f>
        <v>1185753485</v>
      </c>
      <c r="W146" s="5">
        <f t="shared" si="75"/>
        <v>138</v>
      </c>
      <c r="X146" s="9">
        <f>ROUND($J146*1.637*1.75*2.1*2.3*2.6*3.2*4.2*1,0)</f>
        <v>4980164638</v>
      </c>
      <c r="Y146" s="3">
        <f t="shared" si="76"/>
        <v>140</v>
      </c>
      <c r="Z146" s="10">
        <f>ROUND($J146*1.637*1.75*2.1*2.3*2.6*3.2*4.2*2.4*1,0)</f>
        <v>11952395132</v>
      </c>
      <c r="AA146" s="5">
        <f t="shared" si="77"/>
        <v>142</v>
      </c>
      <c r="AB146" s="9">
        <f>ROUND($J146*1.637*1.75*2.1*2.3*2.6*3.2*4.2*2.4*2.5*1,0)</f>
        <v>29880987829</v>
      </c>
      <c r="AC146" s="3">
        <f t="shared" si="78"/>
        <v>144</v>
      </c>
      <c r="AD146" s="10">
        <f>ROUND($J146*1.637*1.75*2.1*2.3*2.6*3.2*4.2*2.4*2.5*2.8*1,0)</f>
        <v>83666765921</v>
      </c>
      <c r="AE146" s="5">
        <f t="shared" si="79"/>
        <v>147</v>
      </c>
      <c r="AF146" s="9">
        <f>ROUND($J146*1.637*1.75*2.1*2.3*2.6*3.2*4.2*2.4*2.5*2.8*3.2*1,0)</f>
        <v>267733650948</v>
      </c>
      <c r="AG146" s="3">
        <f t="shared" si="80"/>
        <v>150</v>
      </c>
      <c r="AH146" s="10">
        <f>ROUND($J146*1.637*1.75*2.1*2.3*2.6*3.2*4.2*2.4*2.5*2.8*3.2*3.8*1,0)</f>
        <v>1017387873604</v>
      </c>
    </row>
    <row r="147" spans="1:34" x14ac:dyDescent="0.3">
      <c r="A147" s="2">
        <v>130</v>
      </c>
      <c r="B147" s="2" t="s">
        <v>251</v>
      </c>
      <c r="C147" s="2" t="s">
        <v>228</v>
      </c>
      <c r="D147" s="2" t="s">
        <v>40</v>
      </c>
      <c r="E147" s="2">
        <v>123</v>
      </c>
      <c r="F147" s="2" t="s">
        <v>59</v>
      </c>
      <c r="G147" s="2" t="s">
        <v>252</v>
      </c>
      <c r="H147" s="2">
        <v>33</v>
      </c>
      <c r="I147" s="3">
        <v>123</v>
      </c>
      <c r="J147" s="4">
        <v>34000000</v>
      </c>
      <c r="K147" s="5">
        <f t="shared" si="69"/>
        <v>124</v>
      </c>
      <c r="L147" s="9">
        <f t="shared" si="57"/>
        <v>55658000</v>
      </c>
      <c r="M147" s="3">
        <f t="shared" si="70"/>
        <v>125</v>
      </c>
      <c r="N147" s="10">
        <f t="shared" si="58"/>
        <v>97401500</v>
      </c>
      <c r="O147" s="5">
        <f t="shared" si="71"/>
        <v>127</v>
      </c>
      <c r="P147" s="9">
        <f t="shared" si="59"/>
        <v>204543150</v>
      </c>
      <c r="Q147" s="3">
        <f t="shared" si="72"/>
        <v>129</v>
      </c>
      <c r="R147" s="10">
        <f>ROUND($J147*1.637*1.75*2.1*2.3*1.25,0)</f>
        <v>588061556</v>
      </c>
      <c r="S147" s="5">
        <f t="shared" si="73"/>
        <v>131</v>
      </c>
      <c r="T147" s="9">
        <f>ROUND($J147*1.637*1.75*2.1*2.3*2.6*1.25,0)</f>
        <v>1528960046</v>
      </c>
      <c r="U147" s="3">
        <f t="shared" si="74"/>
        <v>134</v>
      </c>
      <c r="V147" s="10">
        <f>ROUND($J147*1.637*1.75*2.1*2.3*2.6*3.2*1.25,0)</f>
        <v>4892672148</v>
      </c>
      <c r="W147" s="5">
        <f t="shared" si="75"/>
        <v>138</v>
      </c>
      <c r="X147" s="9">
        <f>ROUND($J147*1.637*1.75*2.1*2.3*2.6*3.2*4.2*1.25,0)</f>
        <v>20549223022</v>
      </c>
      <c r="Y147" s="3">
        <f t="shared" si="76"/>
        <v>140</v>
      </c>
      <c r="Z147" s="10">
        <f>ROUND($J147*1.637*1.75*2.1*2.3*2.6*3.2*4.2*2.4*1.25,0)</f>
        <v>49318135252</v>
      </c>
      <c r="AA147" s="5">
        <f t="shared" si="77"/>
        <v>142</v>
      </c>
      <c r="AB147" s="9">
        <f>ROUND($J147*1.637*1.75*2.1*2.3*2.6*3.2*4.2*2.4*2.5*1.25,0)</f>
        <v>123295338130</v>
      </c>
      <c r="AC147" s="3">
        <f t="shared" si="78"/>
        <v>144</v>
      </c>
      <c r="AD147" s="10">
        <f>ROUND($J147*1.637*1.75*2.1*2.3*2.6*3.2*4.2*2.4*2.5*2.8*1.25,0)</f>
        <v>345226946763</v>
      </c>
      <c r="AE147" s="5">
        <f t="shared" si="79"/>
        <v>147</v>
      </c>
      <c r="AF147" s="9">
        <f>ROUND($J147*1.637*1.75*2.1*2.3*2.6*3.2*4.2*2.4*2.5*2.8*3.2*1.25,0)</f>
        <v>1104726229641</v>
      </c>
      <c r="AG147" s="3">
        <f t="shared" si="80"/>
        <v>150</v>
      </c>
      <c r="AH147" s="10">
        <f>ROUND($J147*1.637*1.75*2.1*2.3*2.6*3.2*4.2*2.4*2.5*2.8*3.2*3.8*1.25,0)</f>
        <v>4197959672637</v>
      </c>
    </row>
    <row r="148" spans="1:34" x14ac:dyDescent="0.3">
      <c r="A148" s="2">
        <v>147</v>
      </c>
      <c r="B148" s="2" t="s">
        <v>253</v>
      </c>
      <c r="C148" s="2" t="s">
        <v>228</v>
      </c>
      <c r="D148" s="2" t="s">
        <v>75</v>
      </c>
      <c r="E148" s="2">
        <v>123</v>
      </c>
      <c r="F148" s="2" t="s">
        <v>34</v>
      </c>
      <c r="G148" s="2" t="s">
        <v>254</v>
      </c>
      <c r="H148" s="2">
        <v>31</v>
      </c>
      <c r="I148" s="3">
        <v>123</v>
      </c>
      <c r="J148" s="4">
        <v>11400000</v>
      </c>
      <c r="K148" s="5">
        <f t="shared" si="69"/>
        <v>124</v>
      </c>
      <c r="L148" s="9">
        <f>ROUND($J148*1.637*0.8,0)</f>
        <v>14929440</v>
      </c>
      <c r="M148" s="3">
        <f t="shared" si="70"/>
        <v>125</v>
      </c>
      <c r="N148" s="10">
        <f>ROUND($J148*1.637*1.75*0.8,0)</f>
        <v>26126520</v>
      </c>
      <c r="O148" s="5">
        <f t="shared" si="71"/>
        <v>127</v>
      </c>
      <c r="P148" s="9">
        <f>ROUND($J148*1.637*1.75*2.1*0.8,0)</f>
        <v>54865692</v>
      </c>
      <c r="Q148" s="3">
        <f t="shared" si="72"/>
        <v>129</v>
      </c>
      <c r="R148" s="10">
        <f>ROUND($J148*1.637*1.75*2.1*2.3*0.542035092435954,0)</f>
        <v>85500000</v>
      </c>
      <c r="S148" s="5">
        <f t="shared" si="73"/>
        <v>131</v>
      </c>
      <c r="T148" s="9">
        <f>ROUND($J148*1.637*1.75*2.1*2.3*2.6*0.544690061623969,0)</f>
        <v>223388859</v>
      </c>
      <c r="U148" s="3">
        <f t="shared" si="74"/>
        <v>134</v>
      </c>
      <c r="V148" s="10">
        <f>ROUND($J148*1.637*1.75*2.1*2.3*2.6*3.2*0.547345030811984,0)</f>
        <v>718328696</v>
      </c>
      <c r="W148" s="5">
        <f t="shared" si="75"/>
        <v>138</v>
      </c>
      <c r="X148" s="9">
        <f>ROUND($J148*1.637*1.75*2.1*2.3*2.6*3.2*4.2*0.55,0)</f>
        <v>3031614785</v>
      </c>
      <c r="Y148" s="3">
        <f t="shared" si="76"/>
        <v>140</v>
      </c>
      <c r="Z148" s="10">
        <f>ROUND($J148*1.637*1.75*2.1*2.3*2.6*3.2*4.2*2.4*0.55,0)</f>
        <v>7275875483</v>
      </c>
      <c r="AA148" s="5">
        <f t="shared" si="77"/>
        <v>142</v>
      </c>
      <c r="AB148" s="9">
        <f>ROUND($J148*1.637*1.75*2.1*2.3*2.6*3.2*4.2*2.4*2.5*0.55,0)</f>
        <v>18189688708</v>
      </c>
      <c r="AC148" s="3">
        <f t="shared" si="78"/>
        <v>144</v>
      </c>
      <c r="AD148" s="10">
        <f>ROUND($J148*1.637*1.75*2.1*2.3*2.6*3.2*4.2*2.4*2.5*2.8*0.55,0)</f>
        <v>50931128381</v>
      </c>
      <c r="AE148" s="5">
        <f t="shared" si="79"/>
        <v>147</v>
      </c>
      <c r="AF148" s="9">
        <f>ROUND($J148*1.637*1.75*2.1*2.3*2.6*3.2*4.2*2.4*2.5*2.8*3.2*0.55,0)</f>
        <v>162979610820</v>
      </c>
      <c r="AG148" s="3">
        <f t="shared" si="80"/>
        <v>150</v>
      </c>
      <c r="AH148" s="10">
        <f>ROUND($J148*1.637*1.75*2.1*2.3*2.6*3.2*4.2*2.4*2.5*2.8*3.2*3.8*0.55,0)</f>
        <v>619322521116</v>
      </c>
    </row>
    <row r="149" spans="1:34" x14ac:dyDescent="0.3">
      <c r="A149" s="2">
        <v>146</v>
      </c>
      <c r="B149" s="2" t="s">
        <v>255</v>
      </c>
      <c r="C149" s="2" t="s">
        <v>228</v>
      </c>
      <c r="D149" s="2" t="s">
        <v>25</v>
      </c>
      <c r="E149" s="2">
        <v>123</v>
      </c>
      <c r="F149" s="2" t="s">
        <v>37</v>
      </c>
      <c r="G149" s="2" t="s">
        <v>133</v>
      </c>
      <c r="H149" s="2">
        <v>31</v>
      </c>
      <c r="I149" s="3">
        <v>123</v>
      </c>
      <c r="J149" s="4">
        <v>11300000</v>
      </c>
      <c r="K149" s="5">
        <f t="shared" si="69"/>
        <v>124</v>
      </c>
      <c r="L149" s="9">
        <f>ROUND($J149*1.637*1,0)</f>
        <v>18498100</v>
      </c>
      <c r="M149" s="3">
        <f t="shared" si="70"/>
        <v>125</v>
      </c>
      <c r="N149" s="10">
        <f>ROUND($J149*1.637*1.75*1,0)</f>
        <v>32371675</v>
      </c>
      <c r="O149" s="5">
        <f t="shared" si="71"/>
        <v>127</v>
      </c>
      <c r="P149" s="9">
        <f>ROUND($J149*1.637*1.75*2.1*1,0)</f>
        <v>67980518</v>
      </c>
      <c r="Q149" s="3">
        <f t="shared" si="72"/>
        <v>129</v>
      </c>
      <c r="R149" s="10">
        <f>ROUND($J149*1.637*1.75*2.1*2.3*1.25,0)</f>
        <v>195443988</v>
      </c>
      <c r="S149" s="5">
        <f t="shared" si="73"/>
        <v>131</v>
      </c>
      <c r="T149" s="9">
        <f>ROUND($J149*1.637*1.75*2.1*2.3*2.6*1.25,0)</f>
        <v>508154368</v>
      </c>
      <c r="U149" s="3">
        <f t="shared" si="74"/>
        <v>134</v>
      </c>
      <c r="V149" s="10">
        <f>ROUND($J149*1.637*1.75*2.1*2.3*2.6*3.2*1.25,0)</f>
        <v>1626093979</v>
      </c>
      <c r="W149" s="5">
        <f t="shared" si="75"/>
        <v>138</v>
      </c>
      <c r="X149" s="9">
        <f>ROUND($J149*1.637*1.75*2.1*2.3*2.6*3.2*4.2*1.25,0)</f>
        <v>6829594710</v>
      </c>
      <c r="Y149" s="3">
        <f t="shared" si="76"/>
        <v>140</v>
      </c>
      <c r="Z149" s="10">
        <f>ROUND($J149*1.637*1.75*2.1*2.3*2.6*3.2*4.2*2.4*1.25,0)</f>
        <v>16391027304</v>
      </c>
      <c r="AA149" s="5">
        <f t="shared" si="77"/>
        <v>142</v>
      </c>
      <c r="AB149" s="9">
        <f>ROUND($J149*1.637*1.75*2.1*2.3*2.6*3.2*4.2*2.4*2.5*1.25,0)</f>
        <v>40977568261</v>
      </c>
      <c r="AC149" s="3">
        <f t="shared" si="78"/>
        <v>144</v>
      </c>
      <c r="AD149" s="10">
        <f>ROUND($J149*1.637*1.75*2.1*2.3*2.6*3.2*4.2*2.4*2.5*2.8*1.25,0)</f>
        <v>114737191130</v>
      </c>
      <c r="AE149" s="5">
        <f t="shared" si="79"/>
        <v>147</v>
      </c>
      <c r="AF149" s="9">
        <f>ROUND($J149*1.637*1.75*2.1*2.3*2.6*3.2*4.2*2.4*2.5*2.8*3.2*1.25,0)</f>
        <v>367159011616</v>
      </c>
      <c r="AG149" s="3">
        <f t="shared" si="80"/>
        <v>150</v>
      </c>
      <c r="AH149" s="10">
        <f>ROUND($J149*1.637*1.75*2.1*2.3*2.6*3.2*4.2*2.4*2.5*2.8*3.2*3.8*1.25,0)</f>
        <v>1395204244141</v>
      </c>
    </row>
    <row r="150" spans="1:34" x14ac:dyDescent="0.3">
      <c r="A150" s="2">
        <v>151</v>
      </c>
      <c r="B150" s="2" t="s">
        <v>256</v>
      </c>
      <c r="C150" s="2" t="s">
        <v>228</v>
      </c>
      <c r="D150" s="2" t="s">
        <v>47</v>
      </c>
      <c r="E150" s="2">
        <v>123</v>
      </c>
      <c r="F150" s="2" t="s">
        <v>71</v>
      </c>
      <c r="G150" s="2" t="s">
        <v>95</v>
      </c>
      <c r="H150" s="2">
        <v>28</v>
      </c>
      <c r="I150" s="3">
        <v>123</v>
      </c>
      <c r="J150" s="4">
        <v>13800000</v>
      </c>
      <c r="K150" s="5">
        <f t="shared" si="69"/>
        <v>124</v>
      </c>
      <c r="L150" s="9">
        <f>ROUND($J150*1.637*0.8,0)</f>
        <v>18072480</v>
      </c>
      <c r="M150" s="3">
        <f t="shared" si="70"/>
        <v>125</v>
      </c>
      <c r="N150" s="10">
        <f>ROUND($J150*1.637*1.75*0.8,0)</f>
        <v>31626840</v>
      </c>
      <c r="O150" s="5">
        <f t="shared" si="71"/>
        <v>127</v>
      </c>
      <c r="P150" s="9">
        <f>ROUND($J150*1.637*1.75*2.1*0.8,0)</f>
        <v>66416364</v>
      </c>
      <c r="Q150" s="3">
        <f t="shared" si="72"/>
        <v>129</v>
      </c>
      <c r="R150" s="10">
        <f>ROUND($J150*1.637*1.75*2.1*2.3*0.542035092435954,0)</f>
        <v>103500000</v>
      </c>
      <c r="S150" s="5">
        <f t="shared" si="73"/>
        <v>131</v>
      </c>
      <c r="T150" s="9">
        <f>ROUND($J150*1.637*1.75*2.1*2.3*2.6*0.544690061623969,0)</f>
        <v>270418092</v>
      </c>
      <c r="U150" s="3">
        <f t="shared" si="74"/>
        <v>134</v>
      </c>
      <c r="V150" s="10">
        <f>ROUND($J150*1.637*1.75*2.1*2.3*2.6*3.2*0.547345030811984,0)</f>
        <v>869555790</v>
      </c>
      <c r="W150" s="5">
        <f t="shared" si="75"/>
        <v>138</v>
      </c>
      <c r="X150" s="9">
        <f>ROUND($J150*1.637*1.75*2.1*2.3*2.6*3.2*4.2*0.55,0)</f>
        <v>3669849476</v>
      </c>
      <c r="Y150" s="3">
        <f t="shared" si="76"/>
        <v>140</v>
      </c>
      <c r="Z150" s="10">
        <f>ROUND($J150*1.637*1.75*2.1*2.3*2.6*3.2*4.2*2.4*0.55,0)</f>
        <v>8807638743</v>
      </c>
      <c r="AA150" s="5">
        <f t="shared" si="77"/>
        <v>142</v>
      </c>
      <c r="AB150" s="9">
        <f>ROUND($J150*1.637*1.75*2.1*2.3*2.6*3.2*4.2*2.4*2.5*0.55,0)</f>
        <v>22019096857</v>
      </c>
      <c r="AC150" s="3">
        <f t="shared" si="78"/>
        <v>144</v>
      </c>
      <c r="AD150" s="10">
        <f>ROUND($J150*1.637*1.75*2.1*2.3*2.6*3.2*4.2*2.4*2.5*2.8*0.55,0)</f>
        <v>61653471198</v>
      </c>
      <c r="AE150" s="5">
        <f t="shared" si="79"/>
        <v>147</v>
      </c>
      <c r="AF150" s="9">
        <f>ROUND($J150*1.637*1.75*2.1*2.3*2.6*3.2*4.2*2.4*2.5*2.8*3.2*0.55,0)</f>
        <v>197291107835</v>
      </c>
      <c r="AG150" s="3">
        <f t="shared" si="80"/>
        <v>150</v>
      </c>
      <c r="AH150" s="10">
        <f>ROUND($J150*1.637*1.75*2.1*2.3*2.6*3.2*4.2*2.4*2.5*2.8*3.2*3.8*0.55,0)</f>
        <v>749706209772</v>
      </c>
    </row>
    <row r="151" spans="1:34" x14ac:dyDescent="0.3">
      <c r="A151" s="2">
        <v>133</v>
      </c>
      <c r="B151" s="2" t="s">
        <v>257</v>
      </c>
      <c r="C151" s="2" t="s">
        <v>228</v>
      </c>
      <c r="D151" s="2" t="s">
        <v>93</v>
      </c>
      <c r="E151" s="2">
        <v>123</v>
      </c>
      <c r="F151" s="2" t="s">
        <v>258</v>
      </c>
      <c r="G151" s="2" t="s">
        <v>38</v>
      </c>
      <c r="H151" s="2">
        <v>32</v>
      </c>
      <c r="I151" s="3">
        <v>123</v>
      </c>
      <c r="J151" s="4">
        <v>239000000</v>
      </c>
      <c r="K151" s="5">
        <f t="shared" si="69"/>
        <v>124</v>
      </c>
      <c r="L151" s="9">
        <f>ROUND($J151*1.637*1,0)</f>
        <v>391243000</v>
      </c>
      <c r="M151" s="3">
        <f t="shared" si="70"/>
        <v>125</v>
      </c>
      <c r="N151" s="10">
        <f>ROUND($J151*1.637*1.75*1,0)</f>
        <v>684675250</v>
      </c>
      <c r="O151" s="5">
        <f t="shared" si="71"/>
        <v>127</v>
      </c>
      <c r="P151" s="9">
        <f>ROUND($J151*1.637*1.75*2.1*1,0)</f>
        <v>1437818025</v>
      </c>
      <c r="Q151" s="3">
        <f t="shared" si="72"/>
        <v>129</v>
      </c>
      <c r="R151" s="10">
        <f>ROUND($J151*1.637*1.75*2.1*2.3*1.25,0)</f>
        <v>4133726822</v>
      </c>
      <c r="S151" s="5">
        <f t="shared" si="73"/>
        <v>131</v>
      </c>
      <c r="T151" s="9">
        <f>ROUND($J151*1.637*1.75*2.1*2.3*2.6*1.25,0)</f>
        <v>10747689737</v>
      </c>
      <c r="U151" s="3">
        <f t="shared" si="74"/>
        <v>134</v>
      </c>
      <c r="V151" s="10">
        <f>ROUND($J151*1.637*1.75*2.1*2.3*2.6*3.2*1.25,0)</f>
        <v>34392607158</v>
      </c>
      <c r="W151" s="5">
        <f t="shared" si="75"/>
        <v>138</v>
      </c>
      <c r="X151" s="9">
        <f>ROUND($J151*1.637*1.75*2.1*2.3*2.6*3.2*4.2*1.25,0)</f>
        <v>144448950064</v>
      </c>
      <c r="Y151" s="3">
        <f t="shared" si="76"/>
        <v>140</v>
      </c>
      <c r="Z151" s="10">
        <f>ROUND($J151*1.637*1.75*2.1*2.3*2.6*3.2*4.2*2.4*1.25,0)</f>
        <v>346677480153</v>
      </c>
      <c r="AA151" s="5">
        <f t="shared" si="77"/>
        <v>142</v>
      </c>
      <c r="AB151" s="9">
        <f>ROUND($J151*1.637*1.75*2.1*2.3*2.6*3.2*4.2*2.4*2.5*1.25,0)</f>
        <v>866693700382</v>
      </c>
      <c r="AC151" s="3">
        <f t="shared" si="78"/>
        <v>144</v>
      </c>
      <c r="AD151" s="10">
        <f>ROUND($J151*1.637*1.75*2.1*2.3*2.6*3.2*4.2*2.4*2.5*2.8*1.25,0)</f>
        <v>2426742361068</v>
      </c>
      <c r="AE151" s="5">
        <f t="shared" si="79"/>
        <v>147</v>
      </c>
      <c r="AF151" s="9">
        <f>ROUND($J151*1.637*1.75*2.1*2.3*2.6*3.2*4.2*2.4*2.5*2.8*3.2*1.25,0)</f>
        <v>7765575555419</v>
      </c>
      <c r="AG151" s="3">
        <f t="shared" si="80"/>
        <v>150</v>
      </c>
      <c r="AH151" s="10">
        <f>ROUND($J151*1.637*1.75*2.1*2.3*2.6*3.2*4.2*2.4*2.5*2.8*3.2*3.8*1.25,0)</f>
        <v>29509187110593</v>
      </c>
    </row>
    <row r="152" spans="1:34" x14ac:dyDescent="0.3">
      <c r="A152" s="2">
        <v>137</v>
      </c>
      <c r="B152" s="2" t="s">
        <v>259</v>
      </c>
      <c r="C152" s="2" t="s">
        <v>228</v>
      </c>
      <c r="D152" s="2" t="s">
        <v>102</v>
      </c>
      <c r="E152" s="2">
        <v>123</v>
      </c>
      <c r="F152" s="2" t="s">
        <v>34</v>
      </c>
      <c r="G152" s="2" t="s">
        <v>35</v>
      </c>
      <c r="H152" s="2">
        <v>32</v>
      </c>
      <c r="I152" s="3">
        <v>123</v>
      </c>
      <c r="J152" s="4">
        <v>12700000</v>
      </c>
      <c r="K152" s="5">
        <f t="shared" si="69"/>
        <v>124</v>
      </c>
      <c r="L152" s="9">
        <f>ROUND($J152*1.637*1,0)</f>
        <v>20789900</v>
      </c>
      <c r="M152" s="3">
        <f t="shared" si="70"/>
        <v>125</v>
      </c>
      <c r="N152" s="10">
        <f>ROUND($J152*1.637*1.75*1,0)</f>
        <v>36382325</v>
      </c>
      <c r="O152" s="5">
        <f t="shared" si="71"/>
        <v>127</v>
      </c>
      <c r="P152" s="9">
        <f>ROUND($J152*1.637*1.75*2.1*1,0)</f>
        <v>76402883</v>
      </c>
      <c r="Q152" s="3">
        <f t="shared" si="72"/>
        <v>129</v>
      </c>
      <c r="R152" s="10">
        <f>ROUND($J152*1.637*1.75*2.1*2.3*1.25,0)</f>
        <v>219658287</v>
      </c>
      <c r="S152" s="5">
        <f t="shared" si="73"/>
        <v>131</v>
      </c>
      <c r="T152" s="9">
        <f>ROUND($J152*1.637*1.75*2.1*2.3*2.6*1.25,0)</f>
        <v>571111547</v>
      </c>
      <c r="U152" s="3">
        <f t="shared" si="74"/>
        <v>134</v>
      </c>
      <c r="V152" s="10">
        <f>ROUND($J152*1.637*1.75*2.1*2.3*2.6*3.2*1.25,0)</f>
        <v>1827556949</v>
      </c>
      <c r="W152" s="5">
        <f t="shared" si="75"/>
        <v>138</v>
      </c>
      <c r="X152" s="9">
        <f>ROUND($J152*1.637*1.75*2.1*2.3*2.6*3.2*4.2*1.25,0)</f>
        <v>7675739187</v>
      </c>
      <c r="Y152" s="3">
        <f t="shared" si="76"/>
        <v>140</v>
      </c>
      <c r="Z152" s="10">
        <f>ROUND($J152*1.637*1.75*2.1*2.3*2.6*3.2*4.2*2.4*1.25,0)</f>
        <v>18421774050</v>
      </c>
      <c r="AA152" s="5">
        <f t="shared" si="77"/>
        <v>142</v>
      </c>
      <c r="AB152" s="9">
        <f>ROUND($J152*1.637*1.75*2.1*2.3*2.6*3.2*4.2*2.4*2.5*1.25,0)</f>
        <v>46054435125</v>
      </c>
      <c r="AC152" s="3">
        <f t="shared" si="78"/>
        <v>144</v>
      </c>
      <c r="AD152" s="10">
        <f>ROUND($J152*1.637*1.75*2.1*2.3*2.6*3.2*4.2*2.4*2.5*2.8*1.25,0)</f>
        <v>128952418350</v>
      </c>
      <c r="AE152" s="5">
        <f t="shared" si="79"/>
        <v>147</v>
      </c>
      <c r="AF152" s="9">
        <f>ROUND($J152*1.637*1.75*2.1*2.3*2.6*3.2*4.2*2.4*2.5*2.8*3.2*1.25,0)</f>
        <v>412647738719</v>
      </c>
      <c r="AG152" s="3">
        <f t="shared" si="80"/>
        <v>150</v>
      </c>
      <c r="AH152" s="10">
        <f>ROUND($J152*1.637*1.75*2.1*2.3*2.6*3.2*4.2*2.4*2.5*2.8*3.2*3.8*1.25,0)</f>
        <v>1568061407132</v>
      </c>
    </row>
    <row r="153" spans="1:34" x14ac:dyDescent="0.3">
      <c r="A153" s="2">
        <v>139</v>
      </c>
      <c r="B153" s="2" t="s">
        <v>260</v>
      </c>
      <c r="C153" s="2" t="s">
        <v>228</v>
      </c>
      <c r="D153" s="2" t="s">
        <v>45</v>
      </c>
      <c r="E153" s="2">
        <v>123</v>
      </c>
      <c r="F153" s="2" t="s">
        <v>42</v>
      </c>
      <c r="G153" s="2" t="s">
        <v>261</v>
      </c>
      <c r="H153" s="2">
        <v>31</v>
      </c>
      <c r="I153" s="3">
        <v>123</v>
      </c>
      <c r="J153" s="4">
        <v>11700000</v>
      </c>
      <c r="K153" s="5">
        <f t="shared" si="69"/>
        <v>124</v>
      </c>
      <c r="L153" s="9">
        <f>ROUND($J153*1.637*0.8,0)</f>
        <v>15322320</v>
      </c>
      <c r="M153" s="3">
        <f t="shared" si="70"/>
        <v>125</v>
      </c>
      <c r="N153" s="10">
        <f>ROUND($J153*1.637*1.75*0.8,0)</f>
        <v>26814060</v>
      </c>
      <c r="O153" s="5">
        <f t="shared" si="71"/>
        <v>127</v>
      </c>
      <c r="P153" s="9">
        <f>ROUND($J153*1.637*1.75*2.1*0.8,0)</f>
        <v>56309526</v>
      </c>
      <c r="Q153" s="3">
        <f t="shared" si="72"/>
        <v>129</v>
      </c>
      <c r="R153" s="10">
        <f>ROUND($J153*1.637*1.75*2.1*2.3*0.542035092435954,0)</f>
        <v>87750000</v>
      </c>
      <c r="S153" s="5">
        <f t="shared" si="73"/>
        <v>131</v>
      </c>
      <c r="T153" s="9">
        <f>ROUND($J153*1.637*1.75*2.1*2.3*2.6*0.544690061623969,0)</f>
        <v>229267513</v>
      </c>
      <c r="U153" s="3">
        <f t="shared" si="74"/>
        <v>134</v>
      </c>
      <c r="V153" s="10">
        <f>ROUND($J153*1.637*1.75*2.1*2.3*2.6*3.2*0.547345030811984,0)</f>
        <v>737232083</v>
      </c>
      <c r="W153" s="5">
        <f t="shared" si="75"/>
        <v>138</v>
      </c>
      <c r="X153" s="9">
        <f>ROUND($J153*1.637*1.75*2.1*2.3*2.6*3.2*4.2*0.55,0)</f>
        <v>3111394121</v>
      </c>
      <c r="Y153" s="3">
        <f t="shared" si="76"/>
        <v>140</v>
      </c>
      <c r="Z153" s="10">
        <f>ROUND($J153*1.637*1.75*2.1*2.3*2.6*3.2*4.2*2.4*0.55,0)</f>
        <v>7467345890</v>
      </c>
      <c r="AA153" s="5">
        <f t="shared" si="77"/>
        <v>142</v>
      </c>
      <c r="AB153" s="9">
        <f>ROUND($J153*1.637*1.75*2.1*2.3*2.6*3.2*4.2*2.4*2.5*0.55,0)</f>
        <v>18668364726</v>
      </c>
      <c r="AC153" s="3">
        <f t="shared" si="78"/>
        <v>144</v>
      </c>
      <c r="AD153" s="10">
        <f>ROUND($J153*1.637*1.75*2.1*2.3*2.6*3.2*4.2*2.4*2.5*2.8*0.55,0)</f>
        <v>52271421233</v>
      </c>
      <c r="AE153" s="5">
        <f t="shared" si="79"/>
        <v>147</v>
      </c>
      <c r="AF153" s="9">
        <f>ROUND($J153*1.637*1.75*2.1*2.3*2.6*3.2*4.2*2.4*2.5*2.8*3.2*0.55,0)</f>
        <v>167268547947</v>
      </c>
      <c r="AG153" s="3">
        <f t="shared" si="80"/>
        <v>150</v>
      </c>
      <c r="AH153" s="10">
        <f>ROUND($J153*1.637*1.75*2.1*2.3*2.6*3.2*4.2*2.4*2.5*2.8*3.2*3.8*0.55,0)</f>
        <v>635620482198</v>
      </c>
    </row>
    <row r="154" spans="1:34" x14ac:dyDescent="0.3">
      <c r="A154" s="2">
        <v>149</v>
      </c>
      <c r="B154" s="2" t="s">
        <v>262</v>
      </c>
      <c r="C154" s="2" t="s">
        <v>228</v>
      </c>
      <c r="D154" s="2" t="s">
        <v>33</v>
      </c>
      <c r="E154" s="2">
        <v>123</v>
      </c>
      <c r="F154" s="2" t="s">
        <v>71</v>
      </c>
      <c r="G154" s="2" t="s">
        <v>247</v>
      </c>
      <c r="H154" s="2">
        <v>31</v>
      </c>
      <c r="I154" s="3">
        <v>123</v>
      </c>
      <c r="J154" s="4">
        <v>13200000</v>
      </c>
      <c r="K154" s="5">
        <f t="shared" si="69"/>
        <v>124</v>
      </c>
      <c r="L154" s="9">
        <f>ROUND($J154*1.637*0.8,0)</f>
        <v>17286720</v>
      </c>
      <c r="M154" s="3">
        <f t="shared" si="70"/>
        <v>125</v>
      </c>
      <c r="N154" s="10">
        <f>ROUND($J154*1.637*1.75*0.8,0)</f>
        <v>30251760</v>
      </c>
      <c r="O154" s="5">
        <f t="shared" si="71"/>
        <v>127</v>
      </c>
      <c r="P154" s="9">
        <f>ROUND($J154*1.637*1.75*2.1*0.8,0)</f>
        <v>63528696</v>
      </c>
      <c r="Q154" s="3">
        <f t="shared" si="72"/>
        <v>129</v>
      </c>
      <c r="R154" s="10">
        <f>ROUND($J154*1.637*1.75*2.1*2.3*0.542035092435954,0)</f>
        <v>99000000</v>
      </c>
      <c r="S154" s="5">
        <f t="shared" si="73"/>
        <v>131</v>
      </c>
      <c r="T154" s="9">
        <f>ROUND($J154*1.637*1.75*2.1*2.3*2.6*0.544690061623969,0)</f>
        <v>258660784</v>
      </c>
      <c r="U154" s="3">
        <f t="shared" si="74"/>
        <v>134</v>
      </c>
      <c r="V154" s="10">
        <f>ROUND($J154*1.637*1.75*2.1*2.3*2.6*3.2*0.547345030811984,0)</f>
        <v>831749016</v>
      </c>
      <c r="W154" s="5">
        <f t="shared" si="75"/>
        <v>138</v>
      </c>
      <c r="X154" s="9">
        <f>ROUND($J154*1.637*1.75*2.1*2.3*2.6*3.2*4.2*0.55,0)</f>
        <v>3510290803</v>
      </c>
      <c r="Y154" s="3">
        <f t="shared" si="76"/>
        <v>140</v>
      </c>
      <c r="Z154" s="10">
        <f>ROUND($J154*1.637*1.75*2.1*2.3*2.6*3.2*4.2*2.4*0.55,0)</f>
        <v>8424697928</v>
      </c>
      <c r="AA154" s="5">
        <f t="shared" si="77"/>
        <v>142</v>
      </c>
      <c r="AB154" s="9">
        <f>ROUND($J154*1.637*1.75*2.1*2.3*2.6*3.2*4.2*2.4*2.5*0.55,0)</f>
        <v>21061744819</v>
      </c>
      <c r="AC154" s="3">
        <f t="shared" si="78"/>
        <v>144</v>
      </c>
      <c r="AD154" s="10">
        <f>ROUND($J154*1.637*1.75*2.1*2.3*2.6*3.2*4.2*2.4*2.5*2.8*0.55,0)</f>
        <v>58972885494</v>
      </c>
      <c r="AE154" s="5">
        <f t="shared" si="79"/>
        <v>147</v>
      </c>
      <c r="AF154" s="9">
        <f>ROUND($J154*1.637*1.75*2.1*2.3*2.6*3.2*4.2*2.4*2.5*2.8*3.2*0.55,0)</f>
        <v>188713233581</v>
      </c>
      <c r="AG154" s="3">
        <f t="shared" si="80"/>
        <v>150</v>
      </c>
      <c r="AH154" s="10">
        <f>ROUND($J154*1.637*1.75*2.1*2.3*2.6*3.2*4.2*2.4*2.5*2.8*3.2*3.8*0.55,0)</f>
        <v>717110287608</v>
      </c>
    </row>
    <row r="155" spans="1:34" x14ac:dyDescent="0.3">
      <c r="A155" s="2">
        <v>141</v>
      </c>
      <c r="B155" s="2" t="s">
        <v>263</v>
      </c>
      <c r="C155" s="2" t="s">
        <v>228</v>
      </c>
      <c r="D155" s="2" t="s">
        <v>40</v>
      </c>
      <c r="E155" s="2">
        <v>123</v>
      </c>
      <c r="F155" s="2" t="s">
        <v>30</v>
      </c>
      <c r="G155" s="2" t="s">
        <v>98</v>
      </c>
      <c r="H155" s="2">
        <v>31</v>
      </c>
      <c r="I155" s="3">
        <v>123</v>
      </c>
      <c r="J155" s="4">
        <v>12500000</v>
      </c>
      <c r="K155" s="5">
        <f t="shared" si="69"/>
        <v>124</v>
      </c>
      <c r="L155" s="9">
        <f t="shared" ref="L155:L160" si="81">ROUND($J155*1.637*1,0)</f>
        <v>20462500</v>
      </c>
      <c r="M155" s="3">
        <f t="shared" si="70"/>
        <v>125</v>
      </c>
      <c r="N155" s="10">
        <f t="shared" ref="N155:N160" si="82">ROUND($J155*1.637*1.75*1,0)</f>
        <v>35809375</v>
      </c>
      <c r="O155" s="5">
        <f t="shared" si="71"/>
        <v>127</v>
      </c>
      <c r="P155" s="9">
        <f t="shared" ref="P155:P160" si="83">ROUND($J155*1.637*1.75*2.1*1,0)</f>
        <v>75199688</v>
      </c>
      <c r="Q155" s="3">
        <f t="shared" si="72"/>
        <v>129</v>
      </c>
      <c r="R155" s="10">
        <f>ROUND($J155*1.637*1.75*2.1*2.3*1.25,0)</f>
        <v>216199102</v>
      </c>
      <c r="S155" s="5">
        <f t="shared" si="73"/>
        <v>131</v>
      </c>
      <c r="T155" s="9">
        <f>ROUND($J155*1.637*1.75*2.1*2.3*2.6*1.25,0)</f>
        <v>562117664</v>
      </c>
      <c r="U155" s="3">
        <f t="shared" si="74"/>
        <v>134</v>
      </c>
      <c r="V155" s="10">
        <f>ROUND($J155*1.637*1.75*2.1*2.3*2.6*3.2*1.25,0)</f>
        <v>1798776525</v>
      </c>
      <c r="W155" s="5">
        <f t="shared" si="75"/>
        <v>138</v>
      </c>
      <c r="X155" s="9">
        <f>ROUND($J155*1.637*1.75*2.1*2.3*2.6*3.2*4.2*1.25,0)</f>
        <v>7554861405</v>
      </c>
      <c r="Y155" s="3">
        <f t="shared" si="76"/>
        <v>140</v>
      </c>
      <c r="Z155" s="10">
        <f>ROUND($J155*1.637*1.75*2.1*2.3*2.6*3.2*4.2*2.4*1.25,0)</f>
        <v>18131667372</v>
      </c>
      <c r="AA155" s="5">
        <f t="shared" si="77"/>
        <v>142</v>
      </c>
      <c r="AB155" s="9">
        <f>ROUND($J155*1.637*1.75*2.1*2.3*2.6*3.2*4.2*2.4*2.5*1.25,0)</f>
        <v>45329168430</v>
      </c>
      <c r="AC155" s="3">
        <f t="shared" si="78"/>
        <v>144</v>
      </c>
      <c r="AD155" s="10">
        <f>ROUND($J155*1.637*1.75*2.1*2.3*2.6*3.2*4.2*2.4*2.5*2.8*1.25,0)</f>
        <v>126921671604</v>
      </c>
      <c r="AE155" s="5">
        <f t="shared" si="79"/>
        <v>147</v>
      </c>
      <c r="AF155" s="9">
        <f>ROUND($J155*1.637*1.75*2.1*2.3*2.6*3.2*4.2*2.4*2.5*2.8*3.2*1.25,0)</f>
        <v>406149349133</v>
      </c>
      <c r="AG155" s="3">
        <f t="shared" si="80"/>
        <v>150</v>
      </c>
      <c r="AH155" s="10">
        <f>ROUND($J155*1.637*1.75*2.1*2.3*2.6*3.2*4.2*2.4*2.5*2.8*3.2*3.8*1.25,0)</f>
        <v>1543367526705</v>
      </c>
    </row>
    <row r="156" spans="1:34" x14ac:dyDescent="0.3">
      <c r="A156" s="2">
        <v>144</v>
      </c>
      <c r="B156" s="2" t="s">
        <v>264</v>
      </c>
      <c r="C156" s="2" t="s">
        <v>228</v>
      </c>
      <c r="D156" s="2" t="s">
        <v>79</v>
      </c>
      <c r="E156" s="2">
        <v>123</v>
      </c>
      <c r="F156" s="2" t="s">
        <v>265</v>
      </c>
      <c r="G156" s="2" t="s">
        <v>218</v>
      </c>
      <c r="H156" s="2">
        <v>31</v>
      </c>
      <c r="I156" s="3">
        <v>123</v>
      </c>
      <c r="J156" s="4">
        <v>19400000</v>
      </c>
      <c r="K156" s="5">
        <f t="shared" si="69"/>
        <v>124</v>
      </c>
      <c r="L156" s="9">
        <f t="shared" si="81"/>
        <v>31757800</v>
      </c>
      <c r="M156" s="3">
        <f t="shared" si="70"/>
        <v>125</v>
      </c>
      <c r="N156" s="10">
        <f t="shared" si="82"/>
        <v>55576150</v>
      </c>
      <c r="O156" s="5">
        <f t="shared" si="71"/>
        <v>127</v>
      </c>
      <c r="P156" s="9">
        <f t="shared" si="83"/>
        <v>116709915</v>
      </c>
      <c r="Q156" s="3">
        <f t="shared" si="72"/>
        <v>129</v>
      </c>
      <c r="R156" s="10">
        <f>ROUND($J156*1.637*1.75*2.1*2.3*1.25,0)</f>
        <v>335541006</v>
      </c>
      <c r="S156" s="5">
        <f t="shared" si="73"/>
        <v>131</v>
      </c>
      <c r="T156" s="9">
        <f>ROUND($J156*1.637*1.75*2.1*2.3*2.6*1.25,0)</f>
        <v>872406615</v>
      </c>
      <c r="U156" s="3">
        <f t="shared" si="74"/>
        <v>134</v>
      </c>
      <c r="V156" s="10">
        <f>ROUND($J156*1.637*1.75*2.1*2.3*2.6*3.2*1.25,0)</f>
        <v>2791701167</v>
      </c>
      <c r="W156" s="5">
        <f t="shared" si="75"/>
        <v>138</v>
      </c>
      <c r="X156" s="9">
        <f>ROUND($J156*1.637*1.75*2.1*2.3*2.6*3.2*4.2*1.25,0)</f>
        <v>11725144901</v>
      </c>
      <c r="Y156" s="3">
        <f t="shared" si="76"/>
        <v>140</v>
      </c>
      <c r="Z156" s="10">
        <f>ROUND($J156*1.637*1.75*2.1*2.3*2.6*3.2*4.2*2.4*1.25,0)</f>
        <v>28140347761</v>
      </c>
      <c r="AA156" s="5">
        <f t="shared" si="77"/>
        <v>142</v>
      </c>
      <c r="AB156" s="9">
        <f>ROUND($J156*1.637*1.75*2.1*2.3*2.6*3.2*4.2*2.4*2.5*1.25,0)</f>
        <v>70350869403</v>
      </c>
      <c r="AC156" s="3">
        <f t="shared" si="78"/>
        <v>144</v>
      </c>
      <c r="AD156" s="10">
        <f>ROUND($J156*1.637*1.75*2.1*2.3*2.6*3.2*4.2*2.4*2.5*2.8*1.25,0)</f>
        <v>196982434329</v>
      </c>
      <c r="AE156" s="5">
        <f t="shared" si="79"/>
        <v>147</v>
      </c>
      <c r="AF156" s="9">
        <f>ROUND($J156*1.637*1.75*2.1*2.3*2.6*3.2*4.2*2.4*2.5*2.8*3.2*1.25,0)</f>
        <v>630343789854</v>
      </c>
      <c r="AG156" s="3">
        <f t="shared" si="80"/>
        <v>150</v>
      </c>
      <c r="AH156" s="10">
        <f>ROUND($J156*1.637*1.75*2.1*2.3*2.6*3.2*4.2*2.4*2.5*2.8*3.2*3.8*1.25,0)</f>
        <v>2395306401446</v>
      </c>
    </row>
    <row r="157" spans="1:34" x14ac:dyDescent="0.3">
      <c r="A157" s="2">
        <v>131</v>
      </c>
      <c r="B157" s="2" t="s">
        <v>266</v>
      </c>
      <c r="C157" s="2" t="s">
        <v>228</v>
      </c>
      <c r="D157" s="2" t="s">
        <v>79</v>
      </c>
      <c r="E157" s="2">
        <v>123</v>
      </c>
      <c r="F157" s="2" t="s">
        <v>267</v>
      </c>
      <c r="G157" s="2" t="s">
        <v>67</v>
      </c>
      <c r="H157" s="2">
        <v>32</v>
      </c>
      <c r="I157" s="3">
        <v>123</v>
      </c>
      <c r="J157" s="4">
        <v>39200000</v>
      </c>
      <c r="K157" s="5">
        <f t="shared" si="69"/>
        <v>124</v>
      </c>
      <c r="L157" s="9">
        <f t="shared" si="81"/>
        <v>64170400</v>
      </c>
      <c r="M157" s="3">
        <f t="shared" si="70"/>
        <v>125</v>
      </c>
      <c r="N157" s="10">
        <f t="shared" si="82"/>
        <v>112298200</v>
      </c>
      <c r="O157" s="5">
        <f t="shared" si="71"/>
        <v>127</v>
      </c>
      <c r="P157" s="9">
        <f t="shared" si="83"/>
        <v>235826220</v>
      </c>
      <c r="Q157" s="3">
        <f t="shared" si="72"/>
        <v>129</v>
      </c>
      <c r="R157" s="10">
        <f>ROUND($J157*1.637*1.75*2.1*2.3*1.25,0)</f>
        <v>678000383</v>
      </c>
      <c r="S157" s="5">
        <f t="shared" si="73"/>
        <v>131</v>
      </c>
      <c r="T157" s="9">
        <f>ROUND($J157*1.637*1.75*2.1*2.3*2.6*1.25,0)</f>
        <v>1762800995</v>
      </c>
      <c r="U157" s="3">
        <f t="shared" si="74"/>
        <v>134</v>
      </c>
      <c r="V157" s="10">
        <f>ROUND($J157*1.637*1.75*2.1*2.3*2.6*3.2*1.25,0)</f>
        <v>5640963182</v>
      </c>
      <c r="W157" s="5">
        <f t="shared" si="75"/>
        <v>138</v>
      </c>
      <c r="X157" s="9">
        <f>ROUND($J157*1.637*1.75*2.1*2.3*2.6*3.2*4.2*1.25,0)</f>
        <v>23692045366</v>
      </c>
      <c r="Y157" s="3">
        <f t="shared" si="76"/>
        <v>140</v>
      </c>
      <c r="Z157" s="10">
        <f>ROUND($J157*1.637*1.75*2.1*2.3*2.6*3.2*4.2*2.4*1.25,0)</f>
        <v>56860908879</v>
      </c>
      <c r="AA157" s="5">
        <f t="shared" si="77"/>
        <v>142</v>
      </c>
      <c r="AB157" s="9">
        <f>ROUND($J157*1.637*1.75*2.1*2.3*2.6*3.2*4.2*2.4*2.5*1.25,0)</f>
        <v>142152272196</v>
      </c>
      <c r="AC157" s="3">
        <f t="shared" si="78"/>
        <v>144</v>
      </c>
      <c r="AD157" s="10">
        <f>ROUND($J157*1.637*1.75*2.1*2.3*2.6*3.2*4.2*2.4*2.5*2.8*1.25,0)</f>
        <v>398026362150</v>
      </c>
      <c r="AE157" s="5">
        <f t="shared" si="79"/>
        <v>147</v>
      </c>
      <c r="AF157" s="9">
        <f>ROUND($J157*1.637*1.75*2.1*2.3*2.6*3.2*4.2*2.4*2.5*2.8*3.2*1.25,0)</f>
        <v>1273684358880</v>
      </c>
      <c r="AG157" s="3">
        <f t="shared" si="80"/>
        <v>150</v>
      </c>
      <c r="AH157" s="10">
        <f>ROUND($J157*1.637*1.75*2.1*2.3*2.6*3.2*4.2*2.4*2.5*2.8*3.2*3.8*1.25,0)</f>
        <v>4840000563746</v>
      </c>
    </row>
    <row r="158" spans="1:34" x14ac:dyDescent="0.3">
      <c r="A158" s="2">
        <v>134</v>
      </c>
      <c r="B158" s="2" t="s">
        <v>268</v>
      </c>
      <c r="C158" s="2" t="s">
        <v>228</v>
      </c>
      <c r="D158" s="2" t="s">
        <v>40</v>
      </c>
      <c r="E158" s="2">
        <v>123</v>
      </c>
      <c r="F158" s="2" t="s">
        <v>26</v>
      </c>
      <c r="G158" s="2" t="s">
        <v>242</v>
      </c>
      <c r="H158" s="2">
        <v>32</v>
      </c>
      <c r="I158" s="3">
        <v>123</v>
      </c>
      <c r="J158" s="4">
        <v>9520000</v>
      </c>
      <c r="K158" s="5">
        <f t="shared" si="69"/>
        <v>124</v>
      </c>
      <c r="L158" s="9">
        <f t="shared" si="81"/>
        <v>15584240</v>
      </c>
      <c r="M158" s="3">
        <f t="shared" si="70"/>
        <v>125</v>
      </c>
      <c r="N158" s="10">
        <f t="shared" si="82"/>
        <v>27272420</v>
      </c>
      <c r="O158" s="5">
        <f t="shared" si="71"/>
        <v>127</v>
      </c>
      <c r="P158" s="9">
        <f t="shared" si="83"/>
        <v>57272082</v>
      </c>
      <c r="Q158" s="3">
        <f t="shared" si="72"/>
        <v>129</v>
      </c>
      <c r="R158" s="10">
        <f>ROUND($J158*1.637*1.75*2.1*2.3*1,0)</f>
        <v>131725789</v>
      </c>
      <c r="S158" s="5">
        <f t="shared" si="73"/>
        <v>131</v>
      </c>
      <c r="T158" s="9">
        <f>ROUND($J158*1.637*1.75*2.1*2.3*2.6*1,0)</f>
        <v>342487050</v>
      </c>
      <c r="U158" s="3">
        <f t="shared" si="74"/>
        <v>134</v>
      </c>
      <c r="V158" s="10">
        <f>ROUND($J158*1.637*1.75*2.1*2.3*2.6*3.2*1,0)</f>
        <v>1095958561</v>
      </c>
      <c r="W158" s="5">
        <f t="shared" si="75"/>
        <v>138</v>
      </c>
      <c r="X158" s="9">
        <f>ROUND($J158*1.637*1.75*2.1*2.3*2.6*3.2*4.2*1,0)</f>
        <v>4603025957</v>
      </c>
      <c r="Y158" s="3">
        <f t="shared" si="76"/>
        <v>140</v>
      </c>
      <c r="Z158" s="10">
        <f>ROUND($J158*1.637*1.75*2.1*2.3*2.6*3.2*4.2*2.4*1,0)</f>
        <v>11047262296</v>
      </c>
      <c r="AA158" s="5">
        <f t="shared" si="77"/>
        <v>142</v>
      </c>
      <c r="AB158" s="9">
        <f>ROUND($J158*1.637*1.75*2.1*2.3*2.6*3.2*4.2*2.4*2.5*1,0)</f>
        <v>27618155741</v>
      </c>
      <c r="AC158" s="3">
        <f t="shared" si="78"/>
        <v>144</v>
      </c>
      <c r="AD158" s="10">
        <f>ROUND($J158*1.637*1.75*2.1*2.3*2.6*3.2*4.2*2.4*2.5*2.8*1,0)</f>
        <v>77330836075</v>
      </c>
      <c r="AE158" s="5">
        <f t="shared" si="79"/>
        <v>147</v>
      </c>
      <c r="AF158" s="9">
        <f>ROUND($J158*1.637*1.75*2.1*2.3*2.6*3.2*4.2*2.4*2.5*2.8*3.2*1,0)</f>
        <v>247458675440</v>
      </c>
      <c r="AG158" s="3">
        <f t="shared" si="80"/>
        <v>150</v>
      </c>
      <c r="AH158" s="10">
        <f>ROUND($J158*1.637*1.75*2.1*2.3*2.6*3.2*4.2*2.4*2.5*2.8*3.2*3.8*1,0)</f>
        <v>940342966671</v>
      </c>
    </row>
    <row r="159" spans="1:34" x14ac:dyDescent="0.3">
      <c r="A159" s="2">
        <v>129</v>
      </c>
      <c r="B159" s="2" t="s">
        <v>269</v>
      </c>
      <c r="C159" s="2" t="s">
        <v>228</v>
      </c>
      <c r="D159" s="2" t="s">
        <v>29</v>
      </c>
      <c r="E159" s="2">
        <v>123</v>
      </c>
      <c r="F159" s="2" t="s">
        <v>26</v>
      </c>
      <c r="G159" s="2" t="s">
        <v>270</v>
      </c>
      <c r="H159" s="2">
        <v>33</v>
      </c>
      <c r="I159" s="3">
        <v>123</v>
      </c>
      <c r="J159" s="4">
        <v>13400000</v>
      </c>
      <c r="K159" s="5">
        <f t="shared" si="69"/>
        <v>124</v>
      </c>
      <c r="L159" s="9">
        <f t="shared" si="81"/>
        <v>21935800</v>
      </c>
      <c r="M159" s="3">
        <f t="shared" si="70"/>
        <v>125</v>
      </c>
      <c r="N159" s="10">
        <f t="shared" si="82"/>
        <v>38387650</v>
      </c>
      <c r="O159" s="5">
        <f t="shared" si="71"/>
        <v>127</v>
      </c>
      <c r="P159" s="9">
        <f t="shared" si="83"/>
        <v>80614065</v>
      </c>
      <c r="Q159" s="3">
        <f t="shared" si="72"/>
        <v>129</v>
      </c>
      <c r="R159" s="10">
        <f>ROUND($J159*1.637*1.75*2.1*2.3*1.25,0)</f>
        <v>231765437</v>
      </c>
      <c r="S159" s="5">
        <f t="shared" si="73"/>
        <v>131</v>
      </c>
      <c r="T159" s="9">
        <f>ROUND($J159*1.637*1.75*2.1*2.3*2.6*1.25,0)</f>
        <v>602590136</v>
      </c>
      <c r="U159" s="3">
        <f t="shared" si="74"/>
        <v>134</v>
      </c>
      <c r="V159" s="10">
        <f>ROUND($J159*1.637*1.75*2.1*2.3*2.6*3.2*1.25,0)</f>
        <v>1928288435</v>
      </c>
      <c r="W159" s="5">
        <f t="shared" si="75"/>
        <v>138</v>
      </c>
      <c r="X159" s="9">
        <f>ROUND($J159*1.637*1.75*2.1*2.3*2.6*3.2*4.2*1.25,0)</f>
        <v>8098811426</v>
      </c>
      <c r="Y159" s="3">
        <f t="shared" si="76"/>
        <v>140</v>
      </c>
      <c r="Z159" s="10">
        <f>ROUND($J159*1.637*1.75*2.1*2.3*2.6*3.2*4.2*2.4*1.25,0)</f>
        <v>19437147423</v>
      </c>
      <c r="AA159" s="5">
        <f t="shared" si="77"/>
        <v>142</v>
      </c>
      <c r="AB159" s="9">
        <f>ROUND($J159*1.637*1.75*2.1*2.3*2.6*3.2*4.2*2.4*2.5*1.25,0)</f>
        <v>48592868557</v>
      </c>
      <c r="AC159" s="3">
        <f t="shared" si="78"/>
        <v>144</v>
      </c>
      <c r="AD159" s="10">
        <f>ROUND($J159*1.637*1.75*2.1*2.3*2.6*3.2*4.2*2.4*2.5*2.8*1.25,0)</f>
        <v>136060031959</v>
      </c>
      <c r="AE159" s="5">
        <f t="shared" si="79"/>
        <v>147</v>
      </c>
      <c r="AF159" s="9">
        <f>ROUND($J159*1.637*1.75*2.1*2.3*2.6*3.2*4.2*2.4*2.5*2.8*3.2*1.25,0)</f>
        <v>435392102270</v>
      </c>
      <c r="AG159" s="3">
        <f t="shared" si="80"/>
        <v>150</v>
      </c>
      <c r="AH159" s="10">
        <f>ROUND($J159*1.637*1.75*2.1*2.3*2.6*3.2*4.2*2.4*2.5*2.8*3.2*3.8*1.25,0)</f>
        <v>1654489988627</v>
      </c>
    </row>
    <row r="160" spans="1:34" x14ac:dyDescent="0.3">
      <c r="A160" s="2">
        <v>132</v>
      </c>
      <c r="B160" s="2" t="s">
        <v>271</v>
      </c>
      <c r="C160" s="2" t="s">
        <v>228</v>
      </c>
      <c r="D160" s="2" t="s">
        <v>40</v>
      </c>
      <c r="E160" s="2">
        <v>123</v>
      </c>
      <c r="F160" s="2" t="s">
        <v>237</v>
      </c>
      <c r="G160" s="2" t="s">
        <v>272</v>
      </c>
      <c r="H160" s="2">
        <v>32</v>
      </c>
      <c r="I160" s="3">
        <v>123</v>
      </c>
      <c r="J160" s="4">
        <v>12300000</v>
      </c>
      <c r="K160" s="5">
        <f t="shared" si="69"/>
        <v>124</v>
      </c>
      <c r="L160" s="9">
        <f t="shared" si="81"/>
        <v>20135100</v>
      </c>
      <c r="M160" s="3">
        <f t="shared" si="70"/>
        <v>125</v>
      </c>
      <c r="N160" s="10">
        <f t="shared" si="82"/>
        <v>35236425</v>
      </c>
      <c r="O160" s="5">
        <f t="shared" si="71"/>
        <v>127</v>
      </c>
      <c r="P160" s="9">
        <f t="shared" si="83"/>
        <v>73996493</v>
      </c>
      <c r="Q160" s="3">
        <f t="shared" si="72"/>
        <v>129</v>
      </c>
      <c r="R160" s="10">
        <f>ROUND($J160*1.637*1.75*2.1*2.3*1,0)</f>
        <v>170191933</v>
      </c>
      <c r="S160" s="5">
        <f t="shared" si="73"/>
        <v>131</v>
      </c>
      <c r="T160" s="9">
        <f>ROUND($J160*1.637*1.75*2.1*2.3*2.6*1,0)</f>
        <v>442499025</v>
      </c>
      <c r="U160" s="3">
        <f t="shared" si="74"/>
        <v>134</v>
      </c>
      <c r="V160" s="10">
        <f>ROUND($J160*1.637*1.75*2.1*2.3*2.6*3.2*1,0)</f>
        <v>1415996880</v>
      </c>
      <c r="W160" s="5">
        <f t="shared" si="75"/>
        <v>138</v>
      </c>
      <c r="X160" s="9">
        <f>ROUND($J160*1.637*1.75*2.1*2.3*2.6*3.2*4.2*1,0)</f>
        <v>5947186898</v>
      </c>
      <c r="Y160" s="3">
        <f t="shared" si="76"/>
        <v>140</v>
      </c>
      <c r="Z160" s="10">
        <f>ROUND($J160*1.637*1.75*2.1*2.3*2.6*3.2*4.2*2.4*1,0)</f>
        <v>14273248555</v>
      </c>
      <c r="AA160" s="5">
        <f t="shared" si="77"/>
        <v>142</v>
      </c>
      <c r="AB160" s="9">
        <f>ROUND($J160*1.637*1.75*2.1*2.3*2.6*3.2*4.2*2.4*2.5*1,0)</f>
        <v>35683121388</v>
      </c>
      <c r="AC160" s="3">
        <f t="shared" si="78"/>
        <v>144</v>
      </c>
      <c r="AD160" s="10">
        <f>ROUND($J160*1.637*1.75*2.1*2.3*2.6*3.2*4.2*2.4*2.5*2.8*1,0)</f>
        <v>99912739887</v>
      </c>
      <c r="AE160" s="5">
        <f t="shared" si="79"/>
        <v>147</v>
      </c>
      <c r="AF160" s="9">
        <f>ROUND($J160*1.637*1.75*2.1*2.3*2.6*3.2*4.2*2.4*2.5*2.8*3.2*1,0)</f>
        <v>319720767637</v>
      </c>
      <c r="AG160" s="3">
        <f t="shared" si="80"/>
        <v>150</v>
      </c>
      <c r="AH160" s="10">
        <f>ROUND($J160*1.637*1.75*2.1*2.3*2.6*3.2*4.2*2.4*2.5*2.8*3.2*3.8*1,0)</f>
        <v>1214938917022</v>
      </c>
    </row>
    <row r="161" spans="1:34" x14ac:dyDescent="0.3">
      <c r="A161" s="2">
        <v>150</v>
      </c>
      <c r="B161" s="2" t="s">
        <v>273</v>
      </c>
      <c r="C161" s="2" t="s">
        <v>228</v>
      </c>
      <c r="D161" s="2" t="s">
        <v>33</v>
      </c>
      <c r="E161" s="2">
        <v>123</v>
      </c>
      <c r="F161" s="2" t="s">
        <v>212</v>
      </c>
      <c r="G161" s="2" t="s">
        <v>274</v>
      </c>
      <c r="H161" s="2">
        <v>30</v>
      </c>
      <c r="I161" s="3">
        <v>123</v>
      </c>
      <c r="J161" s="4">
        <v>12200000</v>
      </c>
      <c r="K161" s="5">
        <f t="shared" si="69"/>
        <v>124</v>
      </c>
      <c r="L161" s="9">
        <f>ROUND($J161*1.637*0.8,0)</f>
        <v>15977120</v>
      </c>
      <c r="M161" s="3">
        <f t="shared" si="70"/>
        <v>125</v>
      </c>
      <c r="N161" s="10">
        <f>ROUND($J161*1.637*1.75*0.8,0)</f>
        <v>27959960</v>
      </c>
      <c r="O161" s="5">
        <f t="shared" si="71"/>
        <v>127</v>
      </c>
      <c r="P161" s="9">
        <f>ROUND($J161*1.637*1.75*2.1*0.8,0)</f>
        <v>58715916</v>
      </c>
      <c r="Q161" s="3">
        <f t="shared" si="72"/>
        <v>129</v>
      </c>
      <c r="R161" s="10">
        <f>ROUND($J161*1.637*1.75*2.1*2.3*0.542035092435954,0)</f>
        <v>91500000</v>
      </c>
      <c r="S161" s="5">
        <f t="shared" si="73"/>
        <v>131</v>
      </c>
      <c r="T161" s="9">
        <f>ROUND($J161*1.637*1.75*2.1*2.3*2.6*0.544690061623969,0)</f>
        <v>239065270</v>
      </c>
      <c r="U161" s="3">
        <f t="shared" si="74"/>
        <v>134</v>
      </c>
      <c r="V161" s="10">
        <f>ROUND($J161*1.637*1.75*2.1*2.3*2.6*3.2*0.547345030811984,0)</f>
        <v>768737727</v>
      </c>
      <c r="W161" s="5">
        <f t="shared" si="75"/>
        <v>138</v>
      </c>
      <c r="X161" s="9">
        <f>ROUND($J161*1.637*1.75*2.1*2.3*2.6*3.2*4.2*0.55,0)</f>
        <v>3244359682</v>
      </c>
      <c r="Y161" s="3">
        <f t="shared" si="76"/>
        <v>140</v>
      </c>
      <c r="Z161" s="10">
        <f>ROUND($J161*1.637*1.75*2.1*2.3*2.6*3.2*4.2*2.4*0.55,0)</f>
        <v>7786463236</v>
      </c>
      <c r="AA161" s="5">
        <f t="shared" si="77"/>
        <v>142</v>
      </c>
      <c r="AB161" s="9">
        <f>ROUND($J161*1.637*1.75*2.1*2.3*2.6*3.2*4.2*2.4*2.5*0.55,0)</f>
        <v>19466158091</v>
      </c>
      <c r="AC161" s="3">
        <f t="shared" si="78"/>
        <v>144</v>
      </c>
      <c r="AD161" s="10">
        <f>ROUND($J161*1.637*1.75*2.1*2.3*2.6*3.2*4.2*2.4*2.5*2.8*0.55,0)</f>
        <v>54505242654</v>
      </c>
      <c r="AE161" s="5">
        <f t="shared" si="79"/>
        <v>147</v>
      </c>
      <c r="AF161" s="9">
        <f>ROUND($J161*1.637*1.75*2.1*2.3*2.6*3.2*4.2*2.4*2.5*2.8*3.2*0.55,0)</f>
        <v>174416776492</v>
      </c>
      <c r="AG161" s="3">
        <f t="shared" si="80"/>
        <v>150</v>
      </c>
      <c r="AH161" s="10">
        <f>ROUND($J161*1.637*1.75*2.1*2.3*2.6*3.2*4.2*2.4*2.5*2.8*3.2*3.8*0.55,0)</f>
        <v>662783750668</v>
      </c>
    </row>
    <row r="162" spans="1:34" x14ac:dyDescent="0.3">
      <c r="A162" s="2">
        <v>135</v>
      </c>
      <c r="B162" s="2" t="s">
        <v>275</v>
      </c>
      <c r="C162" s="2" t="s">
        <v>228</v>
      </c>
      <c r="D162" s="2" t="s">
        <v>90</v>
      </c>
      <c r="E162" s="2">
        <v>123</v>
      </c>
      <c r="F162" s="2" t="s">
        <v>71</v>
      </c>
      <c r="G162" s="2" t="s">
        <v>206</v>
      </c>
      <c r="H162" s="2">
        <v>32</v>
      </c>
      <c r="I162" s="3">
        <v>123</v>
      </c>
      <c r="J162" s="4">
        <v>12200000</v>
      </c>
      <c r="K162" s="5">
        <f t="shared" si="69"/>
        <v>124</v>
      </c>
      <c r="L162" s="9">
        <f>ROUND($J162*1.637*1,0)</f>
        <v>19971400</v>
      </c>
      <c r="M162" s="3">
        <f t="shared" si="70"/>
        <v>125</v>
      </c>
      <c r="N162" s="10">
        <f>ROUND($J162*1.637*1.75*1,0)</f>
        <v>34949950</v>
      </c>
      <c r="O162" s="5">
        <f t="shared" si="71"/>
        <v>127</v>
      </c>
      <c r="P162" s="9">
        <f>ROUND($J162*1.637*1.75*2.1*1,0)</f>
        <v>73394895</v>
      </c>
      <c r="Q162" s="3">
        <f t="shared" si="72"/>
        <v>129</v>
      </c>
      <c r="R162" s="10">
        <f>ROUND($J162*1.637*1.75*2.1*2.3*1,0)</f>
        <v>168808259</v>
      </c>
      <c r="S162" s="5">
        <f t="shared" si="73"/>
        <v>131</v>
      </c>
      <c r="T162" s="9">
        <f>ROUND($J162*1.637*1.75*2.1*2.3*2.6*1,0)</f>
        <v>438901472</v>
      </c>
      <c r="U162" s="3">
        <f t="shared" si="74"/>
        <v>134</v>
      </c>
      <c r="V162" s="10">
        <f>ROUND($J162*1.637*1.75*2.1*2.3*2.6*3.2*1,0)</f>
        <v>1404484711</v>
      </c>
      <c r="W162" s="5">
        <f t="shared" si="75"/>
        <v>138</v>
      </c>
      <c r="X162" s="9">
        <f>ROUND($J162*1.637*1.75*2.1*2.3*2.6*3.2*4.2*1,0)</f>
        <v>5898835785</v>
      </c>
      <c r="Y162" s="3">
        <f t="shared" si="76"/>
        <v>140</v>
      </c>
      <c r="Z162" s="10">
        <f>ROUND($J162*1.637*1.75*2.1*2.3*2.6*3.2*4.2*2.4*1,0)</f>
        <v>14157205884</v>
      </c>
      <c r="AA162" s="5">
        <f t="shared" si="77"/>
        <v>142</v>
      </c>
      <c r="AB162" s="9">
        <f>ROUND($J162*1.637*1.75*2.1*2.3*2.6*3.2*4.2*2.4*2.5*1,0)</f>
        <v>35393014710</v>
      </c>
      <c r="AC162" s="3">
        <f t="shared" si="78"/>
        <v>144</v>
      </c>
      <c r="AD162" s="10">
        <f>ROUND($J162*1.637*1.75*2.1*2.3*2.6*3.2*4.2*2.4*2.5*2.8*1,0)</f>
        <v>99100441188</v>
      </c>
      <c r="AE162" s="5">
        <f t="shared" si="79"/>
        <v>147</v>
      </c>
      <c r="AF162" s="9">
        <f>ROUND($J162*1.637*1.75*2.1*2.3*2.6*3.2*4.2*2.4*2.5*2.8*3.2*1,0)</f>
        <v>317121411803</v>
      </c>
      <c r="AG162" s="3">
        <f t="shared" si="80"/>
        <v>150</v>
      </c>
      <c r="AH162" s="10">
        <f>ROUND($J162*1.637*1.75*2.1*2.3*2.6*3.2*4.2*2.4*2.5*2.8*3.2*3.8*1,0)</f>
        <v>1205061364851</v>
      </c>
    </row>
    <row r="163" spans="1:34" x14ac:dyDescent="0.3">
      <c r="A163" s="2">
        <v>143</v>
      </c>
      <c r="B163" s="2" t="s">
        <v>276</v>
      </c>
      <c r="C163" s="2" t="s">
        <v>228</v>
      </c>
      <c r="D163" s="2" t="s">
        <v>33</v>
      </c>
      <c r="E163" s="2">
        <v>123</v>
      </c>
      <c r="F163" s="2" t="s">
        <v>34</v>
      </c>
      <c r="G163" s="2" t="s">
        <v>277</v>
      </c>
      <c r="H163" s="2">
        <v>31</v>
      </c>
      <c r="I163" s="3">
        <v>123</v>
      </c>
      <c r="J163" s="4">
        <v>12800000</v>
      </c>
      <c r="K163" s="5">
        <f t="shared" si="69"/>
        <v>124</v>
      </c>
      <c r="L163" s="9">
        <f>ROUND($J163*1.637*1,0)</f>
        <v>20953600</v>
      </c>
      <c r="M163" s="3">
        <f t="shared" si="70"/>
        <v>125</v>
      </c>
      <c r="N163" s="10">
        <f>ROUND($J163*1.637*1.75*1,0)</f>
        <v>36668800</v>
      </c>
      <c r="O163" s="5">
        <f t="shared" si="71"/>
        <v>127</v>
      </c>
      <c r="P163" s="9">
        <f>ROUND($J163*1.637*1.75*2.1*1,0)</f>
        <v>77004480</v>
      </c>
      <c r="Q163" s="3">
        <f t="shared" si="72"/>
        <v>129</v>
      </c>
      <c r="R163" s="10">
        <f>ROUND($J163*1.637*1.75*2.1*2.3*1,0)</f>
        <v>177110304</v>
      </c>
      <c r="S163" s="5">
        <f t="shared" si="73"/>
        <v>131</v>
      </c>
      <c r="T163" s="9">
        <f>ROUND($J163*1.637*1.75*2.1*2.3*2.6*1,0)</f>
        <v>460486790</v>
      </c>
      <c r="U163" s="3">
        <f t="shared" si="74"/>
        <v>134</v>
      </c>
      <c r="V163" s="10">
        <f>ROUND($J163*1.637*1.75*2.1*2.3*2.6*3.2*1,0)</f>
        <v>1473557729</v>
      </c>
      <c r="W163" s="5">
        <f t="shared" si="75"/>
        <v>138</v>
      </c>
      <c r="X163" s="9">
        <f>ROUND($J163*1.637*1.75*2.1*2.3*2.6*3.2*4.2*1,0)</f>
        <v>6188942463</v>
      </c>
      <c r="Y163" s="3">
        <f t="shared" si="76"/>
        <v>140</v>
      </c>
      <c r="Z163" s="10">
        <f>ROUND($J163*1.637*1.75*2.1*2.3*2.6*3.2*4.2*2.4*1,0)</f>
        <v>14853461911</v>
      </c>
      <c r="AA163" s="5">
        <f t="shared" si="77"/>
        <v>142</v>
      </c>
      <c r="AB163" s="9">
        <f>ROUND($J163*1.637*1.75*2.1*2.3*2.6*3.2*4.2*2.4*2.5*1,0)</f>
        <v>37133654778</v>
      </c>
      <c r="AC163" s="3">
        <f t="shared" si="78"/>
        <v>144</v>
      </c>
      <c r="AD163" s="10">
        <f>ROUND($J163*1.637*1.75*2.1*2.3*2.6*3.2*4.2*2.4*2.5*2.8*1,0)</f>
        <v>103974233378</v>
      </c>
      <c r="AE163" s="5">
        <f t="shared" si="79"/>
        <v>147</v>
      </c>
      <c r="AF163" s="9">
        <f>ROUND($J163*1.637*1.75*2.1*2.3*2.6*3.2*4.2*2.4*2.5*2.8*3.2*1,0)</f>
        <v>332717546810</v>
      </c>
      <c r="AG163" s="3">
        <f t="shared" si="80"/>
        <v>150</v>
      </c>
      <c r="AH163" s="10">
        <f>ROUND($J163*1.637*1.75*2.1*2.3*2.6*3.2*4.2*2.4*2.5*2.8*3.2*3.8*1,0)</f>
        <v>1264326677876</v>
      </c>
    </row>
    <row r="164" spans="1:34" x14ac:dyDescent="0.3">
      <c r="A164" s="2">
        <v>140</v>
      </c>
      <c r="B164" s="2" t="s">
        <v>278</v>
      </c>
      <c r="C164" s="2" t="s">
        <v>228</v>
      </c>
      <c r="D164" s="2" t="s">
        <v>75</v>
      </c>
      <c r="E164" s="2">
        <v>123</v>
      </c>
      <c r="F164" s="2" t="s">
        <v>59</v>
      </c>
      <c r="G164" s="2" t="s">
        <v>218</v>
      </c>
      <c r="H164" s="2">
        <v>31</v>
      </c>
      <c r="I164" s="3">
        <v>123</v>
      </c>
      <c r="J164" s="4">
        <v>13200000</v>
      </c>
      <c r="K164" s="5">
        <f t="shared" si="69"/>
        <v>124</v>
      </c>
      <c r="L164" s="9">
        <f>ROUND($J164*1.637*1,0)</f>
        <v>21608400</v>
      </c>
      <c r="M164" s="3">
        <f t="shared" si="70"/>
        <v>125</v>
      </c>
      <c r="N164" s="10">
        <f>ROUND($J164*1.637*1.75*1,0)</f>
        <v>37814700</v>
      </c>
      <c r="O164" s="5">
        <f t="shared" si="71"/>
        <v>127</v>
      </c>
      <c r="P164" s="9">
        <f>ROUND($J164*1.637*1.75*2.1*1,0)</f>
        <v>79410870</v>
      </c>
      <c r="Q164" s="3">
        <f t="shared" si="72"/>
        <v>129</v>
      </c>
      <c r="R164" s="10">
        <f>ROUND($J164*1.637*1.75*2.1*2.3*1,0)</f>
        <v>182645001</v>
      </c>
      <c r="S164" s="5">
        <f t="shared" si="73"/>
        <v>131</v>
      </c>
      <c r="T164" s="9">
        <f>ROUND($J164*1.637*1.75*2.1*2.3*2.6*1,0)</f>
        <v>474877003</v>
      </c>
      <c r="U164" s="3">
        <f t="shared" si="74"/>
        <v>134</v>
      </c>
      <c r="V164" s="10">
        <f>ROUND($J164*1.637*1.75*2.1*2.3*2.6*3.2*1,0)</f>
        <v>1519606408</v>
      </c>
      <c r="W164" s="5">
        <f t="shared" si="75"/>
        <v>138</v>
      </c>
      <c r="X164" s="9">
        <f>ROUND($J164*1.637*1.75*2.1*2.3*2.6*3.2*4.2*1,0)</f>
        <v>6382346915</v>
      </c>
      <c r="Y164" s="3">
        <f t="shared" si="76"/>
        <v>140</v>
      </c>
      <c r="Z164" s="10">
        <f>ROUND($J164*1.637*1.75*2.1*2.3*2.6*3.2*4.2*2.4*1,0)</f>
        <v>15317632596</v>
      </c>
      <c r="AA164" s="5">
        <f t="shared" si="77"/>
        <v>142</v>
      </c>
      <c r="AB164" s="9">
        <f>ROUND($J164*1.637*1.75*2.1*2.3*2.6*3.2*4.2*2.4*2.5*1,0)</f>
        <v>38294081490</v>
      </c>
      <c r="AC164" s="3">
        <f t="shared" si="78"/>
        <v>144</v>
      </c>
      <c r="AD164" s="10">
        <f>ROUND($J164*1.637*1.75*2.1*2.3*2.6*3.2*4.2*2.4*2.5*2.8*1,0)</f>
        <v>107223428171</v>
      </c>
      <c r="AE164" s="5">
        <f t="shared" si="79"/>
        <v>147</v>
      </c>
      <c r="AF164" s="9">
        <f>ROUND($J164*1.637*1.75*2.1*2.3*2.6*3.2*4.2*2.4*2.5*2.8*3.2*1,0)</f>
        <v>343114970147</v>
      </c>
      <c r="AG164" s="3">
        <f t="shared" si="80"/>
        <v>150</v>
      </c>
      <c r="AH164" s="10">
        <f>ROUND($J164*1.637*1.75*2.1*2.3*2.6*3.2*4.2*2.4*2.5*2.8*3.2*3.8*1,0)</f>
        <v>1303836886560</v>
      </c>
    </row>
    <row r="165" spans="1:34" x14ac:dyDescent="0.3">
      <c r="A165" s="2">
        <v>148</v>
      </c>
      <c r="B165" s="2" t="s">
        <v>279</v>
      </c>
      <c r="C165" s="2" t="s">
        <v>228</v>
      </c>
      <c r="D165" s="2" t="s">
        <v>40</v>
      </c>
      <c r="E165" s="2">
        <v>123</v>
      </c>
      <c r="F165" s="2" t="s">
        <v>54</v>
      </c>
      <c r="G165" s="2" t="s">
        <v>218</v>
      </c>
      <c r="H165" s="2">
        <v>31</v>
      </c>
      <c r="I165" s="3">
        <v>123</v>
      </c>
      <c r="J165" s="4">
        <v>51900000</v>
      </c>
      <c r="K165" s="5">
        <f t="shared" si="69"/>
        <v>124</v>
      </c>
      <c r="L165" s="9">
        <f>ROUND($J165*1.637*1,0)</f>
        <v>84960300</v>
      </c>
      <c r="M165" s="3">
        <f t="shared" si="70"/>
        <v>125</v>
      </c>
      <c r="N165" s="10">
        <f>ROUND($J165*1.637*1.75*1,0)</f>
        <v>148680525</v>
      </c>
      <c r="O165" s="5">
        <f t="shared" si="71"/>
        <v>127</v>
      </c>
      <c r="P165" s="9">
        <f>ROUND($J165*1.637*1.75*2.1*1,0)</f>
        <v>312229103</v>
      </c>
      <c r="Q165" s="3">
        <f t="shared" si="72"/>
        <v>129</v>
      </c>
      <c r="R165" s="10">
        <f>ROUND($J165*1.637*1.75*2.1*2.3*1.25,0)</f>
        <v>897658670</v>
      </c>
      <c r="S165" s="5">
        <f t="shared" si="73"/>
        <v>131</v>
      </c>
      <c r="T165" s="9">
        <f>ROUND($J165*1.637*1.75*2.1*2.3*2.6*1.25,0)</f>
        <v>2333912541</v>
      </c>
      <c r="U165" s="3">
        <f t="shared" si="74"/>
        <v>134</v>
      </c>
      <c r="V165" s="10">
        <f>ROUND($J165*1.637*1.75*2.1*2.3*2.6*3.2*1.25,0)</f>
        <v>7468520132</v>
      </c>
      <c r="W165" s="5">
        <f t="shared" si="75"/>
        <v>138</v>
      </c>
      <c r="X165" s="9">
        <f>ROUND($J165*1.637*1.75*2.1*2.3*2.6*3.2*4.2*1.25,0)</f>
        <v>31367784554</v>
      </c>
      <c r="Y165" s="3">
        <f t="shared" si="76"/>
        <v>140</v>
      </c>
      <c r="Z165" s="10">
        <f>ROUND($J165*1.637*1.75*2.1*2.3*2.6*3.2*4.2*2.4*1.25,0)</f>
        <v>75282682929</v>
      </c>
      <c r="AA165" s="5">
        <f t="shared" si="77"/>
        <v>142</v>
      </c>
      <c r="AB165" s="9">
        <f>ROUND($J165*1.637*1.75*2.1*2.3*2.6*3.2*4.2*2.4*2.5*1.25,0)</f>
        <v>188206707321</v>
      </c>
      <c r="AC165" s="3">
        <f t="shared" si="78"/>
        <v>144</v>
      </c>
      <c r="AD165" s="10">
        <f>ROUND($J165*1.637*1.75*2.1*2.3*2.6*3.2*4.2*2.4*2.5*2.8*1.25,0)</f>
        <v>526978780500</v>
      </c>
      <c r="AE165" s="5">
        <f t="shared" si="79"/>
        <v>147</v>
      </c>
      <c r="AF165" s="9">
        <f>ROUND($J165*1.637*1.75*2.1*2.3*2.6*3.2*4.2*2.4*2.5*2.8*3.2*1.25,0)</f>
        <v>1686332097599</v>
      </c>
      <c r="AG165" s="3">
        <f t="shared" si="80"/>
        <v>150</v>
      </c>
      <c r="AH165" s="10">
        <f>ROUND($J165*1.637*1.75*2.1*2.3*2.6*3.2*4.2*2.4*2.5*2.8*3.2*3.8*1.25,0)</f>
        <v>6408061970878</v>
      </c>
    </row>
    <row r="166" spans="1:34" x14ac:dyDescent="0.3">
      <c r="A166" s="2">
        <v>136</v>
      </c>
      <c r="B166" s="2" t="s">
        <v>280</v>
      </c>
      <c r="C166" s="2" t="s">
        <v>228</v>
      </c>
      <c r="D166" s="2" t="s">
        <v>40</v>
      </c>
      <c r="E166" s="2">
        <v>123</v>
      </c>
      <c r="F166" s="2" t="s">
        <v>281</v>
      </c>
      <c r="G166" s="2" t="s">
        <v>282</v>
      </c>
      <c r="H166" s="2">
        <v>32</v>
      </c>
      <c r="I166" s="3">
        <v>123</v>
      </c>
      <c r="J166" s="4">
        <v>12300000</v>
      </c>
      <c r="K166" s="5">
        <f t="shared" si="69"/>
        <v>124</v>
      </c>
      <c r="L166" s="9">
        <f>ROUND($J166*1.637*0.8,0)</f>
        <v>16108080</v>
      </c>
      <c r="M166" s="3">
        <f t="shared" si="70"/>
        <v>125</v>
      </c>
      <c r="N166" s="10">
        <f>ROUND($J166*1.637*1.75*0.8,0)</f>
        <v>28189140</v>
      </c>
      <c r="O166" s="5">
        <f t="shared" si="71"/>
        <v>127</v>
      </c>
      <c r="P166" s="9">
        <f>ROUND($J166*1.637*1.75*2.1*0.8,0)</f>
        <v>59197194</v>
      </c>
      <c r="Q166" s="3">
        <f t="shared" si="72"/>
        <v>129</v>
      </c>
      <c r="R166" s="10">
        <f>ROUND($J166*1.637*1.75*2.1*2.3*0.542035092435954,0)</f>
        <v>92250000</v>
      </c>
      <c r="S166" s="5">
        <f t="shared" si="73"/>
        <v>131</v>
      </c>
      <c r="T166" s="9">
        <f>ROUND($J166*1.637*1.75*2.1*2.3*2.6*0.544690061623969,0)</f>
        <v>241024821</v>
      </c>
      <c r="U166" s="3">
        <f t="shared" si="74"/>
        <v>134</v>
      </c>
      <c r="V166" s="10">
        <f>ROUND($J166*1.637*1.75*2.1*2.3*2.6*3.2*0.547345030811984,0)</f>
        <v>775038856</v>
      </c>
      <c r="W166" s="5">
        <f t="shared" si="75"/>
        <v>138</v>
      </c>
      <c r="X166" s="9">
        <f>ROUND($J166*1.637*1.75*2.1*2.3*2.6*3.2*4.2*0.55,0)</f>
        <v>3270952794</v>
      </c>
      <c r="Y166" s="3">
        <f t="shared" si="76"/>
        <v>140</v>
      </c>
      <c r="Z166" s="10">
        <f>ROUND($J166*1.637*1.75*2.1*2.3*2.6*3.2*4.2*2.4*0.55,0)</f>
        <v>7850286705</v>
      </c>
      <c r="AA166" s="5">
        <f t="shared" si="77"/>
        <v>142</v>
      </c>
      <c r="AB166" s="9">
        <f>ROUND($J166*1.637*1.75*2.1*2.3*2.6*3.2*4.2*2.4*2.5*0.55,0)</f>
        <v>19625716763</v>
      </c>
      <c r="AC166" s="3">
        <f t="shared" si="78"/>
        <v>144</v>
      </c>
      <c r="AD166" s="10">
        <f>ROUND($J166*1.637*1.75*2.1*2.3*2.6*3.2*4.2*2.4*2.5*2.8*0.55,0)</f>
        <v>54952006938</v>
      </c>
      <c r="AE166" s="5">
        <f t="shared" si="79"/>
        <v>147</v>
      </c>
      <c r="AF166" s="9">
        <f>ROUND($J166*1.637*1.75*2.1*2.3*2.6*3.2*4.2*2.4*2.5*2.8*3.2*0.55,0)</f>
        <v>175846422201</v>
      </c>
      <c r="AG166" s="3">
        <f t="shared" si="80"/>
        <v>150</v>
      </c>
      <c r="AH166" s="10">
        <f>ROUND($J166*1.637*1.75*2.1*2.3*2.6*3.2*4.2*2.4*2.5*2.8*3.2*3.8*0.55,0)</f>
        <v>668216404362</v>
      </c>
    </row>
    <row r="167" spans="1:34" x14ac:dyDescent="0.3">
      <c r="A167" s="2">
        <v>138</v>
      </c>
      <c r="B167" s="2" t="s">
        <v>283</v>
      </c>
      <c r="C167" s="2" t="s">
        <v>228</v>
      </c>
      <c r="D167" s="2" t="s">
        <v>33</v>
      </c>
      <c r="E167" s="2">
        <v>123</v>
      </c>
      <c r="F167" s="2" t="s">
        <v>42</v>
      </c>
      <c r="G167" s="2" t="s">
        <v>133</v>
      </c>
      <c r="H167" s="2">
        <v>32</v>
      </c>
      <c r="I167" s="3">
        <v>123</v>
      </c>
      <c r="J167" s="4">
        <v>11800000</v>
      </c>
      <c r="K167" s="5">
        <f t="shared" si="69"/>
        <v>124</v>
      </c>
      <c r="L167" s="9">
        <f>ROUND($J167*1.637*1,0)</f>
        <v>19316600</v>
      </c>
      <c r="M167" s="3">
        <f t="shared" si="70"/>
        <v>125</v>
      </c>
      <c r="N167" s="10">
        <f>ROUND($J167*1.637*1.75*1,0)</f>
        <v>33804050</v>
      </c>
      <c r="O167" s="5">
        <f t="shared" si="71"/>
        <v>127</v>
      </c>
      <c r="P167" s="9">
        <f>ROUND($J167*1.637*1.75*2.1*1,0)</f>
        <v>70988505</v>
      </c>
      <c r="Q167" s="3">
        <f t="shared" si="72"/>
        <v>129</v>
      </c>
      <c r="R167" s="10">
        <f>ROUND($J167*1.637*1.75*2.1*2.3*1.25,0)</f>
        <v>204091952</v>
      </c>
      <c r="S167" s="5">
        <f t="shared" si="73"/>
        <v>131</v>
      </c>
      <c r="T167" s="9">
        <f>ROUND($J167*1.637*1.75*2.1*2.3*2.6*1.25,0)</f>
        <v>530639075</v>
      </c>
      <c r="U167" s="3">
        <f t="shared" si="74"/>
        <v>134</v>
      </c>
      <c r="V167" s="10">
        <f>ROUND($J167*1.637*1.75*2.1*2.3*2.6*3.2*1.25,0)</f>
        <v>1698045040</v>
      </c>
      <c r="W167" s="5">
        <f t="shared" si="75"/>
        <v>138</v>
      </c>
      <c r="X167" s="9">
        <f>ROUND($J167*1.637*1.75*2.1*2.3*2.6*3.2*4.2*1.25,0)</f>
        <v>7131789166</v>
      </c>
      <c r="Y167" s="3">
        <f t="shared" si="76"/>
        <v>140</v>
      </c>
      <c r="Z167" s="10">
        <f>ROUND($J167*1.637*1.75*2.1*2.3*2.6*3.2*4.2*2.4*1.25,0)</f>
        <v>17116293999</v>
      </c>
      <c r="AA167" s="5">
        <f t="shared" si="77"/>
        <v>142</v>
      </c>
      <c r="AB167" s="9">
        <f>ROUND($J167*1.637*1.75*2.1*2.3*2.6*3.2*4.2*2.4*2.5*1.25,0)</f>
        <v>42790734998</v>
      </c>
      <c r="AC167" s="3">
        <f t="shared" si="78"/>
        <v>144</v>
      </c>
      <c r="AD167" s="10">
        <f>ROUND($J167*1.637*1.75*2.1*2.3*2.6*3.2*4.2*2.4*2.5*2.8*1.25,0)</f>
        <v>119814057994</v>
      </c>
      <c r="AE167" s="5">
        <f t="shared" si="79"/>
        <v>147</v>
      </c>
      <c r="AF167" s="9">
        <f>ROUND($J167*1.637*1.75*2.1*2.3*2.6*3.2*4.2*2.4*2.5*2.8*3.2*1.25,0)</f>
        <v>383404985581</v>
      </c>
      <c r="AG167" s="3">
        <f t="shared" si="80"/>
        <v>150</v>
      </c>
      <c r="AH167" s="10">
        <f>ROUND($J167*1.637*1.75*2.1*2.3*2.6*3.2*4.2*2.4*2.5*2.8*3.2*3.8*1.25,0)</f>
        <v>1456938945209</v>
      </c>
    </row>
    <row r="168" spans="1:34" x14ac:dyDescent="0.3">
      <c r="A168" s="2">
        <v>174</v>
      </c>
      <c r="B168" s="2" t="s">
        <v>284</v>
      </c>
      <c r="C168" s="2" t="s">
        <v>228</v>
      </c>
      <c r="D168" s="2" t="s">
        <v>102</v>
      </c>
      <c r="E168" s="2">
        <v>122</v>
      </c>
      <c r="F168" s="2" t="s">
        <v>34</v>
      </c>
      <c r="G168" s="2" t="s">
        <v>35</v>
      </c>
      <c r="H168" s="2">
        <v>30</v>
      </c>
      <c r="I168" s="3">
        <v>122</v>
      </c>
      <c r="J168" s="4">
        <v>4330000</v>
      </c>
      <c r="K168" s="5">
        <f t="shared" si="69"/>
        <v>123</v>
      </c>
      <c r="L168" s="9">
        <f>ROUND($J168*1.637*1,0)</f>
        <v>7088210</v>
      </c>
      <c r="M168" s="3">
        <f t="shared" si="70"/>
        <v>124</v>
      </c>
      <c r="N168" s="10">
        <f>ROUND($J168*1.637*1.75*1,0)</f>
        <v>12404368</v>
      </c>
      <c r="O168" s="5">
        <f t="shared" si="71"/>
        <v>126</v>
      </c>
      <c r="P168" s="9">
        <f>ROUND($J168*1.637*1.75*2.1*1,0)</f>
        <v>26049172</v>
      </c>
      <c r="Q168" s="3">
        <f t="shared" si="72"/>
        <v>128</v>
      </c>
      <c r="R168" s="10">
        <f>ROUND($J168*1.637*1.75*2.1*2.3*1,0)</f>
        <v>59913095</v>
      </c>
      <c r="S168" s="5">
        <f t="shared" si="73"/>
        <v>130</v>
      </c>
      <c r="T168" s="9">
        <f>ROUND($J168*1.637*1.75*2.1*2.3*2.6*1,0)</f>
        <v>155774047</v>
      </c>
      <c r="U168" s="3">
        <f t="shared" si="74"/>
        <v>133</v>
      </c>
      <c r="V168" s="10">
        <f>ROUND($J168*1.637*1.75*2.1*2.3*2.6*3.2*1,0)</f>
        <v>498476951</v>
      </c>
      <c r="W168" s="5">
        <f t="shared" si="75"/>
        <v>137</v>
      </c>
      <c r="X168" s="9">
        <f>ROUND($J168*1.637*1.75*2.1*2.3*2.6*3.2*4.2*1,0)</f>
        <v>2093603193</v>
      </c>
      <c r="Y168" s="3">
        <f t="shared" si="76"/>
        <v>139</v>
      </c>
      <c r="Z168" s="10">
        <f>ROUND($J168*1.637*1.75*2.1*2.3*2.6*3.2*4.2*2.4*1,0)</f>
        <v>5024647662</v>
      </c>
      <c r="AA168" s="5">
        <f t="shared" si="77"/>
        <v>141</v>
      </c>
      <c r="AB168" s="9">
        <f>ROUND($J168*1.637*1.75*2.1*2.3*2.6*3.2*4.2*2.4*2.5*1,0)</f>
        <v>12561619155</v>
      </c>
      <c r="AC168" s="3">
        <f t="shared" si="78"/>
        <v>143</v>
      </c>
      <c r="AD168" s="10">
        <f>ROUND($J168*1.637*1.75*2.1*2.3*2.6*3.2*4.2*2.4*2.5*2.8*1,0)</f>
        <v>35172533635</v>
      </c>
      <c r="AE168" s="5">
        <f t="shared" si="79"/>
        <v>146</v>
      </c>
      <c r="AF168" s="9">
        <f>ROUND($J168*1.637*1.75*2.1*2.3*2.6*3.2*4.2*2.4*2.5*2.8*3.2*1,0)</f>
        <v>112552107632</v>
      </c>
      <c r="AG168" s="3">
        <f t="shared" si="80"/>
        <v>149</v>
      </c>
      <c r="AH168" s="10">
        <f>ROUND($J168*1.637*1.75*2.1*2.3*2.6*3.2*4.2*2.4*2.5*2.8*3.2*3.8*1,0)</f>
        <v>427698009000</v>
      </c>
    </row>
    <row r="169" spans="1:34" x14ac:dyDescent="0.3">
      <c r="A169" s="2">
        <v>170</v>
      </c>
      <c r="B169" s="2" t="s">
        <v>285</v>
      </c>
      <c r="C169" s="2" t="s">
        <v>228</v>
      </c>
      <c r="D169" s="2" t="s">
        <v>45</v>
      </c>
      <c r="E169" s="2">
        <v>122</v>
      </c>
      <c r="F169" s="2" t="s">
        <v>54</v>
      </c>
      <c r="G169" s="2" t="s">
        <v>51</v>
      </c>
      <c r="H169" s="2">
        <v>31</v>
      </c>
      <c r="I169" s="3">
        <v>122</v>
      </c>
      <c r="J169" s="4">
        <v>4270000</v>
      </c>
      <c r="K169" s="5">
        <f t="shared" si="69"/>
        <v>123</v>
      </c>
      <c r="L169" s="9">
        <f>ROUND($J169*1.637*0.8,0)</f>
        <v>5591992</v>
      </c>
      <c r="M169" s="3">
        <f t="shared" si="70"/>
        <v>124</v>
      </c>
      <c r="N169" s="10">
        <f>ROUND($J169*1.637*1.75*0.8,0)</f>
        <v>9785986</v>
      </c>
      <c r="O169" s="5">
        <f t="shared" si="71"/>
        <v>126</v>
      </c>
      <c r="P169" s="9">
        <f>ROUND($J169*1.637*1.75*2.1*0.8,0)</f>
        <v>20550571</v>
      </c>
      <c r="Q169" s="3">
        <f t="shared" si="72"/>
        <v>128</v>
      </c>
      <c r="R169" s="10">
        <f>ROUND($J169*1.637*1.75*2.1*2.3*0.542035092435954,0)</f>
        <v>32025000</v>
      </c>
      <c r="S169" s="5">
        <f t="shared" si="73"/>
        <v>130</v>
      </c>
      <c r="T169" s="9">
        <f>ROUND($J169*1.637*1.75*2.1*2.3*2.6*0.544690061623969,0)</f>
        <v>83672844</v>
      </c>
      <c r="U169" s="3">
        <f t="shared" si="74"/>
        <v>133</v>
      </c>
      <c r="V169" s="10">
        <f>ROUND($J169*1.637*1.75*2.1*2.3*2.6*3.2*0.547345030811984,0)</f>
        <v>269058205</v>
      </c>
      <c r="W169" s="5">
        <f t="shared" si="75"/>
        <v>137</v>
      </c>
      <c r="X169" s="9">
        <f>ROUND($J169*1.637*1.75*2.1*2.3*2.6*3.2*4.2*0.55,0)</f>
        <v>1135525889</v>
      </c>
      <c r="Y169" s="3">
        <f t="shared" si="76"/>
        <v>139</v>
      </c>
      <c r="Z169" s="10">
        <f>ROUND($J169*1.637*1.75*2.1*2.3*2.6*3.2*4.2*2.4*0.55,0)</f>
        <v>2725262133</v>
      </c>
      <c r="AA169" s="5">
        <f t="shared" si="77"/>
        <v>141</v>
      </c>
      <c r="AB169" s="9">
        <f>ROUND($J169*1.637*1.75*2.1*2.3*2.6*3.2*4.2*2.4*2.5*0.55,0)</f>
        <v>6813155332</v>
      </c>
      <c r="AC169" s="3">
        <f t="shared" si="78"/>
        <v>143</v>
      </c>
      <c r="AD169" s="10">
        <f>ROUND($J169*1.637*1.75*2.1*2.3*2.6*3.2*4.2*2.4*2.5*2.8*0.55,0)</f>
        <v>19076834929</v>
      </c>
      <c r="AE169" s="5">
        <f t="shared" si="79"/>
        <v>146</v>
      </c>
      <c r="AF169" s="9">
        <f>ROUND($J169*1.637*1.75*2.1*2.3*2.6*3.2*4.2*2.4*2.5*2.8*3.2*0.55,0)</f>
        <v>61045871772</v>
      </c>
      <c r="AG169" s="3">
        <f t="shared" si="80"/>
        <v>149</v>
      </c>
      <c r="AH169" s="10">
        <f>ROUND($J169*1.637*1.75*2.1*2.3*2.6*3.2*4.2*2.4*2.5*2.8*3.2*3.8*0.55,0)</f>
        <v>231974312734</v>
      </c>
    </row>
    <row r="170" spans="1:34" x14ac:dyDescent="0.3">
      <c r="A170" s="2">
        <v>164</v>
      </c>
      <c r="B170" s="2" t="s">
        <v>286</v>
      </c>
      <c r="C170" s="2" t="s">
        <v>228</v>
      </c>
      <c r="D170" s="2" t="s">
        <v>102</v>
      </c>
      <c r="E170" s="2">
        <v>122</v>
      </c>
      <c r="F170" s="2" t="s">
        <v>54</v>
      </c>
      <c r="G170" s="2" t="s">
        <v>38</v>
      </c>
      <c r="H170" s="2">
        <v>31</v>
      </c>
      <c r="I170" s="3">
        <v>122</v>
      </c>
      <c r="J170" s="4">
        <v>4580000</v>
      </c>
      <c r="K170" s="5">
        <f t="shared" si="69"/>
        <v>123</v>
      </c>
      <c r="L170" s="9">
        <f>ROUND($J170*1.637*1,0)</f>
        <v>7497460</v>
      </c>
      <c r="M170" s="3">
        <f t="shared" si="70"/>
        <v>124</v>
      </c>
      <c r="N170" s="10">
        <f>ROUND($J170*1.637*1.75*1,0)</f>
        <v>13120555</v>
      </c>
      <c r="O170" s="5">
        <f t="shared" si="71"/>
        <v>126</v>
      </c>
      <c r="P170" s="9">
        <f>ROUND($J170*1.637*1.75*2.1*1,0)</f>
        <v>27553166</v>
      </c>
      <c r="Q170" s="3">
        <f t="shared" si="72"/>
        <v>128</v>
      </c>
      <c r="R170" s="10">
        <f>ROUND($J170*1.637*1.75*2.1*2.3*1,0)</f>
        <v>63372281</v>
      </c>
      <c r="S170" s="5">
        <f t="shared" si="73"/>
        <v>130</v>
      </c>
      <c r="T170" s="9">
        <f>ROUND($J170*1.637*1.75*2.1*2.3*2.6*1,0)</f>
        <v>164767930</v>
      </c>
      <c r="U170" s="3">
        <f t="shared" si="74"/>
        <v>133</v>
      </c>
      <c r="V170" s="10">
        <f>ROUND($J170*1.637*1.75*2.1*2.3*2.6*3.2*1,0)</f>
        <v>527257375</v>
      </c>
      <c r="W170" s="5">
        <f t="shared" si="75"/>
        <v>137</v>
      </c>
      <c r="X170" s="9">
        <f>ROUND($J170*1.637*1.75*2.1*2.3*2.6*3.2*4.2*1,0)</f>
        <v>2214480975</v>
      </c>
      <c r="Y170" s="3">
        <f t="shared" si="76"/>
        <v>139</v>
      </c>
      <c r="Z170" s="10">
        <f>ROUND($J170*1.637*1.75*2.1*2.3*2.6*3.2*4.2*2.4*1,0)</f>
        <v>5314754340</v>
      </c>
      <c r="AA170" s="5">
        <f t="shared" si="77"/>
        <v>141</v>
      </c>
      <c r="AB170" s="9">
        <f>ROUND($J170*1.637*1.75*2.1*2.3*2.6*3.2*4.2*2.4*2.5*1,0)</f>
        <v>13286885850</v>
      </c>
      <c r="AC170" s="3">
        <f t="shared" si="78"/>
        <v>143</v>
      </c>
      <c r="AD170" s="10">
        <f>ROUND($J170*1.637*1.75*2.1*2.3*2.6*3.2*4.2*2.4*2.5*2.8*1,0)</f>
        <v>37203280381</v>
      </c>
      <c r="AE170" s="5">
        <f t="shared" si="79"/>
        <v>146</v>
      </c>
      <c r="AF170" s="9">
        <f>ROUND($J170*1.637*1.75*2.1*2.3*2.6*3.2*4.2*2.4*2.5*2.8*3.2*1,0)</f>
        <v>119050497218</v>
      </c>
      <c r="AG170" s="3">
        <f t="shared" si="80"/>
        <v>149</v>
      </c>
      <c r="AH170" s="10">
        <f>ROUND($J170*1.637*1.75*2.1*2.3*2.6*3.2*4.2*2.4*2.5*2.8*3.2*3.8*1,0)</f>
        <v>452391889428</v>
      </c>
    </row>
    <row r="171" spans="1:34" x14ac:dyDescent="0.3">
      <c r="A171" s="2">
        <v>165</v>
      </c>
      <c r="B171" s="2" t="s">
        <v>287</v>
      </c>
      <c r="C171" s="2" t="s">
        <v>228</v>
      </c>
      <c r="D171" s="2" t="s">
        <v>33</v>
      </c>
      <c r="E171" s="2">
        <v>122</v>
      </c>
      <c r="F171" s="2" t="s">
        <v>30</v>
      </c>
      <c r="G171" s="2" t="s">
        <v>67</v>
      </c>
      <c r="H171" s="2">
        <v>31</v>
      </c>
      <c r="I171" s="3">
        <v>122</v>
      </c>
      <c r="J171" s="4">
        <v>4660000</v>
      </c>
      <c r="K171" s="5">
        <f t="shared" si="69"/>
        <v>123</v>
      </c>
      <c r="L171" s="9">
        <f>ROUND($J171*1.637*1,0)</f>
        <v>7628420</v>
      </c>
      <c r="M171" s="3">
        <f t="shared" si="70"/>
        <v>124</v>
      </c>
      <c r="N171" s="10">
        <f>ROUND($J171*1.637*1.75*1,0)</f>
        <v>13349735</v>
      </c>
      <c r="O171" s="5">
        <f t="shared" si="71"/>
        <v>126</v>
      </c>
      <c r="P171" s="9">
        <f>ROUND($J171*1.637*1.75*2.1*1,0)</f>
        <v>28034444</v>
      </c>
      <c r="Q171" s="3">
        <f t="shared" si="72"/>
        <v>128</v>
      </c>
      <c r="R171" s="10">
        <f>ROUND($J171*1.637*1.75*2.1*2.3*1,0)</f>
        <v>64479220</v>
      </c>
      <c r="S171" s="5">
        <f t="shared" si="73"/>
        <v>130</v>
      </c>
      <c r="T171" s="9">
        <f>ROUND($J171*1.637*1.75*2.1*2.3*2.6*1,0)</f>
        <v>167645972</v>
      </c>
      <c r="U171" s="3">
        <f t="shared" si="74"/>
        <v>133</v>
      </c>
      <c r="V171" s="10">
        <f>ROUND($J171*1.637*1.75*2.1*2.3*2.6*3.2*1,0)</f>
        <v>536467111</v>
      </c>
      <c r="W171" s="5">
        <f t="shared" si="75"/>
        <v>137</v>
      </c>
      <c r="X171" s="9">
        <f>ROUND($J171*1.637*1.75*2.1*2.3*2.6*3.2*4.2*1,0)</f>
        <v>2253161865</v>
      </c>
      <c r="Y171" s="3">
        <f t="shared" si="76"/>
        <v>139</v>
      </c>
      <c r="Z171" s="10">
        <f>ROUND($J171*1.637*1.75*2.1*2.3*2.6*3.2*4.2*2.4*1,0)</f>
        <v>5407588477</v>
      </c>
      <c r="AA171" s="5">
        <f t="shared" si="77"/>
        <v>141</v>
      </c>
      <c r="AB171" s="9">
        <f>ROUND($J171*1.637*1.75*2.1*2.3*2.6*3.2*4.2*2.4*2.5*1,0)</f>
        <v>13518971193</v>
      </c>
      <c r="AC171" s="3">
        <f t="shared" si="78"/>
        <v>143</v>
      </c>
      <c r="AD171" s="10">
        <f>ROUND($J171*1.637*1.75*2.1*2.3*2.6*3.2*4.2*2.4*2.5*2.8*1,0)</f>
        <v>37853119339</v>
      </c>
      <c r="AE171" s="5">
        <f t="shared" si="79"/>
        <v>146</v>
      </c>
      <c r="AF171" s="9">
        <f>ROUND($J171*1.637*1.75*2.1*2.3*2.6*3.2*4.2*2.4*2.5*2.8*3.2*1,0)</f>
        <v>121129981885</v>
      </c>
      <c r="AG171" s="3">
        <f t="shared" si="80"/>
        <v>149</v>
      </c>
      <c r="AH171" s="10">
        <f>ROUND($J171*1.637*1.75*2.1*2.3*2.6*3.2*4.2*2.4*2.5*2.8*3.2*3.8*1,0)</f>
        <v>460293931164</v>
      </c>
    </row>
    <row r="172" spans="1:34" x14ac:dyDescent="0.3">
      <c r="A172" s="2">
        <v>171</v>
      </c>
      <c r="B172" s="2" t="s">
        <v>288</v>
      </c>
      <c r="C172" s="2" t="s">
        <v>228</v>
      </c>
      <c r="D172" s="2" t="s">
        <v>102</v>
      </c>
      <c r="E172" s="2">
        <v>122</v>
      </c>
      <c r="F172" s="2" t="s">
        <v>30</v>
      </c>
      <c r="G172" s="2" t="s">
        <v>57</v>
      </c>
      <c r="H172" s="2">
        <v>31</v>
      </c>
      <c r="I172" s="3">
        <v>122</v>
      </c>
      <c r="J172" s="4">
        <v>4760000</v>
      </c>
      <c r="K172" s="5">
        <f t="shared" si="69"/>
        <v>123</v>
      </c>
      <c r="L172" s="9">
        <f>ROUND($J172*1.637*1,0)</f>
        <v>7792120</v>
      </c>
      <c r="M172" s="3">
        <f t="shared" si="70"/>
        <v>124</v>
      </c>
      <c r="N172" s="10">
        <f>ROUND($J172*1.637*1.75*1,0)</f>
        <v>13636210</v>
      </c>
      <c r="O172" s="5">
        <f t="shared" si="71"/>
        <v>126</v>
      </c>
      <c r="P172" s="9">
        <f>ROUND($J172*1.637*1.75*2.1*1,0)</f>
        <v>28636041</v>
      </c>
      <c r="Q172" s="3">
        <f t="shared" si="72"/>
        <v>128</v>
      </c>
      <c r="R172" s="10">
        <f>ROUND($J172*1.637*1.75*2.1*2.3*1.25,0)</f>
        <v>82328618</v>
      </c>
      <c r="S172" s="5">
        <f t="shared" si="73"/>
        <v>130</v>
      </c>
      <c r="T172" s="9">
        <f>ROUND($J172*1.637*1.75*2.1*2.3*2.6*1.25,0)</f>
        <v>214054406</v>
      </c>
      <c r="U172" s="3">
        <f t="shared" si="74"/>
        <v>133</v>
      </c>
      <c r="V172" s="10">
        <f>ROUND($J172*1.637*1.75*2.1*2.3*2.6*3.2*1.25,0)</f>
        <v>684974101</v>
      </c>
      <c r="W172" s="5">
        <f t="shared" si="75"/>
        <v>137</v>
      </c>
      <c r="X172" s="9">
        <f>ROUND($J172*1.637*1.75*2.1*2.3*2.6*3.2*4.2*1.25,0)</f>
        <v>2876891223</v>
      </c>
      <c r="Y172" s="3">
        <f t="shared" si="76"/>
        <v>139</v>
      </c>
      <c r="Z172" s="10">
        <f>ROUND($J172*1.637*1.75*2.1*2.3*2.6*3.2*4.2*2.4*1.25,0)</f>
        <v>6904538935</v>
      </c>
      <c r="AA172" s="5">
        <f t="shared" si="77"/>
        <v>141</v>
      </c>
      <c r="AB172" s="9">
        <f>ROUND($J172*1.637*1.75*2.1*2.3*2.6*3.2*4.2*2.4*2.5*1.25,0)</f>
        <v>17261347338</v>
      </c>
      <c r="AC172" s="3">
        <f t="shared" si="78"/>
        <v>143</v>
      </c>
      <c r="AD172" s="10">
        <f>ROUND($J172*1.637*1.75*2.1*2.3*2.6*3.2*4.2*2.4*2.5*2.8*1.25,0)</f>
        <v>48331772547</v>
      </c>
      <c r="AE172" s="5">
        <f t="shared" si="79"/>
        <v>146</v>
      </c>
      <c r="AF172" s="9">
        <f>ROUND($J172*1.637*1.75*2.1*2.3*2.6*3.2*4.2*2.4*2.5*2.8*3.2*1.25,0)</f>
        <v>154661672150</v>
      </c>
      <c r="AG172" s="3">
        <f t="shared" si="80"/>
        <v>149</v>
      </c>
      <c r="AH172" s="10">
        <f>ROUND($J172*1.637*1.75*2.1*2.3*2.6*3.2*4.2*2.4*2.5*2.8*3.2*3.8*1.25,0)</f>
        <v>587714354169</v>
      </c>
    </row>
    <row r="173" spans="1:34" x14ac:dyDescent="0.3">
      <c r="A173" s="2">
        <v>154</v>
      </c>
      <c r="B173" s="2" t="s">
        <v>289</v>
      </c>
      <c r="C173" s="2" t="s">
        <v>228</v>
      </c>
      <c r="D173" s="2" t="s">
        <v>40</v>
      </c>
      <c r="E173" s="2">
        <v>122</v>
      </c>
      <c r="F173" s="2" t="s">
        <v>34</v>
      </c>
      <c r="G173" s="2" t="s">
        <v>290</v>
      </c>
      <c r="H173" s="2">
        <v>32</v>
      </c>
      <c r="I173" s="3">
        <v>122</v>
      </c>
      <c r="J173" s="4">
        <v>4880000</v>
      </c>
      <c r="K173" s="5">
        <f t="shared" si="69"/>
        <v>123</v>
      </c>
      <c r="L173" s="9">
        <f>ROUND($J173*1.637*0.8,0)</f>
        <v>6390848</v>
      </c>
      <c r="M173" s="3">
        <f t="shared" si="70"/>
        <v>124</v>
      </c>
      <c r="N173" s="10">
        <f>ROUND($J173*1.637*1.75*0.8,0)</f>
        <v>11183984</v>
      </c>
      <c r="O173" s="5">
        <f t="shared" si="71"/>
        <v>126</v>
      </c>
      <c r="P173" s="9">
        <f>ROUND($J173*1.637*1.75*2.1*0.8,0)</f>
        <v>23486366</v>
      </c>
      <c r="Q173" s="3">
        <f t="shared" si="72"/>
        <v>128</v>
      </c>
      <c r="R173" s="10">
        <f>ROUND($J173*1.637*1.75*2.1*2.3*0.542035092435954,0)</f>
        <v>36600000</v>
      </c>
      <c r="S173" s="5">
        <f t="shared" si="73"/>
        <v>130</v>
      </c>
      <c r="T173" s="9">
        <f>ROUND($J173*1.637*1.75*2.1*2.3*2.6*0.544690061623969,0)</f>
        <v>95626108</v>
      </c>
      <c r="U173" s="3">
        <f t="shared" si="74"/>
        <v>133</v>
      </c>
      <c r="V173" s="10">
        <f>ROUND($J173*1.637*1.75*2.1*2.3*2.6*3.2*0.547345030811984,0)</f>
        <v>307495091</v>
      </c>
      <c r="W173" s="5">
        <f t="shared" si="75"/>
        <v>137</v>
      </c>
      <c r="X173" s="9">
        <f>ROUND($J173*1.637*1.75*2.1*2.3*2.6*3.2*4.2*0.55,0)</f>
        <v>1297743873</v>
      </c>
      <c r="Y173" s="3">
        <f t="shared" si="76"/>
        <v>139</v>
      </c>
      <c r="Z173" s="10">
        <f>ROUND($J173*1.637*1.75*2.1*2.3*2.6*3.2*4.2*2.4*0.55,0)</f>
        <v>3114585294</v>
      </c>
      <c r="AA173" s="5">
        <f t="shared" si="77"/>
        <v>141</v>
      </c>
      <c r="AB173" s="9">
        <f>ROUND($J173*1.637*1.75*2.1*2.3*2.6*3.2*4.2*2.4*2.5*0.55,0)</f>
        <v>7786463236</v>
      </c>
      <c r="AC173" s="3">
        <f t="shared" si="78"/>
        <v>143</v>
      </c>
      <c r="AD173" s="10">
        <f>ROUND($J173*1.637*1.75*2.1*2.3*2.6*3.2*4.2*2.4*2.5*2.8*0.55,0)</f>
        <v>21802097061</v>
      </c>
      <c r="AE173" s="5">
        <f t="shared" si="79"/>
        <v>146</v>
      </c>
      <c r="AF173" s="9">
        <f>ROUND($J173*1.637*1.75*2.1*2.3*2.6*3.2*4.2*2.4*2.5*2.8*3.2*0.55,0)</f>
        <v>69766710597</v>
      </c>
      <c r="AG173" s="3">
        <f t="shared" si="80"/>
        <v>149</v>
      </c>
      <c r="AH173" s="10">
        <f>ROUND($J173*1.637*1.75*2.1*2.3*2.6*3.2*4.2*2.4*2.5*2.8*3.2*3.8*0.55,0)</f>
        <v>265113500267</v>
      </c>
    </row>
    <row r="174" spans="1:34" x14ac:dyDescent="0.3">
      <c r="A174" s="2">
        <v>179</v>
      </c>
      <c r="B174" s="2" t="s">
        <v>291</v>
      </c>
      <c r="C174" s="2" t="s">
        <v>228</v>
      </c>
      <c r="D174" s="2" t="s">
        <v>33</v>
      </c>
      <c r="E174" s="2">
        <v>122</v>
      </c>
      <c r="F174" s="2" t="s">
        <v>54</v>
      </c>
      <c r="G174" s="2" t="s">
        <v>35</v>
      </c>
      <c r="H174" s="2">
        <v>30</v>
      </c>
      <c r="I174" s="3">
        <v>122</v>
      </c>
      <c r="J174" s="4">
        <v>4310000</v>
      </c>
      <c r="K174" s="5">
        <f t="shared" si="69"/>
        <v>123</v>
      </c>
      <c r="L174" s="9">
        <f>ROUND($J174*1.637*1,0)</f>
        <v>7055470</v>
      </c>
      <c r="M174" s="3">
        <f t="shared" si="70"/>
        <v>124</v>
      </c>
      <c r="N174" s="10">
        <f>ROUND($J174*1.637*1.75*1,0)</f>
        <v>12347073</v>
      </c>
      <c r="O174" s="5">
        <f t="shared" si="71"/>
        <v>126</v>
      </c>
      <c r="P174" s="9">
        <f>ROUND($J174*1.637*1.75*2.1*1,0)</f>
        <v>25928852</v>
      </c>
      <c r="Q174" s="3">
        <f t="shared" si="72"/>
        <v>128</v>
      </c>
      <c r="R174" s="10">
        <f>ROUND($J174*1.637*1.75*2.1*2.3*1.25,0)</f>
        <v>74545450</v>
      </c>
      <c r="S174" s="5">
        <f t="shared" si="73"/>
        <v>130</v>
      </c>
      <c r="T174" s="9">
        <f>ROUND($J174*1.637*1.75*2.1*2.3*2.6*1.25,0)</f>
        <v>193818171</v>
      </c>
      <c r="U174" s="3">
        <f t="shared" si="74"/>
        <v>133</v>
      </c>
      <c r="V174" s="10">
        <f>ROUND($J174*1.637*1.75*2.1*2.3*2.6*3.2*1.25,0)</f>
        <v>620218146</v>
      </c>
      <c r="W174" s="5">
        <f t="shared" si="75"/>
        <v>137</v>
      </c>
      <c r="X174" s="9">
        <f>ROUND($J174*1.637*1.75*2.1*2.3*2.6*3.2*4.2*1.25,0)</f>
        <v>2604916212</v>
      </c>
      <c r="Y174" s="3">
        <f t="shared" si="76"/>
        <v>139</v>
      </c>
      <c r="Z174" s="10">
        <f>ROUND($J174*1.637*1.75*2.1*2.3*2.6*3.2*4.2*2.4*1.25,0)</f>
        <v>6251798910</v>
      </c>
      <c r="AA174" s="5">
        <f t="shared" si="77"/>
        <v>141</v>
      </c>
      <c r="AB174" s="9">
        <f>ROUND($J174*1.637*1.75*2.1*2.3*2.6*3.2*4.2*2.4*2.5*1.25,0)</f>
        <v>15629497275</v>
      </c>
      <c r="AC174" s="3">
        <f t="shared" si="78"/>
        <v>143</v>
      </c>
      <c r="AD174" s="10">
        <f>ROUND($J174*1.637*1.75*2.1*2.3*2.6*3.2*4.2*2.4*2.5*2.8*1.25,0)</f>
        <v>43762592369</v>
      </c>
      <c r="AE174" s="5">
        <f t="shared" si="79"/>
        <v>146</v>
      </c>
      <c r="AF174" s="9">
        <f>ROUND($J174*1.637*1.75*2.1*2.3*2.6*3.2*4.2*2.4*2.5*2.8*3.2*1.25,0)</f>
        <v>140040295581</v>
      </c>
      <c r="AG174" s="3">
        <f t="shared" si="80"/>
        <v>149</v>
      </c>
      <c r="AH174" s="10">
        <f>ROUND($J174*1.637*1.75*2.1*2.3*2.6*3.2*4.2*2.4*2.5*2.8*3.2*3.8*1.25,0)</f>
        <v>532153123208</v>
      </c>
    </row>
    <row r="175" spans="1:34" x14ac:dyDescent="0.3">
      <c r="A175" s="2">
        <v>161</v>
      </c>
      <c r="B175" s="2" t="s">
        <v>292</v>
      </c>
      <c r="C175" s="2" t="s">
        <v>228</v>
      </c>
      <c r="D175" s="2" t="s">
        <v>45</v>
      </c>
      <c r="E175" s="2">
        <v>122</v>
      </c>
      <c r="F175" s="2" t="s">
        <v>26</v>
      </c>
      <c r="G175" s="2" t="s">
        <v>98</v>
      </c>
      <c r="H175" s="2">
        <v>31</v>
      </c>
      <c r="I175" s="3">
        <v>122</v>
      </c>
      <c r="J175" s="4">
        <v>4600000</v>
      </c>
      <c r="K175" s="5">
        <f t="shared" si="69"/>
        <v>123</v>
      </c>
      <c r="L175" s="9">
        <f>ROUND($J175*1.637*1,0)</f>
        <v>7530200</v>
      </c>
      <c r="M175" s="3">
        <f t="shared" si="70"/>
        <v>124</v>
      </c>
      <c r="N175" s="10">
        <f>ROUND($J175*1.637*1.75*1,0)</f>
        <v>13177850</v>
      </c>
      <c r="O175" s="5">
        <f t="shared" si="71"/>
        <v>126</v>
      </c>
      <c r="P175" s="9">
        <f>ROUND($J175*1.637*1.75*2.1*1,0)</f>
        <v>27673485</v>
      </c>
      <c r="Q175" s="3">
        <f t="shared" si="72"/>
        <v>128</v>
      </c>
      <c r="R175" s="10">
        <f>ROUND($J175*1.637*1.75*2.1*2.3*1,0)</f>
        <v>63649016</v>
      </c>
      <c r="S175" s="5">
        <f t="shared" si="73"/>
        <v>130</v>
      </c>
      <c r="T175" s="9">
        <f>ROUND($J175*1.637*1.75*2.1*2.3*2.6*1,0)</f>
        <v>165487440</v>
      </c>
      <c r="U175" s="3">
        <f t="shared" si="74"/>
        <v>133</v>
      </c>
      <c r="V175" s="10">
        <f>ROUND($J175*1.637*1.75*2.1*2.3*2.6*3.2*1,0)</f>
        <v>529559809</v>
      </c>
      <c r="W175" s="5">
        <f t="shared" si="75"/>
        <v>137</v>
      </c>
      <c r="X175" s="9">
        <f>ROUND($J175*1.637*1.75*2.1*2.3*2.6*3.2*4.2*1,0)</f>
        <v>2224151198</v>
      </c>
      <c r="Y175" s="3">
        <f t="shared" si="76"/>
        <v>139</v>
      </c>
      <c r="Z175" s="10">
        <f>ROUND($J175*1.637*1.75*2.1*2.3*2.6*3.2*4.2*2.4*1,0)</f>
        <v>5337962874</v>
      </c>
      <c r="AA175" s="5">
        <f t="shared" si="77"/>
        <v>141</v>
      </c>
      <c r="AB175" s="9">
        <f>ROUND($J175*1.637*1.75*2.1*2.3*2.6*3.2*4.2*2.4*2.5*1,0)</f>
        <v>13344907186</v>
      </c>
      <c r="AC175" s="3">
        <f t="shared" si="78"/>
        <v>143</v>
      </c>
      <c r="AD175" s="10">
        <f>ROUND($J175*1.637*1.75*2.1*2.3*2.6*3.2*4.2*2.4*2.5*2.8*1,0)</f>
        <v>37365740120</v>
      </c>
      <c r="AE175" s="5">
        <f t="shared" si="79"/>
        <v>146</v>
      </c>
      <c r="AF175" s="9">
        <f>ROUND($J175*1.637*1.75*2.1*2.3*2.6*3.2*4.2*2.4*2.5*2.8*3.2*1,0)</f>
        <v>119570368385</v>
      </c>
      <c r="AG175" s="3">
        <f t="shared" si="80"/>
        <v>149</v>
      </c>
      <c r="AH175" s="10">
        <f>ROUND($J175*1.637*1.75*2.1*2.3*2.6*3.2*4.2*2.4*2.5*2.8*3.2*3.8*1,0)</f>
        <v>454367399862</v>
      </c>
    </row>
    <row r="176" spans="1:34" x14ac:dyDescent="0.3">
      <c r="A176" s="2">
        <v>162</v>
      </c>
      <c r="B176" s="2" t="s">
        <v>293</v>
      </c>
      <c r="C176" s="2" t="s">
        <v>228</v>
      </c>
      <c r="D176" s="2" t="s">
        <v>33</v>
      </c>
      <c r="E176" s="2">
        <v>122</v>
      </c>
      <c r="F176" s="2" t="s">
        <v>71</v>
      </c>
      <c r="G176" s="2" t="s">
        <v>72</v>
      </c>
      <c r="H176" s="2">
        <v>31</v>
      </c>
      <c r="I176" s="3">
        <v>122</v>
      </c>
      <c r="J176" s="4">
        <v>4920000</v>
      </c>
      <c r="K176" s="5">
        <f t="shared" si="69"/>
        <v>123</v>
      </c>
      <c r="L176" s="9">
        <f>ROUND($J176*1.637*1,0)</f>
        <v>8054040</v>
      </c>
      <c r="M176" s="3">
        <f t="shared" si="70"/>
        <v>124</v>
      </c>
      <c r="N176" s="10">
        <f>ROUND($J176*1.637*1.75*1,0)</f>
        <v>14094570</v>
      </c>
      <c r="O176" s="5">
        <f t="shared" si="71"/>
        <v>126</v>
      </c>
      <c r="P176" s="9">
        <f>ROUND($J176*1.637*1.75*2.1*1,0)</f>
        <v>29598597</v>
      </c>
      <c r="Q176" s="3">
        <f t="shared" si="72"/>
        <v>128</v>
      </c>
      <c r="R176" s="10">
        <f>ROUND($J176*1.637*1.75*2.1*2.3*1,0)</f>
        <v>68076773</v>
      </c>
      <c r="S176" s="5">
        <f t="shared" si="73"/>
        <v>130</v>
      </c>
      <c r="T176" s="9">
        <f>ROUND($J176*1.637*1.75*2.1*2.3*2.6*1,0)</f>
        <v>176999610</v>
      </c>
      <c r="U176" s="3">
        <f t="shared" si="74"/>
        <v>133</v>
      </c>
      <c r="V176" s="10">
        <f>ROUND($J176*1.637*1.75*2.1*2.3*2.6*3.2*1,0)</f>
        <v>566398752</v>
      </c>
      <c r="W176" s="5">
        <f t="shared" si="75"/>
        <v>137</v>
      </c>
      <c r="X176" s="9">
        <f>ROUND($J176*1.637*1.75*2.1*2.3*2.6*3.2*4.2*1,0)</f>
        <v>2378874759</v>
      </c>
      <c r="Y176" s="3">
        <f t="shared" si="76"/>
        <v>139</v>
      </c>
      <c r="Z176" s="10">
        <f>ROUND($J176*1.637*1.75*2.1*2.3*2.6*3.2*4.2*2.4*1,0)</f>
        <v>5709299422</v>
      </c>
      <c r="AA176" s="5">
        <f t="shared" si="77"/>
        <v>141</v>
      </c>
      <c r="AB176" s="9">
        <f>ROUND($J176*1.637*1.75*2.1*2.3*2.6*3.2*4.2*2.4*2.5*1,0)</f>
        <v>14273248555</v>
      </c>
      <c r="AC176" s="3">
        <f t="shared" si="78"/>
        <v>143</v>
      </c>
      <c r="AD176" s="10">
        <f>ROUND($J176*1.637*1.75*2.1*2.3*2.6*3.2*4.2*2.4*2.5*2.8*1,0)</f>
        <v>39965095955</v>
      </c>
      <c r="AE176" s="5">
        <f t="shared" si="79"/>
        <v>146</v>
      </c>
      <c r="AF176" s="9">
        <f>ROUND($J176*1.637*1.75*2.1*2.3*2.6*3.2*4.2*2.4*2.5*2.8*3.2*1,0)</f>
        <v>127888307055</v>
      </c>
      <c r="AG176" s="3">
        <f t="shared" si="80"/>
        <v>149</v>
      </c>
      <c r="AH176" s="10">
        <f>ROUND($J176*1.637*1.75*2.1*2.3*2.6*3.2*4.2*2.4*2.5*2.8*3.2*3.8*1,0)</f>
        <v>485975566809</v>
      </c>
    </row>
    <row r="177" spans="1:34" x14ac:dyDescent="0.3">
      <c r="A177" s="2">
        <v>181</v>
      </c>
      <c r="B177" s="2" t="s">
        <v>294</v>
      </c>
      <c r="C177" s="2" t="s">
        <v>228</v>
      </c>
      <c r="D177" s="2" t="s">
        <v>64</v>
      </c>
      <c r="E177" s="2">
        <v>122</v>
      </c>
      <c r="F177" s="2" t="s">
        <v>54</v>
      </c>
      <c r="G177" s="2" t="s">
        <v>295</v>
      </c>
      <c r="H177" s="2">
        <v>30</v>
      </c>
      <c r="I177" s="3">
        <v>122</v>
      </c>
      <c r="J177" s="4">
        <v>4820000</v>
      </c>
      <c r="K177" s="5">
        <f t="shared" si="69"/>
        <v>123</v>
      </c>
      <c r="L177" s="9">
        <f>ROUND($J177*1.637*0.8,0)</f>
        <v>6312272</v>
      </c>
      <c r="M177" s="3">
        <f t="shared" si="70"/>
        <v>124</v>
      </c>
      <c r="N177" s="10">
        <f>ROUND($J177*1.637*1.75*0.8,0)</f>
        <v>11046476</v>
      </c>
      <c r="O177" s="5">
        <f t="shared" si="71"/>
        <v>126</v>
      </c>
      <c r="P177" s="9">
        <f>ROUND($J177*1.637*1.75*2.1*0.8,0)</f>
        <v>23197600</v>
      </c>
      <c r="Q177" s="3">
        <f t="shared" si="72"/>
        <v>128</v>
      </c>
      <c r="R177" s="10">
        <f>ROUND($J177*1.637*1.75*2.1*2.3*0.542035092435954,0)</f>
        <v>36150000</v>
      </c>
      <c r="S177" s="5">
        <f t="shared" si="73"/>
        <v>130</v>
      </c>
      <c r="T177" s="9">
        <f>ROUND($J177*1.637*1.75*2.1*2.3*2.6*0.544690061623969,0)</f>
        <v>94450377</v>
      </c>
      <c r="U177" s="3">
        <f t="shared" si="74"/>
        <v>133</v>
      </c>
      <c r="V177" s="10">
        <f>ROUND($J177*1.637*1.75*2.1*2.3*2.6*3.2*0.547345030811984,0)</f>
        <v>303714414</v>
      </c>
      <c r="W177" s="5">
        <f t="shared" si="75"/>
        <v>137</v>
      </c>
      <c r="X177" s="9">
        <f>ROUND($J177*1.637*1.75*2.1*2.3*2.6*3.2*4.2*0.55,0)</f>
        <v>1281788005</v>
      </c>
      <c r="Y177" s="3">
        <f t="shared" si="76"/>
        <v>139</v>
      </c>
      <c r="Z177" s="10">
        <f>ROUND($J177*1.637*1.75*2.1*2.3*2.6*3.2*4.2*2.4*0.55,0)</f>
        <v>3076291213</v>
      </c>
      <c r="AA177" s="5">
        <f t="shared" si="77"/>
        <v>141</v>
      </c>
      <c r="AB177" s="9">
        <f>ROUND($J177*1.637*1.75*2.1*2.3*2.6*3.2*4.2*2.4*2.5*0.55,0)</f>
        <v>7690728033</v>
      </c>
      <c r="AC177" s="3">
        <f t="shared" si="78"/>
        <v>143</v>
      </c>
      <c r="AD177" s="10">
        <f>ROUND($J177*1.637*1.75*2.1*2.3*2.6*3.2*4.2*2.4*2.5*2.8*0.55,0)</f>
        <v>21534038491</v>
      </c>
      <c r="AE177" s="5">
        <f t="shared" si="79"/>
        <v>146</v>
      </c>
      <c r="AF177" s="9">
        <f>ROUND($J177*1.637*1.75*2.1*2.3*2.6*3.2*4.2*2.4*2.5*2.8*3.2*0.55,0)</f>
        <v>68908923171</v>
      </c>
      <c r="AG177" s="3">
        <f t="shared" si="80"/>
        <v>149</v>
      </c>
      <c r="AH177" s="10">
        <f>ROUND($J177*1.637*1.75*2.1*2.3*2.6*3.2*4.2*2.4*2.5*2.8*3.2*3.8*0.55,0)</f>
        <v>261853908051</v>
      </c>
    </row>
    <row r="178" spans="1:34" x14ac:dyDescent="0.3">
      <c r="A178" s="2">
        <v>184</v>
      </c>
      <c r="B178" s="2" t="s">
        <v>296</v>
      </c>
      <c r="C178" s="2" t="s">
        <v>228</v>
      </c>
      <c r="D178" s="2" t="s">
        <v>47</v>
      </c>
      <c r="E178" s="2">
        <v>122</v>
      </c>
      <c r="F178" s="2" t="s">
        <v>62</v>
      </c>
      <c r="G178" s="2" t="s">
        <v>185</v>
      </c>
      <c r="H178" s="2">
        <v>29</v>
      </c>
      <c r="I178" s="3">
        <v>122</v>
      </c>
      <c r="J178" s="4">
        <v>4810000</v>
      </c>
      <c r="K178" s="5">
        <f t="shared" si="69"/>
        <v>123</v>
      </c>
      <c r="L178" s="9">
        <f>ROUND($J178*1.637*1,0)</f>
        <v>7873970</v>
      </c>
      <c r="M178" s="3">
        <f t="shared" si="70"/>
        <v>124</v>
      </c>
      <c r="N178" s="10">
        <f>ROUND($J178*1.637*1.75*1,0)</f>
        <v>13779448</v>
      </c>
      <c r="O178" s="5">
        <f t="shared" si="71"/>
        <v>126</v>
      </c>
      <c r="P178" s="9">
        <f>ROUND($J178*1.637*1.75*2.1*1,0)</f>
        <v>28936840</v>
      </c>
      <c r="Q178" s="3">
        <f t="shared" si="72"/>
        <v>128</v>
      </c>
      <c r="R178" s="10">
        <f>ROUND($J178*1.637*1.75*2.1*2.3*1,0)</f>
        <v>66554731</v>
      </c>
      <c r="S178" s="5">
        <f t="shared" si="73"/>
        <v>130</v>
      </c>
      <c r="T178" s="9">
        <f>ROUND($J178*1.637*1.75*2.1*2.3*2.6*1,0)</f>
        <v>173042302</v>
      </c>
      <c r="U178" s="3">
        <f t="shared" si="74"/>
        <v>133</v>
      </c>
      <c r="V178" s="10">
        <f>ROUND($J178*1.637*1.75*2.1*2.3*2.6*3.2*1,0)</f>
        <v>553735365</v>
      </c>
      <c r="W178" s="5">
        <f t="shared" si="75"/>
        <v>137</v>
      </c>
      <c r="X178" s="9">
        <f>ROUND($J178*1.637*1.75*2.1*2.3*2.6*3.2*4.2*1,0)</f>
        <v>2325688535</v>
      </c>
      <c r="Y178" s="3">
        <f t="shared" si="76"/>
        <v>139</v>
      </c>
      <c r="Z178" s="10">
        <f>ROUND($J178*1.637*1.75*2.1*2.3*2.6*3.2*4.2*2.4*1,0)</f>
        <v>5581652484</v>
      </c>
      <c r="AA178" s="5">
        <f t="shared" si="77"/>
        <v>141</v>
      </c>
      <c r="AB178" s="9">
        <f>ROUND($J178*1.637*1.75*2.1*2.3*2.6*3.2*4.2*2.4*2.5*1,0)</f>
        <v>13954131209</v>
      </c>
      <c r="AC178" s="3">
        <f t="shared" si="78"/>
        <v>143</v>
      </c>
      <c r="AD178" s="10">
        <f>ROUND($J178*1.637*1.75*2.1*2.3*2.6*3.2*4.2*2.4*2.5*2.8*1,0)</f>
        <v>39071567387</v>
      </c>
      <c r="AE178" s="5">
        <f t="shared" si="79"/>
        <v>146</v>
      </c>
      <c r="AF178" s="9">
        <f>ROUND($J178*1.637*1.75*2.1*2.3*2.6*3.2*4.2*2.4*2.5*2.8*3.2*1,0)</f>
        <v>125029015637</v>
      </c>
      <c r="AG178" s="3">
        <f t="shared" si="80"/>
        <v>149</v>
      </c>
      <c r="AH178" s="10">
        <f>ROUND($J178*1.637*1.75*2.1*2.3*2.6*3.2*4.2*2.4*2.5*2.8*3.2*3.8*1,0)</f>
        <v>475110259421</v>
      </c>
    </row>
    <row r="179" spans="1:34" x14ac:dyDescent="0.3">
      <c r="A179" s="2">
        <v>322</v>
      </c>
      <c r="B179" s="2" t="s">
        <v>297</v>
      </c>
      <c r="C179" s="2" t="s">
        <v>228</v>
      </c>
      <c r="D179" s="2" t="s">
        <v>47</v>
      </c>
      <c r="E179" s="2">
        <v>122</v>
      </c>
      <c r="F179" s="2" t="s">
        <v>298</v>
      </c>
      <c r="G179" s="2" t="s">
        <v>277</v>
      </c>
      <c r="H179" s="2">
        <v>28</v>
      </c>
      <c r="I179" s="3">
        <v>122</v>
      </c>
      <c r="J179" s="6">
        <v>4110000</v>
      </c>
      <c r="K179" s="5">
        <f t="shared" si="69"/>
        <v>123</v>
      </c>
      <c r="L179" s="9">
        <f>ROUND($J179*1.637*0.8,0)</f>
        <v>5382456</v>
      </c>
      <c r="M179" s="3">
        <f t="shared" si="70"/>
        <v>124</v>
      </c>
      <c r="N179" s="10">
        <f>ROUND($J179*1.637*1.75*0.8,0)</f>
        <v>9419298</v>
      </c>
      <c r="O179" s="5">
        <f t="shared" si="71"/>
        <v>126</v>
      </c>
      <c r="P179" s="9">
        <f>ROUND($J179*1.637*1.75*2.1*0.8,0)</f>
        <v>19780526</v>
      </c>
      <c r="Q179" s="3">
        <f t="shared" si="72"/>
        <v>128</v>
      </c>
      <c r="R179" s="10">
        <f>ROUND($J179*1.637*1.75*2.1*2.3*0.542035092435954,0)</f>
        <v>30825000</v>
      </c>
      <c r="S179" s="5">
        <f t="shared" si="73"/>
        <v>130</v>
      </c>
      <c r="T179" s="9">
        <f>ROUND($J179*1.637*1.75*2.1*2.3*2.6*0.544690061623969,0)</f>
        <v>80537562</v>
      </c>
      <c r="U179" s="3">
        <f t="shared" si="74"/>
        <v>133</v>
      </c>
      <c r="V179" s="10">
        <f>ROUND($J179*1.637*1.75*2.1*2.3*2.6*3.2*0.547345030811984,0)</f>
        <v>258976398</v>
      </c>
      <c r="W179" s="5">
        <f t="shared" si="75"/>
        <v>137</v>
      </c>
      <c r="X179" s="9">
        <f>ROUND($J179*1.637*1.75*2.1*2.3*2.6*3.2*4.2*0.55,0)</f>
        <v>1092976909</v>
      </c>
      <c r="Y179" s="3">
        <f t="shared" si="76"/>
        <v>139</v>
      </c>
      <c r="Z179" s="10">
        <f>ROUND($J179*1.637*1.75*2.1*2.3*2.6*3.2*4.2*2.4*0.55,0)</f>
        <v>2623144582</v>
      </c>
      <c r="AA179" s="5">
        <f t="shared" si="77"/>
        <v>141</v>
      </c>
      <c r="AB179" s="9">
        <f>ROUND($J179*1.637*1.75*2.1*2.3*2.6*3.2*4.2*2.4*2.5*0.55,0)</f>
        <v>6557861455</v>
      </c>
      <c r="AC179" s="3">
        <f t="shared" si="78"/>
        <v>143</v>
      </c>
      <c r="AD179" s="10">
        <f>ROUND($J179*1.637*1.75*2.1*2.3*2.6*3.2*4.2*2.4*2.5*2.8*0.55,0)</f>
        <v>18362012074</v>
      </c>
      <c r="AE179" s="5">
        <f t="shared" si="79"/>
        <v>146</v>
      </c>
      <c r="AF179" s="9">
        <f>ROUND($J179*1.637*1.75*2.1*2.3*2.6*3.2*4.2*2.4*2.5*2.8*3.2*0.55,0)</f>
        <v>58758438638</v>
      </c>
      <c r="AG179" s="3">
        <f t="shared" si="80"/>
        <v>149</v>
      </c>
      <c r="AH179" s="10">
        <f>ROUND($J179*1.637*1.75*2.1*2.3*2.6*3.2*4.2*2.4*2.5*2.8*3.2*3.8*0.55,0)</f>
        <v>223282066823</v>
      </c>
    </row>
    <row r="180" spans="1:34" x14ac:dyDescent="0.3">
      <c r="A180" s="2">
        <v>156</v>
      </c>
      <c r="B180" s="2" t="s">
        <v>299</v>
      </c>
      <c r="C180" s="2" t="s">
        <v>228</v>
      </c>
      <c r="D180" s="2" t="s">
        <v>102</v>
      </c>
      <c r="E180" s="2">
        <v>122</v>
      </c>
      <c r="F180" s="2" t="s">
        <v>298</v>
      </c>
      <c r="G180" s="2" t="s">
        <v>300</v>
      </c>
      <c r="H180" s="2">
        <v>32</v>
      </c>
      <c r="I180" s="3">
        <v>122</v>
      </c>
      <c r="J180" s="4">
        <v>4730000</v>
      </c>
      <c r="K180" s="5">
        <f t="shared" si="69"/>
        <v>123</v>
      </c>
      <c r="L180" s="9">
        <f>ROUND($J180*1.637*0.8,0)</f>
        <v>6194408</v>
      </c>
      <c r="M180" s="3">
        <f t="shared" si="70"/>
        <v>124</v>
      </c>
      <c r="N180" s="10">
        <f>ROUND($J180*1.637*1.75*0.8,0)</f>
        <v>10840214</v>
      </c>
      <c r="O180" s="5">
        <f t="shared" si="71"/>
        <v>126</v>
      </c>
      <c r="P180" s="9">
        <f>ROUND($J180*1.637*1.75*2.1*0.8,0)</f>
        <v>22764449</v>
      </c>
      <c r="Q180" s="3">
        <f t="shared" si="72"/>
        <v>128</v>
      </c>
      <c r="R180" s="10">
        <f>ROUND($J180*1.637*1.75*2.1*2.3*0.542035092435954,0)</f>
        <v>35475000</v>
      </c>
      <c r="S180" s="5">
        <f t="shared" si="73"/>
        <v>130</v>
      </c>
      <c r="T180" s="9">
        <f>ROUND($J180*1.637*1.75*2.1*2.3*2.6*0.544690061623969,0)</f>
        <v>92686781</v>
      </c>
      <c r="U180" s="3">
        <f t="shared" si="74"/>
        <v>133</v>
      </c>
      <c r="V180" s="10">
        <f>ROUND($J180*1.637*1.75*2.1*2.3*2.6*3.2*0.547345030811984,0)</f>
        <v>298043398</v>
      </c>
      <c r="W180" s="5">
        <f t="shared" si="75"/>
        <v>137</v>
      </c>
      <c r="X180" s="9">
        <f>ROUND($J180*1.637*1.75*2.1*2.3*2.6*3.2*4.2*0.55,0)</f>
        <v>1257854204</v>
      </c>
      <c r="Y180" s="3">
        <f t="shared" si="76"/>
        <v>139</v>
      </c>
      <c r="Z180" s="10">
        <f>ROUND($J180*1.637*1.75*2.1*2.3*2.6*3.2*4.2*2.4*0.55,0)</f>
        <v>3018850091</v>
      </c>
      <c r="AA180" s="5">
        <f t="shared" si="77"/>
        <v>141</v>
      </c>
      <c r="AB180" s="9">
        <f>ROUND($J180*1.637*1.75*2.1*2.3*2.6*3.2*4.2*2.4*2.5*0.55,0)</f>
        <v>7547125227</v>
      </c>
      <c r="AC180" s="3">
        <f t="shared" si="78"/>
        <v>143</v>
      </c>
      <c r="AD180" s="10">
        <f>ROUND($J180*1.637*1.75*2.1*2.3*2.6*3.2*4.2*2.4*2.5*2.8*0.55,0)</f>
        <v>21131950635</v>
      </c>
      <c r="AE180" s="5">
        <f t="shared" si="79"/>
        <v>146</v>
      </c>
      <c r="AF180" s="9">
        <f>ROUND($J180*1.637*1.75*2.1*2.3*2.6*3.2*4.2*2.4*2.5*2.8*3.2*0.55,0)</f>
        <v>67622242033</v>
      </c>
      <c r="AG180" s="3">
        <f t="shared" si="80"/>
        <v>149</v>
      </c>
      <c r="AH180" s="10">
        <f>ROUND($J180*1.637*1.75*2.1*2.3*2.6*3.2*4.2*2.4*2.5*2.8*3.2*3.8*0.55,0)</f>
        <v>256964519726</v>
      </c>
    </row>
    <row r="181" spans="1:34" x14ac:dyDescent="0.3">
      <c r="A181" s="2">
        <v>180</v>
      </c>
      <c r="B181" s="2" t="s">
        <v>301</v>
      </c>
      <c r="C181" s="2" t="s">
        <v>228</v>
      </c>
      <c r="D181" s="2" t="s">
        <v>165</v>
      </c>
      <c r="E181" s="2">
        <v>122</v>
      </c>
      <c r="F181" s="2" t="s">
        <v>71</v>
      </c>
      <c r="G181" s="2" t="s">
        <v>124</v>
      </c>
      <c r="H181" s="2">
        <v>30</v>
      </c>
      <c r="I181" s="3">
        <v>122</v>
      </c>
      <c r="J181" s="4">
        <v>3740000</v>
      </c>
      <c r="K181" s="5">
        <f t="shared" si="69"/>
        <v>123</v>
      </c>
      <c r="L181" s="9">
        <f>ROUND($J181*1.637*1,0)</f>
        <v>6122380</v>
      </c>
      <c r="M181" s="3">
        <f t="shared" si="70"/>
        <v>124</v>
      </c>
      <c r="N181" s="10">
        <f>ROUND($J181*1.637*1.75*1,0)</f>
        <v>10714165</v>
      </c>
      <c r="O181" s="5">
        <f t="shared" si="71"/>
        <v>126</v>
      </c>
      <c r="P181" s="9">
        <f>ROUND($J181*1.637*1.75*2.1*1,0)</f>
        <v>22499747</v>
      </c>
      <c r="Q181" s="3">
        <f t="shared" si="72"/>
        <v>128</v>
      </c>
      <c r="R181" s="10">
        <f>ROUND($J181*1.637*1.75*2.1*2.3*1,0)</f>
        <v>51749417</v>
      </c>
      <c r="S181" s="5">
        <f t="shared" si="73"/>
        <v>130</v>
      </c>
      <c r="T181" s="9">
        <f>ROUND($J181*1.637*1.75*2.1*2.3*2.6*1,0)</f>
        <v>134548484</v>
      </c>
      <c r="U181" s="3">
        <f t="shared" si="74"/>
        <v>133</v>
      </c>
      <c r="V181" s="10">
        <f>ROUND($J181*1.637*1.75*2.1*2.3*2.6*3.2*1,0)</f>
        <v>430555149</v>
      </c>
      <c r="W181" s="5">
        <f t="shared" si="75"/>
        <v>137</v>
      </c>
      <c r="X181" s="9">
        <f>ROUND($J181*1.637*1.75*2.1*2.3*2.6*3.2*4.2*1,0)</f>
        <v>1808331626</v>
      </c>
      <c r="Y181" s="3">
        <f t="shared" si="76"/>
        <v>139</v>
      </c>
      <c r="Z181" s="10">
        <f>ROUND($J181*1.637*1.75*2.1*2.3*2.6*3.2*4.2*2.4*1,0)</f>
        <v>4339995902</v>
      </c>
      <c r="AA181" s="5">
        <f t="shared" si="77"/>
        <v>141</v>
      </c>
      <c r="AB181" s="9">
        <f>ROUND($J181*1.637*1.75*2.1*2.3*2.6*3.2*4.2*2.4*2.5*1,0)</f>
        <v>10849989755</v>
      </c>
      <c r="AC181" s="3">
        <f t="shared" si="78"/>
        <v>143</v>
      </c>
      <c r="AD181" s="10">
        <f>ROUND($J181*1.637*1.75*2.1*2.3*2.6*3.2*4.2*2.4*2.5*2.8*1,0)</f>
        <v>30379971315</v>
      </c>
      <c r="AE181" s="5">
        <f t="shared" si="79"/>
        <v>146</v>
      </c>
      <c r="AF181" s="9">
        <f>ROUND($J181*1.637*1.75*2.1*2.3*2.6*3.2*4.2*2.4*2.5*2.8*3.2*1,0)</f>
        <v>97215908208</v>
      </c>
      <c r="AG181" s="3">
        <f t="shared" si="80"/>
        <v>149</v>
      </c>
      <c r="AH181" s="10">
        <f>ROUND($J181*1.637*1.75*2.1*2.3*2.6*3.2*4.2*2.4*2.5*2.8*3.2*3.8*1,0)</f>
        <v>369420451192</v>
      </c>
    </row>
    <row r="182" spans="1:34" x14ac:dyDescent="0.3">
      <c r="A182" s="2">
        <v>158</v>
      </c>
      <c r="B182" s="2" t="s">
        <v>302</v>
      </c>
      <c r="C182" s="2" t="s">
        <v>228</v>
      </c>
      <c r="D182" s="2" t="s">
        <v>25</v>
      </c>
      <c r="E182" s="2">
        <v>122</v>
      </c>
      <c r="F182" s="2" t="s">
        <v>303</v>
      </c>
      <c r="G182" s="2" t="s">
        <v>261</v>
      </c>
      <c r="H182" s="2">
        <v>31</v>
      </c>
      <c r="I182" s="3">
        <v>122</v>
      </c>
      <c r="J182" s="4">
        <v>4400000</v>
      </c>
      <c r="K182" s="5">
        <f t="shared" si="69"/>
        <v>123</v>
      </c>
      <c r="L182" s="9">
        <f>ROUND($J182*1.637*0.8,0)</f>
        <v>5762240</v>
      </c>
      <c r="M182" s="3">
        <f t="shared" si="70"/>
        <v>124</v>
      </c>
      <c r="N182" s="10">
        <f>ROUND($J182*1.637*1.75*0.8,0)</f>
        <v>10083920</v>
      </c>
      <c r="O182" s="5">
        <f t="shared" si="71"/>
        <v>126</v>
      </c>
      <c r="P182" s="9">
        <f>ROUND($J182*1.637*1.75*2.1*0.8,0)</f>
        <v>21176232</v>
      </c>
      <c r="Q182" s="3">
        <f t="shared" si="72"/>
        <v>128</v>
      </c>
      <c r="R182" s="10">
        <f>ROUND($J182*1.637*1.75*2.1*2.3*0.542035092435954,0)</f>
        <v>33000000</v>
      </c>
      <c r="S182" s="5">
        <f t="shared" si="73"/>
        <v>130</v>
      </c>
      <c r="T182" s="9">
        <f>ROUND($J182*1.637*1.75*2.1*2.3*2.6*0.544690061623969,0)</f>
        <v>86220261</v>
      </c>
      <c r="U182" s="3">
        <f t="shared" si="74"/>
        <v>133</v>
      </c>
      <c r="V182" s="10">
        <f>ROUND($J182*1.637*1.75*2.1*2.3*2.6*3.2*0.547345030811984,0)</f>
        <v>277249672</v>
      </c>
      <c r="W182" s="5">
        <f t="shared" si="75"/>
        <v>137</v>
      </c>
      <c r="X182" s="9">
        <f>ROUND($J182*1.637*1.75*2.1*2.3*2.6*3.2*4.2*0.55,0)</f>
        <v>1170096934</v>
      </c>
      <c r="Y182" s="3">
        <f t="shared" si="76"/>
        <v>139</v>
      </c>
      <c r="Z182" s="10">
        <f>ROUND($J182*1.637*1.75*2.1*2.3*2.6*3.2*4.2*2.4*0.55,0)</f>
        <v>2808232643</v>
      </c>
      <c r="AA182" s="5">
        <f t="shared" si="77"/>
        <v>141</v>
      </c>
      <c r="AB182" s="9">
        <f>ROUND($J182*1.637*1.75*2.1*2.3*2.6*3.2*4.2*2.4*2.5*0.55,0)</f>
        <v>7020581606</v>
      </c>
      <c r="AC182" s="3">
        <f t="shared" si="78"/>
        <v>143</v>
      </c>
      <c r="AD182" s="10">
        <f>ROUND($J182*1.637*1.75*2.1*2.3*2.6*3.2*4.2*2.4*2.5*2.8*0.55,0)</f>
        <v>19657628498</v>
      </c>
      <c r="AE182" s="5">
        <f t="shared" si="79"/>
        <v>146</v>
      </c>
      <c r="AF182" s="9">
        <f>ROUND($J182*1.637*1.75*2.1*2.3*2.6*3.2*4.2*2.4*2.5*2.8*3.2*0.55,0)</f>
        <v>62904411194</v>
      </c>
      <c r="AG182" s="3">
        <f t="shared" si="80"/>
        <v>149</v>
      </c>
      <c r="AH182" s="10">
        <f>ROUND($J182*1.637*1.75*2.1*2.3*2.6*3.2*4.2*2.4*2.5*2.8*3.2*3.8*0.55,0)</f>
        <v>239036762536</v>
      </c>
    </row>
    <row r="183" spans="1:34" x14ac:dyDescent="0.3">
      <c r="A183" s="2">
        <v>153</v>
      </c>
      <c r="B183" s="2" t="s">
        <v>304</v>
      </c>
      <c r="C183" s="2" t="s">
        <v>228</v>
      </c>
      <c r="D183" s="2" t="s">
        <v>29</v>
      </c>
      <c r="E183" s="2">
        <v>122</v>
      </c>
      <c r="F183" s="2" t="s">
        <v>26</v>
      </c>
      <c r="G183" s="2" t="s">
        <v>206</v>
      </c>
      <c r="H183" s="2">
        <v>32</v>
      </c>
      <c r="I183" s="3">
        <v>122</v>
      </c>
      <c r="J183" s="4">
        <v>4180000</v>
      </c>
      <c r="K183" s="5">
        <f t="shared" si="69"/>
        <v>123</v>
      </c>
      <c r="L183" s="9">
        <f>ROUND($J183*1.637*1,0)</f>
        <v>6842660</v>
      </c>
      <c r="M183" s="3">
        <f t="shared" si="70"/>
        <v>124</v>
      </c>
      <c r="N183" s="10">
        <f>ROUND($J183*1.637*1.75*1,0)</f>
        <v>11974655</v>
      </c>
      <c r="O183" s="5">
        <f t="shared" si="71"/>
        <v>126</v>
      </c>
      <c r="P183" s="9">
        <f>ROUND($J183*1.637*1.75*2.1*1,0)</f>
        <v>25146776</v>
      </c>
      <c r="Q183" s="3">
        <f t="shared" si="72"/>
        <v>128</v>
      </c>
      <c r="R183" s="10">
        <f>ROUND($J183*1.637*1.75*2.1*2.3*1,0)</f>
        <v>57837584</v>
      </c>
      <c r="S183" s="5">
        <f t="shared" si="73"/>
        <v>130</v>
      </c>
      <c r="T183" s="9">
        <f>ROUND($J183*1.637*1.75*2.1*2.3*2.6*1,0)</f>
        <v>150377717</v>
      </c>
      <c r="U183" s="3">
        <f t="shared" si="74"/>
        <v>133</v>
      </c>
      <c r="V183" s="10">
        <f>ROUND($J183*1.637*1.75*2.1*2.3*2.6*3.2*1,0)</f>
        <v>481208696</v>
      </c>
      <c r="W183" s="5">
        <f t="shared" si="75"/>
        <v>137</v>
      </c>
      <c r="X183" s="9">
        <f>ROUND($J183*1.637*1.75*2.1*2.3*2.6*3.2*4.2*1,0)</f>
        <v>2021076523</v>
      </c>
      <c r="Y183" s="3">
        <f t="shared" si="76"/>
        <v>139</v>
      </c>
      <c r="Z183" s="10">
        <f>ROUND($J183*1.637*1.75*2.1*2.3*2.6*3.2*4.2*2.4*1,0)</f>
        <v>4850583655</v>
      </c>
      <c r="AA183" s="5">
        <f t="shared" si="77"/>
        <v>141</v>
      </c>
      <c r="AB183" s="9">
        <f>ROUND($J183*1.637*1.75*2.1*2.3*2.6*3.2*4.2*2.4*2.5*1,0)</f>
        <v>12126459138</v>
      </c>
      <c r="AC183" s="3">
        <f t="shared" si="78"/>
        <v>143</v>
      </c>
      <c r="AD183" s="10">
        <f>ROUND($J183*1.637*1.75*2.1*2.3*2.6*3.2*4.2*2.4*2.5*2.8*1,0)</f>
        <v>33954085588</v>
      </c>
      <c r="AE183" s="5">
        <f t="shared" si="79"/>
        <v>146</v>
      </c>
      <c r="AF183" s="9">
        <f>ROUND($J183*1.637*1.75*2.1*2.3*2.6*3.2*4.2*2.4*2.5*2.8*3.2*1,0)</f>
        <v>108653073880</v>
      </c>
      <c r="AG183" s="3">
        <f t="shared" si="80"/>
        <v>149</v>
      </c>
      <c r="AH183" s="10">
        <f>ROUND($J183*1.637*1.75*2.1*2.3*2.6*3.2*4.2*2.4*2.5*2.8*3.2*3.8*1,0)</f>
        <v>412881680744</v>
      </c>
    </row>
    <row r="184" spans="1:34" x14ac:dyDescent="0.3">
      <c r="A184" s="2">
        <v>169</v>
      </c>
      <c r="B184" s="2" t="s">
        <v>305</v>
      </c>
      <c r="C184" s="2" t="s">
        <v>228</v>
      </c>
      <c r="D184" s="2" t="s">
        <v>33</v>
      </c>
      <c r="E184" s="2">
        <v>122</v>
      </c>
      <c r="F184" s="2" t="s">
        <v>34</v>
      </c>
      <c r="G184" s="2" t="s">
        <v>35</v>
      </c>
      <c r="H184" s="2">
        <v>31</v>
      </c>
      <c r="I184" s="3">
        <v>122</v>
      </c>
      <c r="J184" s="4">
        <v>4750000</v>
      </c>
      <c r="K184" s="5">
        <f t="shared" si="69"/>
        <v>123</v>
      </c>
      <c r="L184" s="9">
        <f>ROUND($J184*1.637*1,0)</f>
        <v>7775750</v>
      </c>
      <c r="M184" s="3">
        <f t="shared" si="70"/>
        <v>124</v>
      </c>
      <c r="N184" s="10">
        <f>ROUND($J184*1.637*1.75*1,0)</f>
        <v>13607563</v>
      </c>
      <c r="O184" s="5">
        <f t="shared" si="71"/>
        <v>126</v>
      </c>
      <c r="P184" s="9">
        <f>ROUND($J184*1.637*1.75*2.1*1,0)</f>
        <v>28575881</v>
      </c>
      <c r="Q184" s="3">
        <f t="shared" si="72"/>
        <v>128</v>
      </c>
      <c r="R184" s="10">
        <f>ROUND($J184*1.637*1.75*2.1*2.3*1,0)</f>
        <v>65724527</v>
      </c>
      <c r="S184" s="5">
        <f t="shared" si="73"/>
        <v>130</v>
      </c>
      <c r="T184" s="9">
        <f>ROUND($J184*1.637*1.75*2.1*2.3*2.6*1,0)</f>
        <v>170883770</v>
      </c>
      <c r="U184" s="3">
        <f t="shared" si="74"/>
        <v>133</v>
      </c>
      <c r="V184" s="10">
        <f>ROUND($J184*1.637*1.75*2.1*2.3*2.6*3.2*1,0)</f>
        <v>546828064</v>
      </c>
      <c r="W184" s="5">
        <f t="shared" si="75"/>
        <v>137</v>
      </c>
      <c r="X184" s="9">
        <f>ROUND($J184*1.637*1.75*2.1*2.3*2.6*3.2*4.2*1,0)</f>
        <v>2296677867</v>
      </c>
      <c r="Y184" s="3">
        <f t="shared" si="76"/>
        <v>139</v>
      </c>
      <c r="Z184" s="10">
        <f>ROUND($J184*1.637*1.75*2.1*2.3*2.6*3.2*4.2*2.4*1,0)</f>
        <v>5512026881</v>
      </c>
      <c r="AA184" s="5">
        <f t="shared" si="77"/>
        <v>141</v>
      </c>
      <c r="AB184" s="9">
        <f>ROUND($J184*1.637*1.75*2.1*2.3*2.6*3.2*4.2*2.4*2.5*1,0)</f>
        <v>13780067203</v>
      </c>
      <c r="AC184" s="3">
        <f t="shared" si="78"/>
        <v>143</v>
      </c>
      <c r="AD184" s="10">
        <f>ROUND($J184*1.637*1.75*2.1*2.3*2.6*3.2*4.2*2.4*2.5*2.8*1,0)</f>
        <v>38584188168</v>
      </c>
      <c r="AE184" s="5">
        <f t="shared" si="79"/>
        <v>146</v>
      </c>
      <c r="AF184" s="9">
        <f>ROUND($J184*1.637*1.75*2.1*2.3*2.6*3.2*4.2*2.4*2.5*2.8*3.2*1,0)</f>
        <v>123469402136</v>
      </c>
      <c r="AG184" s="3">
        <f t="shared" si="80"/>
        <v>149</v>
      </c>
      <c r="AH184" s="10">
        <f>ROUND($J184*1.637*1.75*2.1*2.3*2.6*3.2*4.2*2.4*2.5*2.8*3.2*3.8*1,0)</f>
        <v>469183728118</v>
      </c>
    </row>
    <row r="185" spans="1:34" x14ac:dyDescent="0.3">
      <c r="A185" s="2">
        <v>159</v>
      </c>
      <c r="B185" s="2" t="s">
        <v>306</v>
      </c>
      <c r="C185" s="2" t="s">
        <v>228</v>
      </c>
      <c r="D185" s="2" t="s">
        <v>90</v>
      </c>
      <c r="E185" s="2">
        <v>122</v>
      </c>
      <c r="F185" s="2" t="s">
        <v>42</v>
      </c>
      <c r="G185" s="2" t="s">
        <v>95</v>
      </c>
      <c r="H185" s="2">
        <v>31</v>
      </c>
      <c r="I185" s="3">
        <v>122</v>
      </c>
      <c r="J185" s="4">
        <v>3680000</v>
      </c>
      <c r="K185" s="5">
        <f t="shared" si="69"/>
        <v>123</v>
      </c>
      <c r="L185" s="9">
        <f>ROUND($J185*1.637*1,0)</f>
        <v>6024160</v>
      </c>
      <c r="M185" s="3">
        <f t="shared" si="70"/>
        <v>124</v>
      </c>
      <c r="N185" s="10">
        <f>ROUND($J185*1.637*1.75*1,0)</f>
        <v>10542280</v>
      </c>
      <c r="O185" s="5">
        <f t="shared" si="71"/>
        <v>126</v>
      </c>
      <c r="P185" s="9">
        <f>ROUND($J185*1.637*1.75*2.1*1,0)</f>
        <v>22138788</v>
      </c>
      <c r="Q185" s="3">
        <f t="shared" si="72"/>
        <v>128</v>
      </c>
      <c r="R185" s="10">
        <f>ROUND($J185*1.637*1.75*2.1*2.3*1,0)</f>
        <v>50919212</v>
      </c>
      <c r="S185" s="5">
        <f t="shared" si="73"/>
        <v>130</v>
      </c>
      <c r="T185" s="9">
        <f>ROUND($J185*1.637*1.75*2.1*2.3*2.6*1,0)</f>
        <v>132389952</v>
      </c>
      <c r="U185" s="3">
        <f t="shared" si="74"/>
        <v>133</v>
      </c>
      <c r="V185" s="10">
        <f>ROUND($J185*1.637*1.75*2.1*2.3*2.6*3.2*1,0)</f>
        <v>423647847</v>
      </c>
      <c r="W185" s="5">
        <f t="shared" si="75"/>
        <v>137</v>
      </c>
      <c r="X185" s="9">
        <f>ROUND($J185*1.637*1.75*2.1*2.3*2.6*3.2*4.2*1,0)</f>
        <v>1779320958</v>
      </c>
      <c r="Y185" s="3">
        <f t="shared" si="76"/>
        <v>139</v>
      </c>
      <c r="Z185" s="10">
        <f>ROUND($J185*1.637*1.75*2.1*2.3*2.6*3.2*4.2*2.4*1,0)</f>
        <v>4270370299</v>
      </c>
      <c r="AA185" s="5">
        <f t="shared" si="77"/>
        <v>141</v>
      </c>
      <c r="AB185" s="9">
        <f>ROUND($J185*1.637*1.75*2.1*2.3*2.6*3.2*4.2*2.4*2.5*1,0)</f>
        <v>10675925749</v>
      </c>
      <c r="AC185" s="3">
        <f t="shared" si="78"/>
        <v>143</v>
      </c>
      <c r="AD185" s="10">
        <f>ROUND($J185*1.637*1.75*2.1*2.3*2.6*3.2*4.2*2.4*2.5*2.8*1,0)</f>
        <v>29892592096</v>
      </c>
      <c r="AE185" s="5">
        <f t="shared" si="79"/>
        <v>146</v>
      </c>
      <c r="AF185" s="9">
        <f>ROUND($J185*1.637*1.75*2.1*2.3*2.6*3.2*4.2*2.4*2.5*2.8*3.2*1,0)</f>
        <v>95656294708</v>
      </c>
      <c r="AG185" s="3">
        <f t="shared" si="80"/>
        <v>149</v>
      </c>
      <c r="AH185" s="10">
        <f>ROUND($J185*1.637*1.75*2.1*2.3*2.6*3.2*4.2*2.4*2.5*2.8*3.2*3.8*1,0)</f>
        <v>363493919889</v>
      </c>
    </row>
    <row r="186" spans="1:34" x14ac:dyDescent="0.3">
      <c r="A186" s="2">
        <v>182</v>
      </c>
      <c r="B186" s="2" t="s">
        <v>307</v>
      </c>
      <c r="C186" s="2" t="s">
        <v>228</v>
      </c>
      <c r="D186" s="2" t="s">
        <v>47</v>
      </c>
      <c r="E186" s="2">
        <v>122</v>
      </c>
      <c r="F186" s="2" t="s">
        <v>71</v>
      </c>
      <c r="G186" s="2" t="s">
        <v>72</v>
      </c>
      <c r="H186" s="2">
        <v>29</v>
      </c>
      <c r="I186" s="3">
        <v>122</v>
      </c>
      <c r="J186" s="4">
        <v>4530000</v>
      </c>
      <c r="K186" s="5">
        <f t="shared" si="69"/>
        <v>123</v>
      </c>
      <c r="L186" s="9">
        <f>ROUND($J186*1.637*0.8,0)</f>
        <v>5932488</v>
      </c>
      <c r="M186" s="3">
        <f t="shared" si="70"/>
        <v>124</v>
      </c>
      <c r="N186" s="10">
        <f>ROUND($J186*1.637*1.75*0.8,0)</f>
        <v>10381854</v>
      </c>
      <c r="O186" s="5">
        <f t="shared" si="71"/>
        <v>126</v>
      </c>
      <c r="P186" s="9">
        <f>ROUND($J186*1.637*1.75*2.1*0.8,0)</f>
        <v>21801893</v>
      </c>
      <c r="Q186" s="3">
        <f t="shared" si="72"/>
        <v>128</v>
      </c>
      <c r="R186" s="10">
        <f>ROUND($J186*1.637*1.75*2.1*2.3*0.542035092435954,0)</f>
        <v>33975000</v>
      </c>
      <c r="S186" s="5">
        <f t="shared" si="73"/>
        <v>130</v>
      </c>
      <c r="T186" s="9">
        <f>ROUND($J186*1.637*1.75*2.1*2.3*2.6*0.544690061623969,0)</f>
        <v>88767678</v>
      </c>
      <c r="U186" s="3">
        <f t="shared" si="74"/>
        <v>133</v>
      </c>
      <c r="V186" s="10">
        <f>ROUND($J186*1.637*1.75*2.1*2.3*2.6*3.2*0.547345030811984,0)</f>
        <v>285441140</v>
      </c>
      <c r="W186" s="5">
        <f t="shared" si="75"/>
        <v>137</v>
      </c>
      <c r="X186" s="9">
        <f>ROUND($J186*1.637*1.75*2.1*2.3*2.6*3.2*4.2*0.55,0)</f>
        <v>1204667980</v>
      </c>
      <c r="Y186" s="3">
        <f t="shared" si="76"/>
        <v>139</v>
      </c>
      <c r="Z186" s="10">
        <f>ROUND($J186*1.637*1.75*2.1*2.3*2.6*3.2*4.2*2.4*0.55,0)</f>
        <v>2891203152</v>
      </c>
      <c r="AA186" s="5">
        <f t="shared" si="77"/>
        <v>141</v>
      </c>
      <c r="AB186" s="9">
        <f>ROUND($J186*1.637*1.75*2.1*2.3*2.6*3.2*4.2*2.4*2.5*0.55,0)</f>
        <v>7228007881</v>
      </c>
      <c r="AC186" s="3">
        <f t="shared" si="78"/>
        <v>143</v>
      </c>
      <c r="AD186" s="10">
        <f>ROUND($J186*1.637*1.75*2.1*2.3*2.6*3.2*4.2*2.4*2.5*2.8*0.55,0)</f>
        <v>20238422067</v>
      </c>
      <c r="AE186" s="5">
        <f t="shared" si="79"/>
        <v>146</v>
      </c>
      <c r="AF186" s="9">
        <f>ROUND($J186*1.637*1.75*2.1*2.3*2.6*3.2*4.2*2.4*2.5*2.8*3.2*0.55,0)</f>
        <v>64762950615</v>
      </c>
      <c r="AG186" s="3">
        <f t="shared" si="80"/>
        <v>149</v>
      </c>
      <c r="AH186" s="10">
        <f>ROUND($J186*1.637*1.75*2.1*2.3*2.6*3.2*4.2*2.4*2.5*2.8*3.2*3.8*0.55,0)</f>
        <v>246099212338</v>
      </c>
    </row>
    <row r="187" spans="1:34" x14ac:dyDescent="0.3">
      <c r="A187" s="2">
        <v>163</v>
      </c>
      <c r="B187" s="2" t="s">
        <v>308</v>
      </c>
      <c r="C187" s="2" t="s">
        <v>228</v>
      </c>
      <c r="D187" s="2" t="s">
        <v>29</v>
      </c>
      <c r="E187" s="2">
        <v>122</v>
      </c>
      <c r="F187" s="2" t="s">
        <v>59</v>
      </c>
      <c r="G187" s="2" t="s">
        <v>252</v>
      </c>
      <c r="H187" s="2">
        <v>31</v>
      </c>
      <c r="I187" s="3">
        <v>122</v>
      </c>
      <c r="J187" s="4">
        <v>4850000</v>
      </c>
      <c r="K187" s="5">
        <f t="shared" si="69"/>
        <v>123</v>
      </c>
      <c r="L187" s="9">
        <f>ROUND($J187*1.637*1,0)</f>
        <v>7939450</v>
      </c>
      <c r="M187" s="3">
        <f t="shared" si="70"/>
        <v>124</v>
      </c>
      <c r="N187" s="10">
        <f>ROUND($J187*1.637*1.75*1,0)</f>
        <v>13894038</v>
      </c>
      <c r="O187" s="5">
        <f t="shared" si="71"/>
        <v>126</v>
      </c>
      <c r="P187" s="9">
        <f>ROUND($J187*1.637*1.75*2.1*1,0)</f>
        <v>29177479</v>
      </c>
      <c r="Q187" s="3">
        <f t="shared" si="72"/>
        <v>128</v>
      </c>
      <c r="R187" s="10">
        <f>ROUND($J187*1.637*1.75*2.1*2.3*1,0)</f>
        <v>67108201</v>
      </c>
      <c r="S187" s="5">
        <f t="shared" si="73"/>
        <v>130</v>
      </c>
      <c r="T187" s="9">
        <f>ROUND($J187*1.637*1.75*2.1*2.3*2.6*1,0)</f>
        <v>174481323</v>
      </c>
      <c r="U187" s="3">
        <f t="shared" si="74"/>
        <v>133</v>
      </c>
      <c r="V187" s="10">
        <f>ROUND($J187*1.637*1.75*2.1*2.3*2.6*3.2*1,0)</f>
        <v>558340233</v>
      </c>
      <c r="W187" s="5">
        <f t="shared" si="75"/>
        <v>137</v>
      </c>
      <c r="X187" s="9">
        <f>ROUND($J187*1.637*1.75*2.1*2.3*2.6*3.2*4.2*1,0)</f>
        <v>2345028980</v>
      </c>
      <c r="Y187" s="3">
        <f t="shared" si="76"/>
        <v>139</v>
      </c>
      <c r="Z187" s="10">
        <f>ROUND($J187*1.637*1.75*2.1*2.3*2.6*3.2*4.2*2.4*1,0)</f>
        <v>5628069552</v>
      </c>
      <c r="AA187" s="5">
        <f t="shared" si="77"/>
        <v>141</v>
      </c>
      <c r="AB187" s="9">
        <f>ROUND($J187*1.637*1.75*2.1*2.3*2.6*3.2*4.2*2.4*2.5*1,0)</f>
        <v>14070173881</v>
      </c>
      <c r="AC187" s="3">
        <f t="shared" si="78"/>
        <v>143</v>
      </c>
      <c r="AD187" s="10">
        <f>ROUND($J187*1.637*1.75*2.1*2.3*2.6*3.2*4.2*2.4*2.5*2.8*1,0)</f>
        <v>39396486866</v>
      </c>
      <c r="AE187" s="5">
        <f t="shared" si="79"/>
        <v>146</v>
      </c>
      <c r="AF187" s="9">
        <f>ROUND($J187*1.637*1.75*2.1*2.3*2.6*3.2*4.2*2.4*2.5*2.8*3.2*1,0)</f>
        <v>126068757971</v>
      </c>
      <c r="AG187" s="3">
        <f t="shared" si="80"/>
        <v>149</v>
      </c>
      <c r="AH187" s="10">
        <f>ROUND($J187*1.637*1.75*2.1*2.3*2.6*3.2*4.2*2.4*2.5*2.8*3.2*3.8*1,0)</f>
        <v>479061280289</v>
      </c>
    </row>
    <row r="188" spans="1:34" x14ac:dyDescent="0.3">
      <c r="A188" s="2">
        <v>152</v>
      </c>
      <c r="B188" s="2" t="s">
        <v>309</v>
      </c>
      <c r="C188" s="2" t="s">
        <v>228</v>
      </c>
      <c r="D188" s="2" t="s">
        <v>79</v>
      </c>
      <c r="E188" s="2">
        <v>122</v>
      </c>
      <c r="F188" s="2" t="s">
        <v>310</v>
      </c>
      <c r="G188" s="2" t="s">
        <v>43</v>
      </c>
      <c r="H188" s="2">
        <v>32</v>
      </c>
      <c r="I188" s="3">
        <v>122</v>
      </c>
      <c r="J188" s="4">
        <v>3680000</v>
      </c>
      <c r="K188" s="5">
        <f t="shared" si="69"/>
        <v>123</v>
      </c>
      <c r="L188" s="9">
        <f>ROUND($J188*1.637*0.8,0)</f>
        <v>4819328</v>
      </c>
      <c r="M188" s="3">
        <f t="shared" si="70"/>
        <v>124</v>
      </c>
      <c r="N188" s="10">
        <f>ROUND($J188*1.637*1.75*0.8,0)</f>
        <v>8433824</v>
      </c>
      <c r="O188" s="5">
        <f t="shared" si="71"/>
        <v>126</v>
      </c>
      <c r="P188" s="9">
        <f>ROUND($J188*1.637*1.75*2.1*0.8,0)</f>
        <v>17711030</v>
      </c>
      <c r="Q188" s="3">
        <f t="shared" si="72"/>
        <v>128</v>
      </c>
      <c r="R188" s="10">
        <f>ROUND($J188*1.637*1.75*2.1*2.3*0.542035092435954,0)</f>
        <v>27600000</v>
      </c>
      <c r="S188" s="5">
        <f t="shared" si="73"/>
        <v>130</v>
      </c>
      <c r="T188" s="9">
        <f>ROUND($J188*1.637*1.75*2.1*2.3*2.6*0.544690061623969,0)</f>
        <v>72111491</v>
      </c>
      <c r="U188" s="3">
        <f t="shared" si="74"/>
        <v>133</v>
      </c>
      <c r="V188" s="10">
        <f>ROUND($J188*1.637*1.75*2.1*2.3*2.6*3.2*0.547345030811984,0)</f>
        <v>231881544</v>
      </c>
      <c r="W188" s="5">
        <f t="shared" si="75"/>
        <v>137</v>
      </c>
      <c r="X188" s="9">
        <f>ROUND($J188*1.637*1.75*2.1*2.3*2.6*3.2*4.2*0.55,0)</f>
        <v>978626527</v>
      </c>
      <c r="Y188" s="3">
        <f t="shared" si="76"/>
        <v>139</v>
      </c>
      <c r="Z188" s="10">
        <f>ROUND($J188*1.637*1.75*2.1*2.3*2.6*3.2*4.2*2.4*0.55,0)</f>
        <v>2348703665</v>
      </c>
      <c r="AA188" s="5">
        <f t="shared" si="77"/>
        <v>141</v>
      </c>
      <c r="AB188" s="9">
        <f>ROUND($J188*1.637*1.75*2.1*2.3*2.6*3.2*4.2*2.4*2.5*0.55,0)</f>
        <v>5871759162</v>
      </c>
      <c r="AC188" s="3">
        <f t="shared" si="78"/>
        <v>143</v>
      </c>
      <c r="AD188" s="10">
        <f>ROUND($J188*1.637*1.75*2.1*2.3*2.6*3.2*4.2*2.4*2.5*2.8*0.55,0)</f>
        <v>16440925653</v>
      </c>
      <c r="AE188" s="5">
        <f t="shared" si="79"/>
        <v>146</v>
      </c>
      <c r="AF188" s="9">
        <f>ROUND($J188*1.637*1.75*2.1*2.3*2.6*3.2*4.2*2.4*2.5*2.8*3.2*0.55,0)</f>
        <v>52610962089</v>
      </c>
      <c r="AG188" s="3">
        <f t="shared" si="80"/>
        <v>149</v>
      </c>
      <c r="AH188" s="10">
        <f>ROUND($J188*1.637*1.75*2.1*2.3*2.6*3.2*4.2*2.4*2.5*2.8*3.2*3.8*0.55,0)</f>
        <v>199921655939</v>
      </c>
    </row>
    <row r="189" spans="1:34" x14ac:dyDescent="0.3">
      <c r="A189" s="2">
        <v>168</v>
      </c>
      <c r="B189" s="2" t="s">
        <v>311</v>
      </c>
      <c r="C189" s="2" t="s">
        <v>228</v>
      </c>
      <c r="D189" s="2" t="s">
        <v>102</v>
      </c>
      <c r="E189" s="2">
        <v>122</v>
      </c>
      <c r="F189" s="2" t="s">
        <v>62</v>
      </c>
      <c r="G189" s="2" t="s">
        <v>67</v>
      </c>
      <c r="H189" s="2">
        <v>31</v>
      </c>
      <c r="I189" s="3">
        <v>122</v>
      </c>
      <c r="J189" s="4">
        <v>3780000</v>
      </c>
      <c r="K189" s="5">
        <f t="shared" si="69"/>
        <v>123</v>
      </c>
      <c r="L189" s="9">
        <f>ROUND($J189*1.637*1,0)</f>
        <v>6187860</v>
      </c>
      <c r="M189" s="3">
        <f t="shared" si="70"/>
        <v>124</v>
      </c>
      <c r="N189" s="10">
        <f>ROUND($J189*1.637*1.75*1,0)</f>
        <v>10828755</v>
      </c>
      <c r="O189" s="5">
        <f t="shared" si="71"/>
        <v>126</v>
      </c>
      <c r="P189" s="9">
        <f>ROUND($J189*1.637*1.75*2.1*1,0)</f>
        <v>22740386</v>
      </c>
      <c r="Q189" s="3">
        <f t="shared" si="72"/>
        <v>128</v>
      </c>
      <c r="R189" s="10">
        <f>ROUND($J189*1.637*1.75*2.1*2.3*1,0)</f>
        <v>52302887</v>
      </c>
      <c r="S189" s="5">
        <f t="shared" si="73"/>
        <v>130</v>
      </c>
      <c r="T189" s="9">
        <f>ROUND($J189*1.637*1.75*2.1*2.3*2.6*1,0)</f>
        <v>135987505</v>
      </c>
      <c r="U189" s="3">
        <f t="shared" si="74"/>
        <v>133</v>
      </c>
      <c r="V189" s="10">
        <f>ROUND($J189*1.637*1.75*2.1*2.3*2.6*3.2*1,0)</f>
        <v>435160017</v>
      </c>
      <c r="W189" s="5">
        <f t="shared" si="75"/>
        <v>137</v>
      </c>
      <c r="X189" s="9">
        <f>ROUND($J189*1.637*1.75*2.1*2.3*2.6*3.2*4.2*1,0)</f>
        <v>1827672071</v>
      </c>
      <c r="Y189" s="3">
        <f t="shared" si="76"/>
        <v>139</v>
      </c>
      <c r="Z189" s="10">
        <f>ROUND($J189*1.637*1.75*2.1*2.3*2.6*3.2*4.2*2.4*1,0)</f>
        <v>4386412971</v>
      </c>
      <c r="AA189" s="5">
        <f t="shared" si="77"/>
        <v>141</v>
      </c>
      <c r="AB189" s="9">
        <f>ROUND($J189*1.637*1.75*2.1*2.3*2.6*3.2*4.2*2.4*2.5*1,0)</f>
        <v>10966032427</v>
      </c>
      <c r="AC189" s="3">
        <f t="shared" si="78"/>
        <v>143</v>
      </c>
      <c r="AD189" s="10">
        <f>ROUND($J189*1.637*1.75*2.1*2.3*2.6*3.2*4.2*2.4*2.5*2.8*1,0)</f>
        <v>30704890794</v>
      </c>
      <c r="AE189" s="5">
        <f t="shared" si="79"/>
        <v>146</v>
      </c>
      <c r="AF189" s="9">
        <f>ROUND($J189*1.637*1.75*2.1*2.3*2.6*3.2*4.2*2.4*2.5*2.8*3.2*1,0)</f>
        <v>98255650542</v>
      </c>
      <c r="AG189" s="3">
        <f t="shared" si="80"/>
        <v>149</v>
      </c>
      <c r="AH189" s="10">
        <f>ROUND($J189*1.637*1.75*2.1*2.3*2.6*3.2*4.2*2.4*2.5*2.8*3.2*3.8*1,0)</f>
        <v>373371472060</v>
      </c>
    </row>
    <row r="190" spans="1:34" x14ac:dyDescent="0.3">
      <c r="A190" s="2">
        <v>175</v>
      </c>
      <c r="B190" s="2" t="s">
        <v>312</v>
      </c>
      <c r="C190" s="2" t="s">
        <v>228</v>
      </c>
      <c r="D190" s="2" t="s">
        <v>45</v>
      </c>
      <c r="E190" s="2">
        <v>122</v>
      </c>
      <c r="F190" s="2" t="s">
        <v>313</v>
      </c>
      <c r="G190" s="2" t="s">
        <v>295</v>
      </c>
      <c r="H190" s="2">
        <v>30</v>
      </c>
      <c r="I190" s="3">
        <v>122</v>
      </c>
      <c r="J190" s="4">
        <v>4490000</v>
      </c>
      <c r="K190" s="5">
        <f t="shared" si="69"/>
        <v>123</v>
      </c>
      <c r="L190" s="9">
        <f t="shared" ref="L190:L195" si="84">ROUND($J190*1.637*0.8,0)</f>
        <v>5880104</v>
      </c>
      <c r="M190" s="3">
        <f t="shared" si="70"/>
        <v>124</v>
      </c>
      <c r="N190" s="10">
        <f t="shared" ref="N190:N195" si="85">ROUND($J190*1.637*1.75*0.8,0)</f>
        <v>10290182</v>
      </c>
      <c r="O190" s="5">
        <f t="shared" si="71"/>
        <v>126</v>
      </c>
      <c r="P190" s="9">
        <f t="shared" ref="P190:P195" si="86">ROUND($J190*1.637*1.75*2.1*0.8,0)</f>
        <v>21609382</v>
      </c>
      <c r="Q190" s="3">
        <f t="shared" si="72"/>
        <v>128</v>
      </c>
      <c r="R190" s="10">
        <f t="shared" ref="R190:R195" si="87">ROUND($J190*1.637*1.75*2.1*2.3*0.542035092435954,0)</f>
        <v>33675000</v>
      </c>
      <c r="S190" s="5">
        <f t="shared" si="73"/>
        <v>130</v>
      </c>
      <c r="T190" s="9">
        <f t="shared" ref="T190:T195" si="88">ROUND($J190*1.637*1.75*2.1*2.3*2.6*0.544690061623969,0)</f>
        <v>87983858</v>
      </c>
      <c r="U190" s="3">
        <f t="shared" si="74"/>
        <v>133</v>
      </c>
      <c r="V190" s="10">
        <f t="shared" ref="V190:V195" si="89">ROUND($J190*1.637*1.75*2.1*2.3*2.6*3.2*0.547345030811984,0)</f>
        <v>282920688</v>
      </c>
      <c r="W190" s="5">
        <f t="shared" si="75"/>
        <v>137</v>
      </c>
      <c r="X190" s="9">
        <f t="shared" ref="X190:X195" si="90">ROUND($J190*1.637*1.75*2.1*2.3*2.6*3.2*4.2*0.55,0)</f>
        <v>1194030735</v>
      </c>
      <c r="Y190" s="3">
        <f t="shared" si="76"/>
        <v>139</v>
      </c>
      <c r="Z190" s="10">
        <f t="shared" ref="Z190:Z195" si="91">ROUND($J190*1.637*1.75*2.1*2.3*2.6*3.2*4.2*2.4*0.55,0)</f>
        <v>2865673765</v>
      </c>
      <c r="AA190" s="5">
        <f t="shared" si="77"/>
        <v>141</v>
      </c>
      <c r="AB190" s="9">
        <f t="shared" ref="AB190:AB195" si="92">ROUND($J190*1.637*1.75*2.1*2.3*2.6*3.2*4.2*2.4*2.5*0.55,0)</f>
        <v>7164184412</v>
      </c>
      <c r="AC190" s="3">
        <f t="shared" si="78"/>
        <v>143</v>
      </c>
      <c r="AD190" s="10">
        <f t="shared" ref="AD190:AD195" si="93">ROUND($J190*1.637*1.75*2.1*2.3*2.6*3.2*4.2*2.4*2.5*2.8*0.55,0)</f>
        <v>20059716354</v>
      </c>
      <c r="AE190" s="5">
        <f t="shared" si="79"/>
        <v>146</v>
      </c>
      <c r="AF190" s="9">
        <f t="shared" ref="AF190:AF195" si="94">ROUND($J190*1.637*1.75*2.1*2.3*2.6*3.2*4.2*2.4*2.5*2.8*3.2*0.55,0)</f>
        <v>64191092332</v>
      </c>
      <c r="AG190" s="3">
        <f t="shared" si="80"/>
        <v>149</v>
      </c>
      <c r="AH190" s="10">
        <f t="shared" ref="AH190:AH195" si="95">ROUND($J190*1.637*1.75*2.1*2.3*2.6*3.2*4.2*2.4*2.5*2.8*3.2*3.8*0.55,0)</f>
        <v>243926150861</v>
      </c>
    </row>
    <row r="191" spans="1:34" x14ac:dyDescent="0.3">
      <c r="A191" s="2">
        <v>177</v>
      </c>
      <c r="B191" s="2" t="s">
        <v>314</v>
      </c>
      <c r="C191" s="2" t="s">
        <v>228</v>
      </c>
      <c r="D191" s="2" t="s">
        <v>33</v>
      </c>
      <c r="E191" s="2">
        <v>122</v>
      </c>
      <c r="F191" s="2" t="s">
        <v>54</v>
      </c>
      <c r="G191" s="2" t="s">
        <v>295</v>
      </c>
      <c r="H191" s="2">
        <v>30</v>
      </c>
      <c r="I191" s="3">
        <v>122</v>
      </c>
      <c r="J191" s="4">
        <v>4020000</v>
      </c>
      <c r="K191" s="5">
        <f t="shared" si="69"/>
        <v>123</v>
      </c>
      <c r="L191" s="9">
        <f t="shared" si="84"/>
        <v>5264592</v>
      </c>
      <c r="M191" s="3">
        <f t="shared" si="70"/>
        <v>124</v>
      </c>
      <c r="N191" s="10">
        <f t="shared" si="85"/>
        <v>9213036</v>
      </c>
      <c r="O191" s="5">
        <f t="shared" si="71"/>
        <v>126</v>
      </c>
      <c r="P191" s="9">
        <f t="shared" si="86"/>
        <v>19347376</v>
      </c>
      <c r="Q191" s="3">
        <f t="shared" si="72"/>
        <v>128</v>
      </c>
      <c r="R191" s="10">
        <f t="shared" si="87"/>
        <v>30150000</v>
      </c>
      <c r="S191" s="5">
        <f t="shared" si="73"/>
        <v>130</v>
      </c>
      <c r="T191" s="9">
        <f t="shared" si="88"/>
        <v>78773966</v>
      </c>
      <c r="U191" s="3">
        <f t="shared" si="74"/>
        <v>133</v>
      </c>
      <c r="V191" s="10">
        <f t="shared" si="89"/>
        <v>253305382</v>
      </c>
      <c r="W191" s="5">
        <f t="shared" si="75"/>
        <v>137</v>
      </c>
      <c r="X191" s="9">
        <f t="shared" si="90"/>
        <v>1069043108</v>
      </c>
      <c r="Y191" s="3">
        <f t="shared" si="76"/>
        <v>139</v>
      </c>
      <c r="Z191" s="10">
        <f t="shared" si="91"/>
        <v>2565703460</v>
      </c>
      <c r="AA191" s="5">
        <f t="shared" si="77"/>
        <v>141</v>
      </c>
      <c r="AB191" s="9">
        <f t="shared" si="92"/>
        <v>6414258650</v>
      </c>
      <c r="AC191" s="3">
        <f t="shared" si="78"/>
        <v>143</v>
      </c>
      <c r="AD191" s="10">
        <f t="shared" si="93"/>
        <v>17959924219</v>
      </c>
      <c r="AE191" s="5">
        <f t="shared" si="79"/>
        <v>146</v>
      </c>
      <c r="AF191" s="9">
        <f t="shared" si="94"/>
        <v>57471757500</v>
      </c>
      <c r="AG191" s="3">
        <f t="shared" si="80"/>
        <v>149</v>
      </c>
      <c r="AH191" s="10">
        <f t="shared" si="95"/>
        <v>218392678499</v>
      </c>
    </row>
    <row r="192" spans="1:34" x14ac:dyDescent="0.3">
      <c r="A192" s="2">
        <v>185</v>
      </c>
      <c r="B192" s="2" t="s">
        <v>315</v>
      </c>
      <c r="C192" s="2" t="s">
        <v>228</v>
      </c>
      <c r="D192" s="2" t="s">
        <v>241</v>
      </c>
      <c r="E192" s="2">
        <v>122</v>
      </c>
      <c r="F192" s="2" t="s">
        <v>54</v>
      </c>
      <c r="G192" s="2" t="s">
        <v>295</v>
      </c>
      <c r="H192" s="2">
        <v>29</v>
      </c>
      <c r="I192" s="3">
        <v>122</v>
      </c>
      <c r="J192" s="4">
        <v>4590000</v>
      </c>
      <c r="K192" s="5">
        <f t="shared" si="69"/>
        <v>123</v>
      </c>
      <c r="L192" s="9">
        <f t="shared" si="84"/>
        <v>6011064</v>
      </c>
      <c r="M192" s="3">
        <f t="shared" si="70"/>
        <v>124</v>
      </c>
      <c r="N192" s="10">
        <f t="shared" si="85"/>
        <v>10519362</v>
      </c>
      <c r="O192" s="5">
        <f t="shared" si="71"/>
        <v>126</v>
      </c>
      <c r="P192" s="9">
        <f t="shared" si="86"/>
        <v>22090660</v>
      </c>
      <c r="Q192" s="3">
        <f t="shared" si="72"/>
        <v>128</v>
      </c>
      <c r="R192" s="10">
        <f t="shared" si="87"/>
        <v>34425000</v>
      </c>
      <c r="S192" s="5">
        <f t="shared" si="73"/>
        <v>130</v>
      </c>
      <c r="T192" s="9">
        <f t="shared" si="88"/>
        <v>89943409</v>
      </c>
      <c r="U192" s="3">
        <f t="shared" si="74"/>
        <v>133</v>
      </c>
      <c r="V192" s="10">
        <f t="shared" si="89"/>
        <v>289221817</v>
      </c>
      <c r="W192" s="5">
        <f t="shared" si="75"/>
        <v>137</v>
      </c>
      <c r="X192" s="9">
        <f t="shared" si="90"/>
        <v>1220623847</v>
      </c>
      <c r="Y192" s="3">
        <f t="shared" si="76"/>
        <v>139</v>
      </c>
      <c r="Z192" s="10">
        <f t="shared" si="91"/>
        <v>2929497234</v>
      </c>
      <c r="AA192" s="5">
        <f t="shared" si="77"/>
        <v>141</v>
      </c>
      <c r="AB192" s="9">
        <f t="shared" si="92"/>
        <v>7323743085</v>
      </c>
      <c r="AC192" s="3">
        <f t="shared" si="78"/>
        <v>143</v>
      </c>
      <c r="AD192" s="10">
        <f t="shared" si="93"/>
        <v>20506480638</v>
      </c>
      <c r="AE192" s="5">
        <f t="shared" si="79"/>
        <v>146</v>
      </c>
      <c r="AF192" s="9">
        <f t="shared" si="94"/>
        <v>65620738041</v>
      </c>
      <c r="AG192" s="3">
        <f t="shared" si="80"/>
        <v>149</v>
      </c>
      <c r="AH192" s="10">
        <f t="shared" si="95"/>
        <v>249358804555</v>
      </c>
    </row>
    <row r="193" spans="1:34" x14ac:dyDescent="0.3">
      <c r="A193" s="2">
        <v>183</v>
      </c>
      <c r="B193" s="2" t="s">
        <v>316</v>
      </c>
      <c r="C193" s="2" t="s">
        <v>228</v>
      </c>
      <c r="D193" s="2" t="s">
        <v>75</v>
      </c>
      <c r="E193" s="2">
        <v>122</v>
      </c>
      <c r="F193" s="2" t="s">
        <v>30</v>
      </c>
      <c r="G193" s="2" t="s">
        <v>261</v>
      </c>
      <c r="H193" s="2">
        <v>29</v>
      </c>
      <c r="I193" s="3">
        <v>122</v>
      </c>
      <c r="J193" s="4">
        <v>4430000</v>
      </c>
      <c r="K193" s="5">
        <f t="shared" si="69"/>
        <v>123</v>
      </c>
      <c r="L193" s="9">
        <f t="shared" si="84"/>
        <v>5801528</v>
      </c>
      <c r="M193" s="3">
        <f t="shared" si="70"/>
        <v>124</v>
      </c>
      <c r="N193" s="10">
        <f t="shared" si="85"/>
        <v>10152674</v>
      </c>
      <c r="O193" s="5">
        <f t="shared" si="71"/>
        <v>126</v>
      </c>
      <c r="P193" s="9">
        <f t="shared" si="86"/>
        <v>21320615</v>
      </c>
      <c r="Q193" s="3">
        <f t="shared" si="72"/>
        <v>128</v>
      </c>
      <c r="R193" s="10">
        <f t="shared" si="87"/>
        <v>33225000</v>
      </c>
      <c r="S193" s="5">
        <f t="shared" si="73"/>
        <v>130</v>
      </c>
      <c r="T193" s="9">
        <f t="shared" si="88"/>
        <v>86808127</v>
      </c>
      <c r="U193" s="3">
        <f t="shared" si="74"/>
        <v>133</v>
      </c>
      <c r="V193" s="10">
        <f t="shared" si="89"/>
        <v>279140011</v>
      </c>
      <c r="W193" s="5">
        <f t="shared" si="75"/>
        <v>137</v>
      </c>
      <c r="X193" s="9">
        <f t="shared" si="90"/>
        <v>1178074868</v>
      </c>
      <c r="Y193" s="3">
        <f t="shared" si="76"/>
        <v>139</v>
      </c>
      <c r="Z193" s="10">
        <f t="shared" si="91"/>
        <v>2827379683</v>
      </c>
      <c r="AA193" s="5">
        <f t="shared" si="77"/>
        <v>141</v>
      </c>
      <c r="AB193" s="9">
        <f t="shared" si="92"/>
        <v>7068449208</v>
      </c>
      <c r="AC193" s="3">
        <f t="shared" si="78"/>
        <v>143</v>
      </c>
      <c r="AD193" s="10">
        <f t="shared" si="93"/>
        <v>19791657783</v>
      </c>
      <c r="AE193" s="5">
        <f t="shared" si="79"/>
        <v>146</v>
      </c>
      <c r="AF193" s="9">
        <f t="shared" si="94"/>
        <v>63333304906</v>
      </c>
      <c r="AG193" s="3">
        <f t="shared" si="80"/>
        <v>149</v>
      </c>
      <c r="AH193" s="10">
        <f t="shared" si="95"/>
        <v>240666558644</v>
      </c>
    </row>
    <row r="194" spans="1:34" x14ac:dyDescent="0.3">
      <c r="A194" s="2">
        <v>172</v>
      </c>
      <c r="B194" s="2" t="s">
        <v>317</v>
      </c>
      <c r="C194" s="2" t="s">
        <v>228</v>
      </c>
      <c r="D194" s="2" t="s">
        <v>75</v>
      </c>
      <c r="E194" s="2">
        <v>122</v>
      </c>
      <c r="F194" s="2" t="s">
        <v>56</v>
      </c>
      <c r="G194" s="2" t="s">
        <v>185</v>
      </c>
      <c r="H194" s="2">
        <v>30</v>
      </c>
      <c r="I194" s="3">
        <v>122</v>
      </c>
      <c r="J194" s="4">
        <v>4420000</v>
      </c>
      <c r="K194" s="5">
        <f t="shared" si="69"/>
        <v>123</v>
      </c>
      <c r="L194" s="9">
        <f t="shared" si="84"/>
        <v>5788432</v>
      </c>
      <c r="M194" s="3">
        <f t="shared" si="70"/>
        <v>124</v>
      </c>
      <c r="N194" s="10">
        <f t="shared" si="85"/>
        <v>10129756</v>
      </c>
      <c r="O194" s="5">
        <f t="shared" si="71"/>
        <v>126</v>
      </c>
      <c r="P194" s="9">
        <f t="shared" si="86"/>
        <v>21272488</v>
      </c>
      <c r="Q194" s="3">
        <f t="shared" si="72"/>
        <v>128</v>
      </c>
      <c r="R194" s="10">
        <f t="shared" si="87"/>
        <v>33150000</v>
      </c>
      <c r="S194" s="5">
        <f t="shared" si="73"/>
        <v>130</v>
      </c>
      <c r="T194" s="9">
        <f t="shared" si="88"/>
        <v>86612172</v>
      </c>
      <c r="U194" s="3">
        <f t="shared" si="74"/>
        <v>133</v>
      </c>
      <c r="V194" s="10">
        <f t="shared" si="89"/>
        <v>278509898</v>
      </c>
      <c r="W194" s="5">
        <f t="shared" si="75"/>
        <v>137</v>
      </c>
      <c r="X194" s="9">
        <f t="shared" si="90"/>
        <v>1175415557</v>
      </c>
      <c r="Y194" s="3">
        <f t="shared" si="76"/>
        <v>139</v>
      </c>
      <c r="Z194" s="10">
        <f t="shared" si="91"/>
        <v>2820997336</v>
      </c>
      <c r="AA194" s="5">
        <f t="shared" si="77"/>
        <v>141</v>
      </c>
      <c r="AB194" s="9">
        <f t="shared" si="92"/>
        <v>7052493341</v>
      </c>
      <c r="AC194" s="3">
        <f t="shared" si="78"/>
        <v>143</v>
      </c>
      <c r="AD194" s="10">
        <f t="shared" si="93"/>
        <v>19746981355</v>
      </c>
      <c r="AE194" s="5">
        <f t="shared" si="79"/>
        <v>146</v>
      </c>
      <c r="AF194" s="9">
        <f t="shared" si="94"/>
        <v>63190340335</v>
      </c>
      <c r="AG194" s="3">
        <f t="shared" si="80"/>
        <v>149</v>
      </c>
      <c r="AH194" s="10">
        <f t="shared" si="95"/>
        <v>240123293275</v>
      </c>
    </row>
    <row r="195" spans="1:34" x14ac:dyDescent="0.3">
      <c r="A195" s="2">
        <v>167</v>
      </c>
      <c r="B195" s="2" t="s">
        <v>318</v>
      </c>
      <c r="C195" s="2" t="s">
        <v>228</v>
      </c>
      <c r="D195" s="2" t="s">
        <v>29</v>
      </c>
      <c r="E195" s="2">
        <v>122</v>
      </c>
      <c r="F195" s="2" t="s">
        <v>71</v>
      </c>
      <c r="G195" s="2" t="s">
        <v>319</v>
      </c>
      <c r="H195" s="2">
        <v>31</v>
      </c>
      <c r="I195" s="3">
        <v>122</v>
      </c>
      <c r="J195" s="4">
        <v>4610000</v>
      </c>
      <c r="K195" s="5">
        <f t="shared" ref="K195:K258" si="96">$E195+1</f>
        <v>123</v>
      </c>
      <c r="L195" s="9">
        <f t="shared" si="84"/>
        <v>6037256</v>
      </c>
      <c r="M195" s="3">
        <f t="shared" ref="M195:M258" si="97">$E195+2</f>
        <v>124</v>
      </c>
      <c r="N195" s="10">
        <f t="shared" si="85"/>
        <v>10565198</v>
      </c>
      <c r="O195" s="5">
        <f t="shared" ref="O195:O258" si="98">$E195+4</f>
        <v>126</v>
      </c>
      <c r="P195" s="9">
        <f t="shared" si="86"/>
        <v>22186916</v>
      </c>
      <c r="Q195" s="3">
        <f t="shared" ref="Q195:Q258" si="99">$E195+6</f>
        <v>128</v>
      </c>
      <c r="R195" s="10">
        <f t="shared" si="87"/>
        <v>34575000</v>
      </c>
      <c r="S195" s="5">
        <f t="shared" ref="S195:S258" si="100">$E195+8</f>
        <v>130</v>
      </c>
      <c r="T195" s="9">
        <f t="shared" si="88"/>
        <v>90335319</v>
      </c>
      <c r="U195" s="3">
        <f t="shared" ref="U195:U258" si="101">$E195+11</f>
        <v>133</v>
      </c>
      <c r="V195" s="10">
        <f t="shared" si="89"/>
        <v>290482043</v>
      </c>
      <c r="W195" s="5">
        <f t="shared" ref="W195:W258" si="102">$E195+15</f>
        <v>137</v>
      </c>
      <c r="X195" s="9">
        <f t="shared" si="90"/>
        <v>1225942470</v>
      </c>
      <c r="Y195" s="3">
        <f t="shared" ref="Y195:Y258" si="103">$E195+17</f>
        <v>139</v>
      </c>
      <c r="Z195" s="10">
        <f t="shared" si="91"/>
        <v>2942261928</v>
      </c>
      <c r="AA195" s="5">
        <f t="shared" ref="AA195:AA258" si="104">$E195+19</f>
        <v>141</v>
      </c>
      <c r="AB195" s="9">
        <f t="shared" si="92"/>
        <v>7355654819</v>
      </c>
      <c r="AC195" s="3">
        <f t="shared" ref="AC195:AC258" si="105">$E195+21</f>
        <v>143</v>
      </c>
      <c r="AD195" s="10">
        <f t="shared" si="93"/>
        <v>20595833495</v>
      </c>
      <c r="AE195" s="5">
        <f t="shared" ref="AE195:AE258" si="106">$E195+24</f>
        <v>146</v>
      </c>
      <c r="AF195" s="9">
        <f t="shared" si="94"/>
        <v>65906667182</v>
      </c>
      <c r="AG195" s="3">
        <f t="shared" ref="AG195:AG258" si="107">$E195+27</f>
        <v>149</v>
      </c>
      <c r="AH195" s="10">
        <f t="shared" si="95"/>
        <v>250445335293</v>
      </c>
    </row>
    <row r="196" spans="1:34" x14ac:dyDescent="0.3">
      <c r="A196" s="2">
        <v>160</v>
      </c>
      <c r="B196" s="2" t="s">
        <v>320</v>
      </c>
      <c r="C196" s="2" t="s">
        <v>228</v>
      </c>
      <c r="D196" s="2" t="s">
        <v>64</v>
      </c>
      <c r="E196" s="2">
        <v>122</v>
      </c>
      <c r="F196" s="2" t="s">
        <v>54</v>
      </c>
      <c r="G196" s="2" t="s">
        <v>185</v>
      </c>
      <c r="H196" s="2">
        <v>31</v>
      </c>
      <c r="I196" s="3">
        <v>122</v>
      </c>
      <c r="J196" s="4">
        <v>3800000</v>
      </c>
      <c r="K196" s="5">
        <f t="shared" si="96"/>
        <v>123</v>
      </c>
      <c r="L196" s="9">
        <f>ROUND($J196*1.637*1,0)</f>
        <v>6220600</v>
      </c>
      <c r="M196" s="3">
        <f t="shared" si="97"/>
        <v>124</v>
      </c>
      <c r="N196" s="10">
        <f>ROUND($J196*1.637*1.75*1,0)</f>
        <v>10886050</v>
      </c>
      <c r="O196" s="5">
        <f t="shared" si="98"/>
        <v>126</v>
      </c>
      <c r="P196" s="9">
        <f>ROUND($J196*1.637*1.75*2.1*1,0)</f>
        <v>22860705</v>
      </c>
      <c r="Q196" s="3">
        <f t="shared" si="99"/>
        <v>128</v>
      </c>
      <c r="R196" s="10">
        <f>ROUND($J196*1.637*1.75*2.1*2.3*1.25,0)</f>
        <v>65724527</v>
      </c>
      <c r="S196" s="5">
        <f t="shared" si="100"/>
        <v>130</v>
      </c>
      <c r="T196" s="9">
        <f>ROUND($J196*1.637*1.75*2.1*2.3*2.6*1.25,0)</f>
        <v>170883770</v>
      </c>
      <c r="U196" s="3">
        <f t="shared" si="101"/>
        <v>133</v>
      </c>
      <c r="V196" s="10">
        <f>ROUND($J196*1.637*1.75*2.1*2.3*2.6*3.2*1.25,0)</f>
        <v>546828064</v>
      </c>
      <c r="W196" s="5">
        <f t="shared" si="102"/>
        <v>137</v>
      </c>
      <c r="X196" s="9">
        <f>ROUND($J196*1.637*1.75*2.1*2.3*2.6*3.2*4.2*1.25,0)</f>
        <v>2296677867</v>
      </c>
      <c r="Y196" s="3">
        <f t="shared" si="103"/>
        <v>139</v>
      </c>
      <c r="Z196" s="10">
        <f>ROUND($J196*1.637*1.75*2.1*2.3*2.6*3.2*4.2*2.4*1.25,0)</f>
        <v>5512026881</v>
      </c>
      <c r="AA196" s="5">
        <f t="shared" si="104"/>
        <v>141</v>
      </c>
      <c r="AB196" s="9">
        <f>ROUND($J196*1.637*1.75*2.1*2.3*2.6*3.2*4.2*2.4*2.5*1.25,0)</f>
        <v>13780067203</v>
      </c>
      <c r="AC196" s="3">
        <f t="shared" si="105"/>
        <v>143</v>
      </c>
      <c r="AD196" s="10">
        <f>ROUND($J196*1.637*1.75*2.1*2.3*2.6*3.2*4.2*2.4*2.5*2.8*1.25,0)</f>
        <v>38584188168</v>
      </c>
      <c r="AE196" s="5">
        <f t="shared" si="106"/>
        <v>146</v>
      </c>
      <c r="AF196" s="9">
        <f>ROUND($J196*1.637*1.75*2.1*2.3*2.6*3.2*4.2*2.4*2.5*2.8*3.2*1.25,0)</f>
        <v>123469402136</v>
      </c>
      <c r="AG196" s="3">
        <f t="shared" si="107"/>
        <v>149</v>
      </c>
      <c r="AH196" s="10">
        <f>ROUND($J196*1.637*1.75*2.1*2.3*2.6*3.2*4.2*2.4*2.5*2.8*3.2*3.8*1.25,0)</f>
        <v>469183728118</v>
      </c>
    </row>
    <row r="197" spans="1:34" x14ac:dyDescent="0.3">
      <c r="A197" s="2">
        <v>176</v>
      </c>
      <c r="B197" s="2" t="s">
        <v>321</v>
      </c>
      <c r="C197" s="2" t="s">
        <v>228</v>
      </c>
      <c r="D197" s="2" t="s">
        <v>90</v>
      </c>
      <c r="E197" s="2">
        <v>122</v>
      </c>
      <c r="F197" s="2" t="s">
        <v>56</v>
      </c>
      <c r="G197" s="2" t="s">
        <v>98</v>
      </c>
      <c r="H197" s="2">
        <v>30</v>
      </c>
      <c r="I197" s="3">
        <v>122</v>
      </c>
      <c r="J197" s="4">
        <v>4510000</v>
      </c>
      <c r="K197" s="5">
        <f t="shared" si="96"/>
        <v>123</v>
      </c>
      <c r="L197" s="9">
        <f>ROUND($J197*1.637*1,0)</f>
        <v>7382870</v>
      </c>
      <c r="M197" s="3">
        <f t="shared" si="97"/>
        <v>124</v>
      </c>
      <c r="N197" s="10">
        <f>ROUND($J197*1.637*1.75*1,0)</f>
        <v>12920023</v>
      </c>
      <c r="O197" s="5">
        <f t="shared" si="98"/>
        <v>126</v>
      </c>
      <c r="P197" s="9">
        <f>ROUND($J197*1.637*1.75*2.1*1,0)</f>
        <v>27132047</v>
      </c>
      <c r="Q197" s="3">
        <f t="shared" si="99"/>
        <v>128</v>
      </c>
      <c r="R197" s="10">
        <f>ROUND($J197*1.637*1.75*2.1*2.3*1.25,0)</f>
        <v>78004636</v>
      </c>
      <c r="S197" s="5">
        <f t="shared" si="100"/>
        <v>130</v>
      </c>
      <c r="T197" s="9">
        <f>ROUND($J197*1.637*1.75*2.1*2.3*2.6*1.25,0)</f>
        <v>202812053</v>
      </c>
      <c r="U197" s="3">
        <f t="shared" si="101"/>
        <v>133</v>
      </c>
      <c r="V197" s="10">
        <f>ROUND($J197*1.637*1.75*2.1*2.3*2.6*3.2*1.25,0)</f>
        <v>648998570</v>
      </c>
      <c r="W197" s="5">
        <f t="shared" si="102"/>
        <v>137</v>
      </c>
      <c r="X197" s="9">
        <f>ROUND($J197*1.637*1.75*2.1*2.3*2.6*3.2*4.2*1.25,0)</f>
        <v>2725793995</v>
      </c>
      <c r="Y197" s="3">
        <f t="shared" si="103"/>
        <v>139</v>
      </c>
      <c r="Z197" s="10">
        <f>ROUND($J197*1.637*1.75*2.1*2.3*2.6*3.2*4.2*2.4*1.25,0)</f>
        <v>6541905588</v>
      </c>
      <c r="AA197" s="5">
        <f t="shared" si="104"/>
        <v>141</v>
      </c>
      <c r="AB197" s="9">
        <f>ROUND($J197*1.637*1.75*2.1*2.3*2.6*3.2*4.2*2.4*2.5*1.25,0)</f>
        <v>16354763970</v>
      </c>
      <c r="AC197" s="3">
        <f t="shared" si="105"/>
        <v>143</v>
      </c>
      <c r="AD197" s="10">
        <f>ROUND($J197*1.637*1.75*2.1*2.3*2.6*3.2*4.2*2.4*2.5*2.8*1.25,0)</f>
        <v>45793339115</v>
      </c>
      <c r="AE197" s="5">
        <f t="shared" si="106"/>
        <v>146</v>
      </c>
      <c r="AF197" s="9">
        <f>ROUND($J197*1.637*1.75*2.1*2.3*2.6*3.2*4.2*2.4*2.5*2.8*3.2*1.25,0)</f>
        <v>146538685167</v>
      </c>
      <c r="AG197" s="3">
        <f t="shared" si="107"/>
        <v>149</v>
      </c>
      <c r="AH197" s="10">
        <f>ROUND($J197*1.637*1.75*2.1*2.3*2.6*3.2*4.2*2.4*2.5*2.8*3.2*3.8*1.25,0)</f>
        <v>556847003635</v>
      </c>
    </row>
    <row r="198" spans="1:34" x14ac:dyDescent="0.3">
      <c r="A198" s="2">
        <v>178</v>
      </c>
      <c r="B198" s="2" t="s">
        <v>322</v>
      </c>
      <c r="C198" s="2" t="s">
        <v>228</v>
      </c>
      <c r="D198" s="2" t="s">
        <v>79</v>
      </c>
      <c r="E198" s="2">
        <v>122</v>
      </c>
      <c r="F198" s="2" t="s">
        <v>30</v>
      </c>
      <c r="G198" s="2" t="s">
        <v>72</v>
      </c>
      <c r="H198" s="2">
        <v>30</v>
      </c>
      <c r="I198" s="3">
        <v>122</v>
      </c>
      <c r="J198" s="4">
        <v>4790000</v>
      </c>
      <c r="K198" s="5">
        <f t="shared" si="96"/>
        <v>123</v>
      </c>
      <c r="L198" s="9">
        <f>ROUND($J198*1.637*1,0)</f>
        <v>7841230</v>
      </c>
      <c r="M198" s="3">
        <f t="shared" si="97"/>
        <v>124</v>
      </c>
      <c r="N198" s="10">
        <f>ROUND($J198*1.637*1.75*1,0)</f>
        <v>13722153</v>
      </c>
      <c r="O198" s="5">
        <f t="shared" si="98"/>
        <v>126</v>
      </c>
      <c r="P198" s="9">
        <f>ROUND($J198*1.637*1.75*2.1*1,0)</f>
        <v>28816520</v>
      </c>
      <c r="Q198" s="3">
        <f t="shared" si="99"/>
        <v>128</v>
      </c>
      <c r="R198" s="10">
        <f>ROUND($J198*1.637*1.75*2.1*2.3*1.25,0)</f>
        <v>82847496</v>
      </c>
      <c r="S198" s="5">
        <f t="shared" si="100"/>
        <v>130</v>
      </c>
      <c r="T198" s="9">
        <f>ROUND($J198*1.637*1.75*2.1*2.3*2.6*1.25,0)</f>
        <v>215403489</v>
      </c>
      <c r="U198" s="3">
        <f t="shared" si="101"/>
        <v>133</v>
      </c>
      <c r="V198" s="10">
        <f>ROUND($J198*1.637*1.75*2.1*2.3*2.6*3.2*1.25,0)</f>
        <v>689291164</v>
      </c>
      <c r="W198" s="5">
        <f t="shared" si="102"/>
        <v>137</v>
      </c>
      <c r="X198" s="9">
        <f>ROUND($J198*1.637*1.75*2.1*2.3*2.6*3.2*4.2*1.25,0)</f>
        <v>2895022890</v>
      </c>
      <c r="Y198" s="3">
        <f t="shared" si="103"/>
        <v>139</v>
      </c>
      <c r="Z198" s="10">
        <f>ROUND($J198*1.637*1.75*2.1*2.3*2.6*3.2*4.2*2.4*1.25,0)</f>
        <v>6948054937</v>
      </c>
      <c r="AA198" s="5">
        <f t="shared" si="104"/>
        <v>141</v>
      </c>
      <c r="AB198" s="9">
        <f>ROUND($J198*1.637*1.75*2.1*2.3*2.6*3.2*4.2*2.4*2.5*1.25,0)</f>
        <v>17370137342</v>
      </c>
      <c r="AC198" s="3">
        <f t="shared" si="105"/>
        <v>143</v>
      </c>
      <c r="AD198" s="10">
        <f>ROUND($J198*1.637*1.75*2.1*2.3*2.6*3.2*4.2*2.4*2.5*2.8*1.25,0)</f>
        <v>48636384559</v>
      </c>
      <c r="AE198" s="5">
        <f t="shared" si="106"/>
        <v>146</v>
      </c>
      <c r="AF198" s="9">
        <f>ROUND($J198*1.637*1.75*2.1*2.3*2.6*3.2*4.2*2.4*2.5*2.8*3.2*1.25,0)</f>
        <v>155636430588</v>
      </c>
      <c r="AG198" s="3">
        <f t="shared" si="107"/>
        <v>149</v>
      </c>
      <c r="AH198" s="10">
        <f>ROUND($J198*1.637*1.75*2.1*2.3*2.6*3.2*4.2*2.4*2.5*2.8*3.2*3.8*1.25,0)</f>
        <v>591418436233</v>
      </c>
    </row>
    <row r="199" spans="1:34" x14ac:dyDescent="0.3">
      <c r="A199" s="2">
        <v>155</v>
      </c>
      <c r="B199" s="2" t="s">
        <v>323</v>
      </c>
      <c r="C199" s="2" t="s">
        <v>228</v>
      </c>
      <c r="D199" s="2" t="s">
        <v>29</v>
      </c>
      <c r="E199" s="2">
        <v>122</v>
      </c>
      <c r="F199" s="2" t="s">
        <v>34</v>
      </c>
      <c r="G199" s="2" t="s">
        <v>35</v>
      </c>
      <c r="H199" s="2">
        <v>32</v>
      </c>
      <c r="I199" s="3">
        <v>122</v>
      </c>
      <c r="J199" s="4">
        <v>4940000</v>
      </c>
      <c r="K199" s="5">
        <f t="shared" si="96"/>
        <v>123</v>
      </c>
      <c r="L199" s="9">
        <f>ROUND($J199*1.637*1,0)</f>
        <v>8086780</v>
      </c>
      <c r="M199" s="3">
        <f t="shared" si="97"/>
        <v>124</v>
      </c>
      <c r="N199" s="10">
        <f>ROUND($J199*1.637*1.75*1,0)</f>
        <v>14151865</v>
      </c>
      <c r="O199" s="5">
        <f t="shared" si="98"/>
        <v>126</v>
      </c>
      <c r="P199" s="9">
        <f>ROUND($J199*1.637*1.75*2.1*1,0)</f>
        <v>29718917</v>
      </c>
      <c r="Q199" s="3">
        <f t="shared" si="99"/>
        <v>128</v>
      </c>
      <c r="R199" s="10">
        <f>ROUND($J199*1.637*1.75*2.1*2.3*1.25,0)</f>
        <v>85441885</v>
      </c>
      <c r="S199" s="5">
        <f t="shared" si="100"/>
        <v>130</v>
      </c>
      <c r="T199" s="9">
        <f>ROUND($J199*1.637*1.75*2.1*2.3*2.6*1.25,0)</f>
        <v>222148901</v>
      </c>
      <c r="U199" s="3">
        <f t="shared" si="101"/>
        <v>133</v>
      </c>
      <c r="V199" s="10">
        <f>ROUND($J199*1.637*1.75*2.1*2.3*2.6*3.2*1.25,0)</f>
        <v>710876483</v>
      </c>
      <c r="W199" s="5">
        <f t="shared" si="102"/>
        <v>137</v>
      </c>
      <c r="X199" s="9">
        <f>ROUND($J199*1.637*1.75*2.1*2.3*2.6*3.2*4.2*1.25,0)</f>
        <v>2985681227</v>
      </c>
      <c r="Y199" s="3">
        <f t="shared" si="103"/>
        <v>139</v>
      </c>
      <c r="Z199" s="10">
        <f>ROUND($J199*1.637*1.75*2.1*2.3*2.6*3.2*4.2*2.4*1.25,0)</f>
        <v>7165634945</v>
      </c>
      <c r="AA199" s="5">
        <f t="shared" si="104"/>
        <v>141</v>
      </c>
      <c r="AB199" s="9">
        <f>ROUND($J199*1.637*1.75*2.1*2.3*2.6*3.2*4.2*2.4*2.5*1.25,0)</f>
        <v>17914087364</v>
      </c>
      <c r="AC199" s="3">
        <f t="shared" si="105"/>
        <v>143</v>
      </c>
      <c r="AD199" s="10">
        <f>ROUND($J199*1.637*1.75*2.1*2.3*2.6*3.2*4.2*2.4*2.5*2.8*1.25,0)</f>
        <v>50159444618</v>
      </c>
      <c r="AE199" s="5">
        <f t="shared" si="106"/>
        <v>146</v>
      </c>
      <c r="AF199" s="9">
        <f>ROUND($J199*1.637*1.75*2.1*2.3*2.6*3.2*4.2*2.4*2.5*2.8*3.2*1.25,0)</f>
        <v>160510222777</v>
      </c>
      <c r="AG199" s="3">
        <f t="shared" si="107"/>
        <v>149</v>
      </c>
      <c r="AH199" s="10">
        <f>ROUND($J199*1.637*1.75*2.1*2.3*2.6*3.2*4.2*2.4*2.5*2.8*3.2*3.8*1.25,0)</f>
        <v>609938846554</v>
      </c>
    </row>
    <row r="200" spans="1:34" x14ac:dyDescent="0.3">
      <c r="A200" s="2">
        <v>166</v>
      </c>
      <c r="B200" s="2" t="s">
        <v>324</v>
      </c>
      <c r="C200" s="2" t="s">
        <v>228</v>
      </c>
      <c r="D200" s="2" t="s">
        <v>45</v>
      </c>
      <c r="E200" s="2">
        <v>122</v>
      </c>
      <c r="F200" s="2" t="s">
        <v>136</v>
      </c>
      <c r="G200" s="2" t="s">
        <v>27</v>
      </c>
      <c r="H200" s="2">
        <v>31</v>
      </c>
      <c r="I200" s="3">
        <v>122</v>
      </c>
      <c r="J200" s="4">
        <v>4610000</v>
      </c>
      <c r="K200" s="5">
        <f t="shared" si="96"/>
        <v>123</v>
      </c>
      <c r="L200" s="9">
        <f>ROUND($J200*1.637*1,0)</f>
        <v>7546570</v>
      </c>
      <c r="M200" s="3">
        <f t="shared" si="97"/>
        <v>124</v>
      </c>
      <c r="N200" s="10">
        <f>ROUND($J200*1.637*1.75*1,0)</f>
        <v>13206498</v>
      </c>
      <c r="O200" s="5">
        <f t="shared" si="98"/>
        <v>126</v>
      </c>
      <c r="P200" s="9">
        <f>ROUND($J200*1.637*1.75*2.1*1,0)</f>
        <v>27733645</v>
      </c>
      <c r="Q200" s="3">
        <f t="shared" si="99"/>
        <v>128</v>
      </c>
      <c r="R200" s="10">
        <f>ROUND($J200*1.637*1.75*2.1*2.3*1,0)</f>
        <v>63787383</v>
      </c>
      <c r="S200" s="5">
        <f t="shared" si="100"/>
        <v>130</v>
      </c>
      <c r="T200" s="9">
        <f>ROUND($J200*1.637*1.75*2.1*2.3*2.6*1,0)</f>
        <v>165847196</v>
      </c>
      <c r="U200" s="3">
        <f t="shared" si="101"/>
        <v>133</v>
      </c>
      <c r="V200" s="10">
        <f>ROUND($J200*1.637*1.75*2.1*2.3*2.6*3.2*1,0)</f>
        <v>530711026</v>
      </c>
      <c r="W200" s="5">
        <f t="shared" si="102"/>
        <v>137</v>
      </c>
      <c r="X200" s="9">
        <f>ROUND($J200*1.637*1.75*2.1*2.3*2.6*3.2*4.2*1,0)</f>
        <v>2228986309</v>
      </c>
      <c r="Y200" s="3">
        <f t="shared" si="103"/>
        <v>139</v>
      </c>
      <c r="Z200" s="10">
        <f>ROUND($J200*1.637*1.75*2.1*2.3*2.6*3.2*4.2*2.4*1,0)</f>
        <v>5349567141</v>
      </c>
      <c r="AA200" s="5">
        <f t="shared" si="104"/>
        <v>141</v>
      </c>
      <c r="AB200" s="9">
        <f>ROUND($J200*1.637*1.75*2.1*2.3*2.6*3.2*4.2*2.4*2.5*1,0)</f>
        <v>13373917854</v>
      </c>
      <c r="AC200" s="3">
        <f t="shared" si="105"/>
        <v>143</v>
      </c>
      <c r="AD200" s="10">
        <f>ROUND($J200*1.637*1.75*2.1*2.3*2.6*3.2*4.2*2.4*2.5*2.8*1,0)</f>
        <v>37446969990</v>
      </c>
      <c r="AE200" s="5">
        <f t="shared" si="106"/>
        <v>146</v>
      </c>
      <c r="AF200" s="9">
        <f>ROUND($J200*1.637*1.75*2.1*2.3*2.6*3.2*4.2*2.4*2.5*2.8*3.2*1,0)</f>
        <v>119830303968</v>
      </c>
      <c r="AG200" s="3">
        <f t="shared" si="107"/>
        <v>149</v>
      </c>
      <c r="AH200" s="10">
        <f>ROUND($J200*1.637*1.75*2.1*2.3*2.6*3.2*4.2*2.4*2.5*2.8*3.2*3.8*1,0)</f>
        <v>455355155079</v>
      </c>
    </row>
    <row r="201" spans="1:34" x14ac:dyDescent="0.3">
      <c r="A201" s="2">
        <v>173</v>
      </c>
      <c r="B201" s="2" t="s">
        <v>325</v>
      </c>
      <c r="C201" s="2" t="s">
        <v>228</v>
      </c>
      <c r="D201" s="2" t="s">
        <v>90</v>
      </c>
      <c r="E201" s="2">
        <v>122</v>
      </c>
      <c r="F201" s="2" t="s">
        <v>258</v>
      </c>
      <c r="G201" s="2" t="s">
        <v>326</v>
      </c>
      <c r="H201" s="2">
        <v>30</v>
      </c>
      <c r="I201" s="3">
        <v>122</v>
      </c>
      <c r="J201" s="4">
        <v>4360000</v>
      </c>
      <c r="K201" s="5">
        <f t="shared" si="96"/>
        <v>123</v>
      </c>
      <c r="L201" s="9">
        <f>ROUND($J201*1.637*0.8,0)</f>
        <v>5709856</v>
      </c>
      <c r="M201" s="3">
        <f t="shared" si="97"/>
        <v>124</v>
      </c>
      <c r="N201" s="10">
        <f>ROUND($J201*1.637*1.75*0.8,0)</f>
        <v>9992248</v>
      </c>
      <c r="O201" s="5">
        <f t="shared" si="98"/>
        <v>126</v>
      </c>
      <c r="P201" s="9">
        <f>ROUND($J201*1.637*1.75*2.1*0.8,0)</f>
        <v>20983721</v>
      </c>
      <c r="Q201" s="3">
        <f t="shared" si="99"/>
        <v>128</v>
      </c>
      <c r="R201" s="10">
        <f>ROUND($J201*1.637*1.75*2.1*2.3*0.542035092435954,0)</f>
        <v>32700000</v>
      </c>
      <c r="S201" s="5">
        <f t="shared" si="100"/>
        <v>130</v>
      </c>
      <c r="T201" s="9">
        <f>ROUND($J201*1.637*1.75*2.1*2.3*2.6*0.544690061623969,0)</f>
        <v>85436441</v>
      </c>
      <c r="U201" s="3">
        <f t="shared" si="101"/>
        <v>133</v>
      </c>
      <c r="V201" s="10">
        <f>ROUND($J201*1.637*1.75*2.1*2.3*2.6*3.2*0.547345030811984,0)</f>
        <v>274729221</v>
      </c>
      <c r="W201" s="5">
        <f t="shared" si="102"/>
        <v>137</v>
      </c>
      <c r="X201" s="9">
        <f>ROUND($J201*1.637*1.75*2.1*2.3*2.6*3.2*4.2*0.55,0)</f>
        <v>1159459690</v>
      </c>
      <c r="Y201" s="3">
        <f t="shared" si="103"/>
        <v>139</v>
      </c>
      <c r="Z201" s="10">
        <f>ROUND($J201*1.637*1.75*2.1*2.3*2.6*3.2*4.2*2.4*0.55,0)</f>
        <v>2782703255</v>
      </c>
      <c r="AA201" s="5">
        <f t="shared" si="104"/>
        <v>141</v>
      </c>
      <c r="AB201" s="9">
        <f>ROUND($J201*1.637*1.75*2.1*2.3*2.6*3.2*4.2*2.4*2.5*0.55,0)</f>
        <v>6956758137</v>
      </c>
      <c r="AC201" s="3">
        <f t="shared" si="105"/>
        <v>143</v>
      </c>
      <c r="AD201" s="10">
        <f>ROUND($J201*1.637*1.75*2.1*2.3*2.6*3.2*4.2*2.4*2.5*2.8*0.55,0)</f>
        <v>19478922784</v>
      </c>
      <c r="AE201" s="5">
        <f t="shared" si="106"/>
        <v>146</v>
      </c>
      <c r="AF201" s="9">
        <f>ROUND($J201*1.637*1.75*2.1*2.3*2.6*3.2*4.2*2.4*2.5*2.8*3.2*0.55,0)</f>
        <v>62332552910</v>
      </c>
      <c r="AG201" s="3">
        <f t="shared" si="107"/>
        <v>149</v>
      </c>
      <c r="AH201" s="10">
        <f>ROUND($J201*1.637*1.75*2.1*2.3*2.6*3.2*4.2*2.4*2.5*2.8*3.2*3.8*0.55,0)</f>
        <v>236863701058</v>
      </c>
    </row>
    <row r="202" spans="1:34" x14ac:dyDescent="0.3">
      <c r="A202" s="2">
        <v>186</v>
      </c>
      <c r="B202" s="2" t="s">
        <v>327</v>
      </c>
      <c r="C202" s="2" t="s">
        <v>228</v>
      </c>
      <c r="D202" s="2" t="s">
        <v>47</v>
      </c>
      <c r="E202" s="2">
        <v>122</v>
      </c>
      <c r="F202" s="2" t="s">
        <v>310</v>
      </c>
      <c r="G202" s="2" t="s">
        <v>38</v>
      </c>
      <c r="H202" s="2">
        <v>29</v>
      </c>
      <c r="I202" s="3">
        <v>122</v>
      </c>
      <c r="J202" s="4">
        <v>4850000</v>
      </c>
      <c r="K202" s="5">
        <f t="shared" si="96"/>
        <v>123</v>
      </c>
      <c r="L202" s="9">
        <f>ROUND($J202*1.637*1,0)</f>
        <v>7939450</v>
      </c>
      <c r="M202" s="3">
        <f t="shared" si="97"/>
        <v>124</v>
      </c>
      <c r="N202" s="10">
        <f>ROUND($J202*1.637*1.75*1,0)</f>
        <v>13894038</v>
      </c>
      <c r="O202" s="5">
        <f t="shared" si="98"/>
        <v>126</v>
      </c>
      <c r="P202" s="9">
        <f>ROUND($J202*1.637*1.75*2.1*1,0)</f>
        <v>29177479</v>
      </c>
      <c r="Q202" s="3">
        <f t="shared" si="99"/>
        <v>128</v>
      </c>
      <c r="R202" s="10">
        <f>ROUND($J202*1.637*1.75*2.1*2.3*1,0)</f>
        <v>67108201</v>
      </c>
      <c r="S202" s="5">
        <f t="shared" si="100"/>
        <v>130</v>
      </c>
      <c r="T202" s="9">
        <f>ROUND($J202*1.637*1.75*2.1*2.3*2.6*1,0)</f>
        <v>174481323</v>
      </c>
      <c r="U202" s="3">
        <f t="shared" si="101"/>
        <v>133</v>
      </c>
      <c r="V202" s="10">
        <f>ROUND($J202*1.637*1.75*2.1*2.3*2.6*3.2*1,0)</f>
        <v>558340233</v>
      </c>
      <c r="W202" s="5">
        <f t="shared" si="102"/>
        <v>137</v>
      </c>
      <c r="X202" s="9">
        <f>ROUND($J202*1.637*1.75*2.1*2.3*2.6*3.2*4.2*1,0)</f>
        <v>2345028980</v>
      </c>
      <c r="Y202" s="3">
        <f t="shared" si="103"/>
        <v>139</v>
      </c>
      <c r="Z202" s="10">
        <f>ROUND($J202*1.637*1.75*2.1*2.3*2.6*3.2*4.2*2.4*1,0)</f>
        <v>5628069552</v>
      </c>
      <c r="AA202" s="5">
        <f t="shared" si="104"/>
        <v>141</v>
      </c>
      <c r="AB202" s="9">
        <f>ROUND($J202*1.637*1.75*2.1*2.3*2.6*3.2*4.2*2.4*2.5*1,0)</f>
        <v>14070173881</v>
      </c>
      <c r="AC202" s="3">
        <f t="shared" si="105"/>
        <v>143</v>
      </c>
      <c r="AD202" s="10">
        <f>ROUND($J202*1.637*1.75*2.1*2.3*2.6*3.2*4.2*2.4*2.5*2.8*1,0)</f>
        <v>39396486866</v>
      </c>
      <c r="AE202" s="5">
        <f t="shared" si="106"/>
        <v>146</v>
      </c>
      <c r="AF202" s="9">
        <f>ROUND($J202*1.637*1.75*2.1*2.3*2.6*3.2*4.2*2.4*2.5*2.8*3.2*1,0)</f>
        <v>126068757971</v>
      </c>
      <c r="AG202" s="3">
        <f t="shared" si="107"/>
        <v>149</v>
      </c>
      <c r="AH202" s="10">
        <f>ROUND($J202*1.637*1.75*2.1*2.3*2.6*3.2*4.2*2.4*2.5*2.8*3.2*3.8*1,0)</f>
        <v>479061280289</v>
      </c>
    </row>
    <row r="203" spans="1:34" x14ac:dyDescent="0.3">
      <c r="A203" s="2">
        <v>276</v>
      </c>
      <c r="B203" s="2" t="s">
        <v>328</v>
      </c>
      <c r="C203" s="2" t="s">
        <v>228</v>
      </c>
      <c r="D203" s="2" t="s">
        <v>79</v>
      </c>
      <c r="E203" s="2">
        <v>121</v>
      </c>
      <c r="F203" s="2" t="s">
        <v>303</v>
      </c>
      <c r="G203" s="2" t="s">
        <v>329</v>
      </c>
      <c r="H203" s="2">
        <v>30</v>
      </c>
      <c r="I203" s="3">
        <v>121</v>
      </c>
      <c r="J203" s="4">
        <v>3000000</v>
      </c>
      <c r="K203" s="5">
        <f t="shared" si="96"/>
        <v>122</v>
      </c>
      <c r="L203" s="9">
        <f>ROUND($J203*1.637*0.8,0)</f>
        <v>3928800</v>
      </c>
      <c r="M203" s="3">
        <f t="shared" si="97"/>
        <v>123</v>
      </c>
      <c r="N203" s="10">
        <f>ROUND($J203*1.637*1.75*0.8,0)</f>
        <v>6875400</v>
      </c>
      <c r="O203" s="5">
        <f t="shared" si="98"/>
        <v>125</v>
      </c>
      <c r="P203" s="9">
        <f>ROUND($J203*1.637*1.75*2.1*0.8,0)</f>
        <v>14438340</v>
      </c>
      <c r="Q203" s="3">
        <f t="shared" si="99"/>
        <v>127</v>
      </c>
      <c r="R203" s="10">
        <f>ROUND($J203*1.637*1.75*2.1*2.3*0.542035092435954,0)</f>
        <v>22500000</v>
      </c>
      <c r="S203" s="5">
        <f t="shared" si="100"/>
        <v>129</v>
      </c>
      <c r="T203" s="9">
        <f>ROUND($J203*1.637*1.75*2.1*2.3*2.6*0.544690061623969,0)</f>
        <v>58786542</v>
      </c>
      <c r="U203" s="3">
        <f t="shared" si="101"/>
        <v>132</v>
      </c>
      <c r="V203" s="10">
        <f>ROUND($J203*1.637*1.75*2.1*2.3*2.6*3.2*0.547345030811984,0)</f>
        <v>189033867</v>
      </c>
      <c r="W203" s="5">
        <f t="shared" si="102"/>
        <v>136</v>
      </c>
      <c r="X203" s="9">
        <f>ROUND($J203*1.637*1.75*2.1*2.3*2.6*3.2*4.2*0.55,0)</f>
        <v>797793364</v>
      </c>
      <c r="Y203" s="3">
        <f t="shared" si="103"/>
        <v>138</v>
      </c>
      <c r="Z203" s="10">
        <f>ROUND($J203*1.637*1.75*2.1*2.3*2.6*3.2*4.2*2.4*0.55,0)</f>
        <v>1914704074</v>
      </c>
      <c r="AA203" s="5">
        <f t="shared" si="104"/>
        <v>140</v>
      </c>
      <c r="AB203" s="9">
        <f>ROUND($J203*1.637*1.75*2.1*2.3*2.6*3.2*4.2*2.4*2.5*0.55,0)</f>
        <v>4786760186</v>
      </c>
      <c r="AC203" s="3">
        <f t="shared" si="105"/>
        <v>142</v>
      </c>
      <c r="AD203" s="10">
        <f>ROUND($J203*1.637*1.75*2.1*2.3*2.6*3.2*4.2*2.4*2.5*2.8*0.55,0)</f>
        <v>13402928521</v>
      </c>
      <c r="AE203" s="5">
        <f t="shared" si="106"/>
        <v>145</v>
      </c>
      <c r="AF203" s="9">
        <f>ROUND($J203*1.637*1.75*2.1*2.3*2.6*3.2*4.2*2.4*2.5*2.8*3.2*0.55,0)</f>
        <v>42889371268</v>
      </c>
      <c r="AG203" s="3">
        <f t="shared" si="107"/>
        <v>148</v>
      </c>
      <c r="AH203" s="10">
        <f>ROUND($J203*1.637*1.75*2.1*2.3*2.6*3.2*4.2*2.4*2.5*2.8*3.2*3.8*0.55,0)</f>
        <v>162979610820</v>
      </c>
    </row>
    <row r="204" spans="1:34" x14ac:dyDescent="0.3">
      <c r="A204" s="2">
        <v>306</v>
      </c>
      <c r="B204" s="2" t="s">
        <v>330</v>
      </c>
      <c r="C204" s="2" t="s">
        <v>228</v>
      </c>
      <c r="D204" s="2" t="s">
        <v>331</v>
      </c>
      <c r="E204" s="2">
        <v>121</v>
      </c>
      <c r="F204" s="2" t="s">
        <v>310</v>
      </c>
      <c r="G204" s="2" t="s">
        <v>51</v>
      </c>
      <c r="H204" s="2">
        <v>31</v>
      </c>
      <c r="I204" s="3">
        <v>121</v>
      </c>
      <c r="J204" s="6">
        <v>2890000</v>
      </c>
      <c r="K204" s="5">
        <f t="shared" si="96"/>
        <v>122</v>
      </c>
      <c r="L204" s="9">
        <f>ROUND($J204*1.637*0.8,0)</f>
        <v>3784744</v>
      </c>
      <c r="M204" s="3">
        <f t="shared" si="97"/>
        <v>123</v>
      </c>
      <c r="N204" s="10">
        <f>ROUND($J204*1.637*1.75*0.8,0)</f>
        <v>6623302</v>
      </c>
      <c r="O204" s="5">
        <f t="shared" si="98"/>
        <v>125</v>
      </c>
      <c r="P204" s="9">
        <f>ROUND($J204*1.637*1.75*2.1*0.8,0)</f>
        <v>13908934</v>
      </c>
      <c r="Q204" s="3">
        <f t="shared" si="99"/>
        <v>127</v>
      </c>
      <c r="R204" s="10">
        <f>ROUND($J204*1.637*1.75*2.1*2.3*0.542035092435954,0)</f>
        <v>21675000</v>
      </c>
      <c r="S204" s="5">
        <f t="shared" si="100"/>
        <v>129</v>
      </c>
      <c r="T204" s="9">
        <f>ROUND($J204*1.637*1.75*2.1*2.3*2.6*0.544690061623969,0)</f>
        <v>56631035</v>
      </c>
      <c r="U204" s="3">
        <f t="shared" si="101"/>
        <v>132</v>
      </c>
      <c r="V204" s="10">
        <f>ROUND($J204*1.637*1.75*2.1*2.3*2.6*3.2*0.547345030811984,0)</f>
        <v>182102626</v>
      </c>
      <c r="W204" s="5">
        <f t="shared" si="102"/>
        <v>136</v>
      </c>
      <c r="X204" s="9">
        <f>ROUND($J204*1.637*1.75*2.1*2.3*2.6*3.2*4.2*0.55,0)</f>
        <v>768540941</v>
      </c>
      <c r="Y204" s="3">
        <f t="shared" si="103"/>
        <v>138</v>
      </c>
      <c r="Z204" s="10">
        <f>ROUND($J204*1.637*1.75*2.1*2.3*2.6*3.2*4.2*2.4*0.55,0)</f>
        <v>1844498258</v>
      </c>
      <c r="AA204" s="5">
        <f t="shared" si="104"/>
        <v>140</v>
      </c>
      <c r="AB204" s="9">
        <f>ROUND($J204*1.637*1.75*2.1*2.3*2.6*3.2*4.2*2.4*2.5*0.55,0)</f>
        <v>4611245646</v>
      </c>
      <c r="AC204" s="3">
        <f t="shared" si="105"/>
        <v>142</v>
      </c>
      <c r="AD204" s="10">
        <f>ROUND($J204*1.637*1.75*2.1*2.3*2.6*3.2*4.2*2.4*2.5*2.8*0.55,0)</f>
        <v>12911487809</v>
      </c>
      <c r="AE204" s="5">
        <f t="shared" si="106"/>
        <v>145</v>
      </c>
      <c r="AF204" s="9">
        <f>ROUND($J204*1.637*1.75*2.1*2.3*2.6*3.2*4.2*2.4*2.5*2.8*3.2*0.55,0)</f>
        <v>41316760989</v>
      </c>
      <c r="AG204" s="3">
        <f t="shared" si="107"/>
        <v>148</v>
      </c>
      <c r="AH204" s="10">
        <f>ROUND($J204*1.637*1.75*2.1*2.3*2.6*3.2*4.2*2.4*2.5*2.8*3.2*3.8*0.55,0)</f>
        <v>157003691757</v>
      </c>
    </row>
    <row r="205" spans="1:34" x14ac:dyDescent="0.3">
      <c r="A205" s="2">
        <v>301</v>
      </c>
      <c r="B205" s="2" t="s">
        <v>332</v>
      </c>
      <c r="C205" s="2" t="s">
        <v>228</v>
      </c>
      <c r="D205" s="2" t="s">
        <v>102</v>
      </c>
      <c r="E205" s="2">
        <v>121</v>
      </c>
      <c r="F205" s="2" t="s">
        <v>34</v>
      </c>
      <c r="G205" s="2" t="s">
        <v>290</v>
      </c>
      <c r="H205" s="2">
        <v>29</v>
      </c>
      <c r="I205" s="3">
        <v>121</v>
      </c>
      <c r="J205" s="6">
        <v>2610000</v>
      </c>
      <c r="K205" s="5">
        <f t="shared" si="96"/>
        <v>122</v>
      </c>
      <c r="L205" s="9">
        <f>ROUND($J205*1.637*0.8,0)</f>
        <v>3418056</v>
      </c>
      <c r="M205" s="3">
        <f t="shared" si="97"/>
        <v>123</v>
      </c>
      <c r="N205" s="10">
        <f>ROUND($J205*1.637*1.75*0.8,0)</f>
        <v>5981598</v>
      </c>
      <c r="O205" s="5">
        <f t="shared" si="98"/>
        <v>125</v>
      </c>
      <c r="P205" s="9">
        <f>ROUND($J205*1.637*1.75*2.1*0.8,0)</f>
        <v>12561356</v>
      </c>
      <c r="Q205" s="3">
        <f t="shared" si="99"/>
        <v>127</v>
      </c>
      <c r="R205" s="10">
        <f>ROUND($J205*1.637*1.75*2.1*2.3*0.542035092435954,0)</f>
        <v>19575000</v>
      </c>
      <c r="S205" s="5">
        <f t="shared" si="100"/>
        <v>129</v>
      </c>
      <c r="T205" s="9">
        <f>ROUND($J205*1.637*1.75*2.1*2.3*2.6*0.544690061623969,0)</f>
        <v>51144291</v>
      </c>
      <c r="U205" s="3">
        <f t="shared" si="101"/>
        <v>132</v>
      </c>
      <c r="V205" s="10">
        <f>ROUND($J205*1.637*1.75*2.1*2.3*2.6*3.2*0.547345030811984,0)</f>
        <v>164459465</v>
      </c>
      <c r="W205" s="5">
        <f t="shared" si="102"/>
        <v>136</v>
      </c>
      <c r="X205" s="9">
        <f>ROUND($J205*1.637*1.75*2.1*2.3*2.6*3.2*4.2*0.55,0)</f>
        <v>694080227</v>
      </c>
      <c r="Y205" s="3">
        <f t="shared" si="103"/>
        <v>138</v>
      </c>
      <c r="Z205" s="10">
        <f>ROUND($J205*1.637*1.75*2.1*2.3*2.6*3.2*4.2*2.4*0.55,0)</f>
        <v>1665792545</v>
      </c>
      <c r="AA205" s="5">
        <f t="shared" si="104"/>
        <v>140</v>
      </c>
      <c r="AB205" s="9">
        <f>ROUND($J205*1.637*1.75*2.1*2.3*2.6*3.2*4.2*2.4*2.5*0.55,0)</f>
        <v>4164481362</v>
      </c>
      <c r="AC205" s="3">
        <f t="shared" si="105"/>
        <v>142</v>
      </c>
      <c r="AD205" s="10">
        <f>ROUND($J205*1.637*1.75*2.1*2.3*2.6*3.2*4.2*2.4*2.5*2.8*0.55,0)</f>
        <v>11660547814</v>
      </c>
      <c r="AE205" s="5">
        <f t="shared" si="106"/>
        <v>145</v>
      </c>
      <c r="AF205" s="9">
        <f>ROUND($J205*1.637*1.75*2.1*2.3*2.6*3.2*4.2*2.4*2.5*2.8*3.2*0.55,0)</f>
        <v>37313753004</v>
      </c>
      <c r="AG205" s="3">
        <f t="shared" si="107"/>
        <v>148</v>
      </c>
      <c r="AH205" s="10">
        <f>ROUND($J205*1.637*1.75*2.1*2.3*2.6*3.2*4.2*2.4*2.5*2.8*3.2*3.8*0.55,0)</f>
        <v>141792261413</v>
      </c>
    </row>
    <row r="206" spans="1:34" x14ac:dyDescent="0.3">
      <c r="A206" s="2">
        <v>206</v>
      </c>
      <c r="B206" s="2" t="s">
        <v>333</v>
      </c>
      <c r="C206" s="2" t="s">
        <v>228</v>
      </c>
      <c r="D206" s="2" t="s">
        <v>45</v>
      </c>
      <c r="E206" s="2">
        <v>121</v>
      </c>
      <c r="F206" s="2" t="s">
        <v>54</v>
      </c>
      <c r="G206" s="2" t="s">
        <v>295</v>
      </c>
      <c r="H206" s="2">
        <v>30</v>
      </c>
      <c r="I206" s="3">
        <v>121</v>
      </c>
      <c r="J206" s="4">
        <v>2360000</v>
      </c>
      <c r="K206" s="5">
        <f t="shared" si="96"/>
        <v>122</v>
      </c>
      <c r="L206" s="9">
        <f>ROUND($J206*1.637*0.8,0)</f>
        <v>3090656</v>
      </c>
      <c r="M206" s="3">
        <f t="shared" si="97"/>
        <v>123</v>
      </c>
      <c r="N206" s="10">
        <f>ROUND($J206*1.637*1.75*0.8,0)</f>
        <v>5408648</v>
      </c>
      <c r="O206" s="5">
        <f t="shared" si="98"/>
        <v>125</v>
      </c>
      <c r="P206" s="9">
        <f>ROUND($J206*1.637*1.75*2.1*0.8,0)</f>
        <v>11358161</v>
      </c>
      <c r="Q206" s="3">
        <f t="shared" si="99"/>
        <v>127</v>
      </c>
      <c r="R206" s="10">
        <f>ROUND($J206*1.637*1.75*2.1*2.3*0.542035092435954,0)</f>
        <v>17700000</v>
      </c>
      <c r="S206" s="5">
        <f t="shared" si="100"/>
        <v>129</v>
      </c>
      <c r="T206" s="9">
        <f>ROUND($J206*1.637*1.75*2.1*2.3*2.6*0.544690061623969,0)</f>
        <v>46245413</v>
      </c>
      <c r="U206" s="3">
        <f t="shared" si="101"/>
        <v>132</v>
      </c>
      <c r="V206" s="10">
        <f>ROUND($J206*1.637*1.75*2.1*2.3*2.6*3.2*0.547345030811984,0)</f>
        <v>148706642</v>
      </c>
      <c r="W206" s="5">
        <f t="shared" si="102"/>
        <v>136</v>
      </c>
      <c r="X206" s="9">
        <f>ROUND($J206*1.637*1.75*2.1*2.3*2.6*3.2*4.2*0.55,0)</f>
        <v>627597447</v>
      </c>
      <c r="Y206" s="3">
        <f t="shared" si="103"/>
        <v>138</v>
      </c>
      <c r="Z206" s="10">
        <f>ROUND($J206*1.637*1.75*2.1*2.3*2.6*3.2*4.2*2.4*0.55,0)</f>
        <v>1506233872</v>
      </c>
      <c r="AA206" s="5">
        <f t="shared" si="104"/>
        <v>140</v>
      </c>
      <c r="AB206" s="9">
        <f>ROUND($J206*1.637*1.75*2.1*2.3*2.6*3.2*4.2*2.4*2.5*0.55,0)</f>
        <v>3765584680</v>
      </c>
      <c r="AC206" s="3">
        <f t="shared" si="105"/>
        <v>142</v>
      </c>
      <c r="AD206" s="10">
        <f>ROUND($J206*1.637*1.75*2.1*2.3*2.6*3.2*4.2*2.4*2.5*2.8*0.55,0)</f>
        <v>10543637103</v>
      </c>
      <c r="AE206" s="5">
        <f t="shared" si="106"/>
        <v>145</v>
      </c>
      <c r="AF206" s="9">
        <f>ROUND($J206*1.637*1.75*2.1*2.3*2.6*3.2*4.2*2.4*2.5*2.8*3.2*0.55,0)</f>
        <v>33739638731</v>
      </c>
      <c r="AG206" s="3">
        <f t="shared" si="107"/>
        <v>148</v>
      </c>
      <c r="AH206" s="10">
        <f>ROUND($J206*1.637*1.75*2.1*2.3*2.6*3.2*4.2*2.4*2.5*2.8*3.2*3.8*0.55,0)</f>
        <v>128210627178</v>
      </c>
    </row>
    <row r="207" spans="1:34" x14ac:dyDescent="0.3">
      <c r="A207" s="2">
        <v>192</v>
      </c>
      <c r="B207" s="2" t="s">
        <v>334</v>
      </c>
      <c r="C207" s="2" t="s">
        <v>228</v>
      </c>
      <c r="D207" s="2" t="s">
        <v>45</v>
      </c>
      <c r="E207" s="2">
        <v>121</v>
      </c>
      <c r="F207" s="2" t="s">
        <v>71</v>
      </c>
      <c r="G207" s="2" t="s">
        <v>124</v>
      </c>
      <c r="H207" s="2">
        <v>31</v>
      </c>
      <c r="I207" s="3">
        <v>121</v>
      </c>
      <c r="J207" s="4">
        <v>2750000</v>
      </c>
      <c r="K207" s="5">
        <f t="shared" si="96"/>
        <v>122</v>
      </c>
      <c r="L207" s="9">
        <f>ROUND($J207*1.637*0.8,0)</f>
        <v>3601400</v>
      </c>
      <c r="M207" s="3">
        <f t="shared" si="97"/>
        <v>123</v>
      </c>
      <c r="N207" s="10">
        <f>ROUND($J207*1.637*1.75*0.8,0)</f>
        <v>6302450</v>
      </c>
      <c r="O207" s="5">
        <f t="shared" si="98"/>
        <v>125</v>
      </c>
      <c r="P207" s="9">
        <f>ROUND($J207*1.637*1.75*2.1*0.8,0)</f>
        <v>13235145</v>
      </c>
      <c r="Q207" s="3">
        <f t="shared" si="99"/>
        <v>127</v>
      </c>
      <c r="R207" s="10">
        <f>ROUND($J207*1.637*1.75*2.1*2.3*0.542035092435954,0)</f>
        <v>20625000</v>
      </c>
      <c r="S207" s="5">
        <f t="shared" si="100"/>
        <v>129</v>
      </c>
      <c r="T207" s="9">
        <f>ROUND($J207*1.637*1.75*2.1*2.3*2.6*0.544690061623969,0)</f>
        <v>53887663</v>
      </c>
      <c r="U207" s="3">
        <f t="shared" si="101"/>
        <v>132</v>
      </c>
      <c r="V207" s="10">
        <f>ROUND($J207*1.637*1.75*2.1*2.3*2.6*3.2*0.547345030811984,0)</f>
        <v>173281045</v>
      </c>
      <c r="W207" s="5">
        <f t="shared" si="102"/>
        <v>136</v>
      </c>
      <c r="X207" s="9">
        <f>ROUND($J207*1.637*1.75*2.1*2.3*2.6*3.2*4.2*0.55,0)</f>
        <v>731310584</v>
      </c>
      <c r="Y207" s="3">
        <f t="shared" si="103"/>
        <v>138</v>
      </c>
      <c r="Z207" s="10">
        <f>ROUND($J207*1.637*1.75*2.1*2.3*2.6*3.2*4.2*2.4*0.55,0)</f>
        <v>1755145402</v>
      </c>
      <c r="AA207" s="5">
        <f t="shared" si="104"/>
        <v>140</v>
      </c>
      <c r="AB207" s="9">
        <f>ROUND($J207*1.637*1.75*2.1*2.3*2.6*3.2*4.2*2.4*2.5*0.55,0)</f>
        <v>4387863504</v>
      </c>
      <c r="AC207" s="3">
        <f t="shared" si="105"/>
        <v>142</v>
      </c>
      <c r="AD207" s="10">
        <f>ROUND($J207*1.637*1.75*2.1*2.3*2.6*3.2*4.2*2.4*2.5*2.8*0.55,0)</f>
        <v>12286017811</v>
      </c>
      <c r="AE207" s="5">
        <f t="shared" si="106"/>
        <v>145</v>
      </c>
      <c r="AF207" s="9">
        <f>ROUND($J207*1.637*1.75*2.1*2.3*2.6*3.2*4.2*2.4*2.5*2.8*3.2*0.55,0)</f>
        <v>39315256996</v>
      </c>
      <c r="AG207" s="3">
        <f t="shared" si="107"/>
        <v>148</v>
      </c>
      <c r="AH207" s="10">
        <f>ROUND($J207*1.637*1.75*2.1*2.3*2.6*3.2*4.2*2.4*2.5*2.8*3.2*3.8*0.55,0)</f>
        <v>149397976585</v>
      </c>
    </row>
    <row r="208" spans="1:34" x14ac:dyDescent="0.3">
      <c r="A208" s="2">
        <v>277</v>
      </c>
      <c r="B208" s="2" t="s">
        <v>335</v>
      </c>
      <c r="C208" s="2" t="s">
        <v>228</v>
      </c>
      <c r="D208" s="2" t="s">
        <v>79</v>
      </c>
      <c r="E208" s="2">
        <v>121</v>
      </c>
      <c r="F208" s="2" t="s">
        <v>54</v>
      </c>
      <c r="G208" s="2" t="s">
        <v>218</v>
      </c>
      <c r="H208" s="2">
        <v>30</v>
      </c>
      <c r="I208" s="3">
        <v>121</v>
      </c>
      <c r="J208" s="4">
        <v>2980000</v>
      </c>
      <c r="K208" s="5">
        <f t="shared" si="96"/>
        <v>122</v>
      </c>
      <c r="L208" s="9">
        <f>ROUND($J208*1.637*1,0)</f>
        <v>4878260</v>
      </c>
      <c r="M208" s="3">
        <f t="shared" si="97"/>
        <v>123</v>
      </c>
      <c r="N208" s="10">
        <f>ROUND($J208*1.637*1.75*1,0)</f>
        <v>8536955</v>
      </c>
      <c r="O208" s="5">
        <f t="shared" si="98"/>
        <v>125</v>
      </c>
      <c r="P208" s="9">
        <f>ROUND($J208*1.637*1.75*2.1*1,0)</f>
        <v>17927606</v>
      </c>
      <c r="Q208" s="3">
        <f t="shared" si="99"/>
        <v>127</v>
      </c>
      <c r="R208" s="10">
        <f>ROUND($J208*1.637*1.75*2.1*2.3*1,0)</f>
        <v>41233493</v>
      </c>
      <c r="S208" s="5">
        <f t="shared" si="100"/>
        <v>129</v>
      </c>
      <c r="T208" s="9">
        <f>ROUND($J208*1.637*1.75*2.1*2.3*2.6*1,0)</f>
        <v>107207081</v>
      </c>
      <c r="U208" s="3">
        <f t="shared" si="101"/>
        <v>132</v>
      </c>
      <c r="V208" s="10">
        <f>ROUND($J208*1.637*1.75*2.1*2.3*2.6*3.2*1,0)</f>
        <v>343062659</v>
      </c>
      <c r="W208" s="5">
        <f t="shared" si="102"/>
        <v>136</v>
      </c>
      <c r="X208" s="9">
        <f>ROUND($J208*1.637*1.75*2.1*2.3*2.6*3.2*4.2*1,0)</f>
        <v>1440863167</v>
      </c>
      <c r="Y208" s="3">
        <f t="shared" si="103"/>
        <v>138</v>
      </c>
      <c r="Z208" s="10">
        <f>ROUND($J208*1.637*1.75*2.1*2.3*2.6*3.2*4.2*2.4*1,0)</f>
        <v>3458071601</v>
      </c>
      <c r="AA208" s="5">
        <f t="shared" si="104"/>
        <v>140</v>
      </c>
      <c r="AB208" s="9">
        <f>ROUND($J208*1.637*1.75*2.1*2.3*2.6*3.2*4.2*2.4*2.5*1,0)</f>
        <v>8645179003</v>
      </c>
      <c r="AC208" s="3">
        <f t="shared" si="105"/>
        <v>142</v>
      </c>
      <c r="AD208" s="10">
        <f>ROUND($J208*1.637*1.75*2.1*2.3*2.6*3.2*4.2*2.4*2.5*2.8*1,0)</f>
        <v>24206501208</v>
      </c>
      <c r="AE208" s="5">
        <f t="shared" si="106"/>
        <v>145</v>
      </c>
      <c r="AF208" s="9">
        <f>ROUND($J208*1.637*1.75*2.1*2.3*2.6*3.2*4.2*2.4*2.5*2.8*3.2*1,0)</f>
        <v>77460803867</v>
      </c>
      <c r="AG208" s="3">
        <f t="shared" si="107"/>
        <v>148</v>
      </c>
      <c r="AH208" s="10">
        <f>ROUND($J208*1.637*1.75*2.1*2.3*2.6*3.2*4.2*2.4*2.5*2.8*3.2*3.8*1,0)</f>
        <v>294351054693</v>
      </c>
    </row>
    <row r="209" spans="1:34" x14ac:dyDescent="0.3">
      <c r="A209" s="2">
        <v>205</v>
      </c>
      <c r="B209" s="2" t="s">
        <v>336</v>
      </c>
      <c r="C209" s="2" t="s">
        <v>228</v>
      </c>
      <c r="D209" s="2" t="s">
        <v>25</v>
      </c>
      <c r="E209" s="2">
        <v>121</v>
      </c>
      <c r="F209" s="2" t="s">
        <v>54</v>
      </c>
      <c r="G209" s="2" t="s">
        <v>337</v>
      </c>
      <c r="H209" s="2">
        <v>30</v>
      </c>
      <c r="I209" s="3">
        <v>121</v>
      </c>
      <c r="J209" s="4">
        <v>2390000</v>
      </c>
      <c r="K209" s="5">
        <f t="shared" si="96"/>
        <v>122</v>
      </c>
      <c r="L209" s="9">
        <f>ROUND($J209*1.637*0.8,0)</f>
        <v>3129944</v>
      </c>
      <c r="M209" s="3">
        <f t="shared" si="97"/>
        <v>123</v>
      </c>
      <c r="N209" s="10">
        <f>ROUND($J209*1.637*1.75*0.8,0)</f>
        <v>5477402</v>
      </c>
      <c r="O209" s="5">
        <f t="shared" si="98"/>
        <v>125</v>
      </c>
      <c r="P209" s="9">
        <f>ROUND($J209*1.637*1.75*2.1*0.8,0)</f>
        <v>11502544</v>
      </c>
      <c r="Q209" s="3">
        <f t="shared" si="99"/>
        <v>127</v>
      </c>
      <c r="R209" s="10">
        <f>ROUND($J209*1.637*1.75*2.1*2.3*0.542035092435954,0)</f>
        <v>17925000</v>
      </c>
      <c r="S209" s="5">
        <f t="shared" si="100"/>
        <v>129</v>
      </c>
      <c r="T209" s="9">
        <f>ROUND($J209*1.637*1.75*2.1*2.3*2.6*0.544690061623969,0)</f>
        <v>46833278</v>
      </c>
      <c r="U209" s="3">
        <f t="shared" si="101"/>
        <v>132</v>
      </c>
      <c r="V209" s="10">
        <f>ROUND($J209*1.637*1.75*2.1*2.3*2.6*3.2*0.547345030811984,0)</f>
        <v>150596981</v>
      </c>
      <c r="W209" s="5">
        <f t="shared" si="102"/>
        <v>136</v>
      </c>
      <c r="X209" s="9">
        <f>ROUND($J209*1.637*1.75*2.1*2.3*2.6*3.2*4.2*0.55,0)</f>
        <v>635575380</v>
      </c>
      <c r="Y209" s="3">
        <f t="shared" si="103"/>
        <v>138</v>
      </c>
      <c r="Z209" s="10">
        <f>ROUND($J209*1.637*1.75*2.1*2.3*2.6*3.2*4.2*2.4*0.55,0)</f>
        <v>1525380913</v>
      </c>
      <c r="AA209" s="5">
        <f t="shared" si="104"/>
        <v>140</v>
      </c>
      <c r="AB209" s="9">
        <f>ROUND($J209*1.637*1.75*2.1*2.3*2.6*3.2*4.2*2.4*2.5*0.55,0)</f>
        <v>3813452282</v>
      </c>
      <c r="AC209" s="3">
        <f t="shared" si="105"/>
        <v>142</v>
      </c>
      <c r="AD209" s="10">
        <f>ROUND($J209*1.637*1.75*2.1*2.3*2.6*3.2*4.2*2.4*2.5*2.8*0.55,0)</f>
        <v>10677666389</v>
      </c>
      <c r="AE209" s="5">
        <f t="shared" si="106"/>
        <v>145</v>
      </c>
      <c r="AF209" s="9">
        <f>ROUND($J209*1.637*1.75*2.1*2.3*2.6*3.2*4.2*2.4*2.5*2.8*3.2*0.55,0)</f>
        <v>34168532444</v>
      </c>
      <c r="AG209" s="3">
        <f t="shared" si="107"/>
        <v>148</v>
      </c>
      <c r="AH209" s="10">
        <f>ROUND($J209*1.637*1.75*2.1*2.3*2.6*3.2*4.2*2.4*2.5*2.8*3.2*3.8*0.55,0)</f>
        <v>129840423287</v>
      </c>
    </row>
    <row r="210" spans="1:34" x14ac:dyDescent="0.3">
      <c r="A210" s="2">
        <v>157</v>
      </c>
      <c r="B210" s="2" t="s">
        <v>338</v>
      </c>
      <c r="C210" s="2" t="s">
        <v>228</v>
      </c>
      <c r="D210" s="2" t="s">
        <v>75</v>
      </c>
      <c r="E210" s="2">
        <v>121</v>
      </c>
      <c r="F210" s="2" t="s">
        <v>71</v>
      </c>
      <c r="G210" s="2" t="s">
        <v>339</v>
      </c>
      <c r="H210" s="2">
        <v>31</v>
      </c>
      <c r="I210" s="3">
        <v>121</v>
      </c>
      <c r="J210" s="4">
        <v>4590000</v>
      </c>
      <c r="K210" s="5">
        <f t="shared" si="96"/>
        <v>122</v>
      </c>
      <c r="L210" s="9">
        <f>ROUND($J210*1.637*1,0)</f>
        <v>7513830</v>
      </c>
      <c r="M210" s="3">
        <f t="shared" si="97"/>
        <v>123</v>
      </c>
      <c r="N210" s="10">
        <f>ROUND($J210*1.637*1.75*1,0)</f>
        <v>13149203</v>
      </c>
      <c r="O210" s="5">
        <f t="shared" si="98"/>
        <v>125</v>
      </c>
      <c r="P210" s="9">
        <f>ROUND($J210*1.637*1.75*2.1*1,0)</f>
        <v>27613325</v>
      </c>
      <c r="Q210" s="3">
        <f t="shared" si="99"/>
        <v>127</v>
      </c>
      <c r="R210" s="10">
        <f>ROUND($J210*1.637*1.75*2.1*2.3*1,0)</f>
        <v>63510648</v>
      </c>
      <c r="S210" s="5">
        <f t="shared" si="100"/>
        <v>129</v>
      </c>
      <c r="T210" s="9">
        <f>ROUND($J210*1.637*1.75*2.1*2.3*2.6*1,0)</f>
        <v>165127685</v>
      </c>
      <c r="U210" s="3">
        <f t="shared" si="101"/>
        <v>132</v>
      </c>
      <c r="V210" s="10">
        <f>ROUND($J210*1.637*1.75*2.1*2.3*2.6*3.2*1,0)</f>
        <v>528408592</v>
      </c>
      <c r="W210" s="5">
        <f t="shared" si="102"/>
        <v>136</v>
      </c>
      <c r="X210" s="9">
        <f>ROUND($J210*1.637*1.75*2.1*2.3*2.6*3.2*4.2*1,0)</f>
        <v>2219316086</v>
      </c>
      <c r="Y210" s="3">
        <f t="shared" si="103"/>
        <v>138</v>
      </c>
      <c r="Z210" s="10">
        <f>ROUND($J210*1.637*1.75*2.1*2.3*2.6*3.2*4.2*2.4*1,0)</f>
        <v>5326358607</v>
      </c>
      <c r="AA210" s="5">
        <f t="shared" si="104"/>
        <v>140</v>
      </c>
      <c r="AB210" s="9">
        <f>ROUND($J210*1.637*1.75*2.1*2.3*2.6*3.2*4.2*2.4*2.5*1,0)</f>
        <v>13315896518</v>
      </c>
      <c r="AC210" s="3">
        <f t="shared" si="105"/>
        <v>142</v>
      </c>
      <c r="AD210" s="10">
        <f>ROUND($J210*1.637*1.75*2.1*2.3*2.6*3.2*4.2*2.4*2.5*2.8*1,0)</f>
        <v>37284510250</v>
      </c>
      <c r="AE210" s="5">
        <f t="shared" si="106"/>
        <v>145</v>
      </c>
      <c r="AF210" s="9">
        <f>ROUND($J210*1.637*1.75*2.1*2.3*2.6*3.2*4.2*2.4*2.5*2.8*3.2*1,0)</f>
        <v>119310432801</v>
      </c>
      <c r="AG210" s="3">
        <f t="shared" si="107"/>
        <v>148</v>
      </c>
      <c r="AH210" s="10">
        <f>ROUND($J210*1.637*1.75*2.1*2.3*2.6*3.2*4.2*2.4*2.5*2.8*3.2*3.8*1,0)</f>
        <v>453379644645</v>
      </c>
    </row>
    <row r="211" spans="1:34" x14ac:dyDescent="0.3">
      <c r="A211" s="2">
        <v>193</v>
      </c>
      <c r="B211" s="2" t="s">
        <v>340</v>
      </c>
      <c r="C211" s="2" t="s">
        <v>228</v>
      </c>
      <c r="D211" s="2" t="s">
        <v>79</v>
      </c>
      <c r="E211" s="2">
        <v>121</v>
      </c>
      <c r="F211" s="2" t="s">
        <v>341</v>
      </c>
      <c r="G211" s="2" t="s">
        <v>342</v>
      </c>
      <c r="H211" s="2">
        <v>31</v>
      </c>
      <c r="I211" s="3">
        <v>121</v>
      </c>
      <c r="J211" s="4">
        <v>2750000</v>
      </c>
      <c r="K211" s="5">
        <f t="shared" si="96"/>
        <v>122</v>
      </c>
      <c r="L211" s="9">
        <f>ROUND($J211*1.637*0.8,0)</f>
        <v>3601400</v>
      </c>
      <c r="M211" s="3">
        <f t="shared" si="97"/>
        <v>123</v>
      </c>
      <c r="N211" s="10">
        <f>ROUND($J211*1.637*1.75*0.8,0)</f>
        <v>6302450</v>
      </c>
      <c r="O211" s="5">
        <f t="shared" si="98"/>
        <v>125</v>
      </c>
      <c r="P211" s="9">
        <f>ROUND($J211*1.637*1.75*2.1*0.8,0)</f>
        <v>13235145</v>
      </c>
      <c r="Q211" s="3">
        <f t="shared" si="99"/>
        <v>127</v>
      </c>
      <c r="R211" s="10">
        <f>ROUND($J211*1.637*1.75*2.1*2.3*0.542035092435954,0)</f>
        <v>20625000</v>
      </c>
      <c r="S211" s="5">
        <f t="shared" si="100"/>
        <v>129</v>
      </c>
      <c r="T211" s="9">
        <f>ROUND($J211*1.637*1.75*2.1*2.3*2.6*0.544690061623969,0)</f>
        <v>53887663</v>
      </c>
      <c r="U211" s="3">
        <f t="shared" si="101"/>
        <v>132</v>
      </c>
      <c r="V211" s="10">
        <f>ROUND($J211*1.637*1.75*2.1*2.3*2.6*3.2*0.547345030811984,0)</f>
        <v>173281045</v>
      </c>
      <c r="W211" s="5">
        <f t="shared" si="102"/>
        <v>136</v>
      </c>
      <c r="X211" s="9">
        <f>ROUND($J211*1.637*1.75*2.1*2.3*2.6*3.2*4.2*0.55,0)</f>
        <v>731310584</v>
      </c>
      <c r="Y211" s="3">
        <f t="shared" si="103"/>
        <v>138</v>
      </c>
      <c r="Z211" s="10">
        <f>ROUND($J211*1.637*1.75*2.1*2.3*2.6*3.2*4.2*2.4*0.55,0)</f>
        <v>1755145402</v>
      </c>
      <c r="AA211" s="5">
        <f t="shared" si="104"/>
        <v>140</v>
      </c>
      <c r="AB211" s="9">
        <f>ROUND($J211*1.637*1.75*2.1*2.3*2.6*3.2*4.2*2.4*2.5*0.55,0)</f>
        <v>4387863504</v>
      </c>
      <c r="AC211" s="3">
        <f t="shared" si="105"/>
        <v>142</v>
      </c>
      <c r="AD211" s="10">
        <f>ROUND($J211*1.637*1.75*2.1*2.3*2.6*3.2*4.2*2.4*2.5*2.8*0.55,0)</f>
        <v>12286017811</v>
      </c>
      <c r="AE211" s="5">
        <f t="shared" si="106"/>
        <v>145</v>
      </c>
      <c r="AF211" s="9">
        <f>ROUND($J211*1.637*1.75*2.1*2.3*2.6*3.2*4.2*2.4*2.5*2.8*3.2*0.55,0)</f>
        <v>39315256996</v>
      </c>
      <c r="AG211" s="3">
        <f t="shared" si="107"/>
        <v>148</v>
      </c>
      <c r="AH211" s="10">
        <f>ROUND($J211*1.637*1.75*2.1*2.3*2.6*3.2*4.2*2.4*2.5*2.8*3.2*3.8*0.55,0)</f>
        <v>149397976585</v>
      </c>
    </row>
    <row r="212" spans="1:34" x14ac:dyDescent="0.3">
      <c r="A212" s="2">
        <v>199</v>
      </c>
      <c r="B212" s="2" t="s">
        <v>343</v>
      </c>
      <c r="C212" s="2" t="s">
        <v>228</v>
      </c>
      <c r="D212" s="2" t="s">
        <v>33</v>
      </c>
      <c r="E212" s="2">
        <v>121</v>
      </c>
      <c r="F212" s="2" t="s">
        <v>97</v>
      </c>
      <c r="G212" s="2" t="s">
        <v>104</v>
      </c>
      <c r="H212" s="2">
        <v>30</v>
      </c>
      <c r="I212" s="3">
        <v>121</v>
      </c>
      <c r="J212" s="4">
        <v>2360000</v>
      </c>
      <c r="K212" s="5">
        <f t="shared" si="96"/>
        <v>122</v>
      </c>
      <c r="L212" s="9">
        <f>ROUND($J212*1.637*0.8,0)</f>
        <v>3090656</v>
      </c>
      <c r="M212" s="3">
        <f t="shared" si="97"/>
        <v>123</v>
      </c>
      <c r="N212" s="10">
        <f>ROUND($J212*1.637*1.75*0.8,0)</f>
        <v>5408648</v>
      </c>
      <c r="O212" s="5">
        <f t="shared" si="98"/>
        <v>125</v>
      </c>
      <c r="P212" s="9">
        <f>ROUND($J212*1.637*1.75*2.1*0.8,0)</f>
        <v>11358161</v>
      </c>
      <c r="Q212" s="3">
        <f t="shared" si="99"/>
        <v>127</v>
      </c>
      <c r="R212" s="10">
        <f>ROUND($J212*1.637*1.75*2.1*2.3*0.542035092435954,0)</f>
        <v>17700000</v>
      </c>
      <c r="S212" s="5">
        <f t="shared" si="100"/>
        <v>129</v>
      </c>
      <c r="T212" s="9">
        <f>ROUND($J212*1.637*1.75*2.1*2.3*2.6*0.544690061623969,0)</f>
        <v>46245413</v>
      </c>
      <c r="U212" s="3">
        <f t="shared" si="101"/>
        <v>132</v>
      </c>
      <c r="V212" s="10">
        <f>ROUND($J212*1.637*1.75*2.1*2.3*2.6*3.2*0.547345030811984,0)</f>
        <v>148706642</v>
      </c>
      <c r="W212" s="5">
        <f t="shared" si="102"/>
        <v>136</v>
      </c>
      <c r="X212" s="9">
        <f>ROUND($J212*1.637*1.75*2.1*2.3*2.6*3.2*4.2*0.55,0)</f>
        <v>627597447</v>
      </c>
      <c r="Y212" s="3">
        <f t="shared" si="103"/>
        <v>138</v>
      </c>
      <c r="Z212" s="10">
        <f>ROUND($J212*1.637*1.75*2.1*2.3*2.6*3.2*4.2*2.4*0.55,0)</f>
        <v>1506233872</v>
      </c>
      <c r="AA212" s="5">
        <f t="shared" si="104"/>
        <v>140</v>
      </c>
      <c r="AB212" s="9">
        <f>ROUND($J212*1.637*1.75*2.1*2.3*2.6*3.2*4.2*2.4*2.5*0.55,0)</f>
        <v>3765584680</v>
      </c>
      <c r="AC212" s="3">
        <f t="shared" si="105"/>
        <v>142</v>
      </c>
      <c r="AD212" s="10">
        <f>ROUND($J212*1.637*1.75*2.1*2.3*2.6*3.2*4.2*2.4*2.5*2.8*0.55,0)</f>
        <v>10543637103</v>
      </c>
      <c r="AE212" s="5">
        <f t="shared" si="106"/>
        <v>145</v>
      </c>
      <c r="AF212" s="9">
        <f>ROUND($J212*1.637*1.75*2.1*2.3*2.6*3.2*4.2*2.4*2.5*2.8*3.2*0.55,0)</f>
        <v>33739638731</v>
      </c>
      <c r="AG212" s="3">
        <f t="shared" si="107"/>
        <v>148</v>
      </c>
      <c r="AH212" s="10">
        <f>ROUND($J212*1.637*1.75*2.1*2.3*2.6*3.2*4.2*2.4*2.5*2.8*3.2*3.8*0.55,0)</f>
        <v>128210627178</v>
      </c>
    </row>
    <row r="213" spans="1:34" x14ac:dyDescent="0.3">
      <c r="A213" s="2">
        <v>210</v>
      </c>
      <c r="B213" s="2" t="s">
        <v>344</v>
      </c>
      <c r="C213" s="2" t="s">
        <v>228</v>
      </c>
      <c r="D213" s="2" t="s">
        <v>47</v>
      </c>
      <c r="E213" s="2">
        <v>121</v>
      </c>
      <c r="F213" s="2" t="s">
        <v>345</v>
      </c>
      <c r="G213" s="2" t="s">
        <v>346</v>
      </c>
      <c r="H213" s="2">
        <v>27</v>
      </c>
      <c r="I213" s="3">
        <v>121</v>
      </c>
      <c r="J213" s="4">
        <v>2360000</v>
      </c>
      <c r="K213" s="5">
        <f t="shared" si="96"/>
        <v>122</v>
      </c>
      <c r="L213" s="9">
        <f>ROUND($J213*1.637*0.8,0)</f>
        <v>3090656</v>
      </c>
      <c r="M213" s="3">
        <f t="shared" si="97"/>
        <v>123</v>
      </c>
      <c r="N213" s="10">
        <f>ROUND($J213*1.637*1.75*0.8,0)</f>
        <v>5408648</v>
      </c>
      <c r="O213" s="5">
        <f t="shared" si="98"/>
        <v>125</v>
      </c>
      <c r="P213" s="9">
        <f>ROUND($J213*1.637*1.75*2.1*0.8,0)</f>
        <v>11358161</v>
      </c>
      <c r="Q213" s="3">
        <f t="shared" si="99"/>
        <v>127</v>
      </c>
      <c r="R213" s="10">
        <f>ROUND($J213*1.637*1.75*2.1*2.3*0.542035092435954,0)</f>
        <v>17700000</v>
      </c>
      <c r="S213" s="5">
        <f t="shared" si="100"/>
        <v>129</v>
      </c>
      <c r="T213" s="9">
        <f>ROUND($J213*1.637*1.75*2.1*2.3*2.6*0.544690061623969,0)</f>
        <v>46245413</v>
      </c>
      <c r="U213" s="3">
        <f t="shared" si="101"/>
        <v>132</v>
      </c>
      <c r="V213" s="10">
        <f>ROUND($J213*1.637*1.75*2.1*2.3*2.6*3.2*0.547345030811984,0)</f>
        <v>148706642</v>
      </c>
      <c r="W213" s="5">
        <f t="shared" si="102"/>
        <v>136</v>
      </c>
      <c r="X213" s="9">
        <f>ROUND($J213*1.637*1.75*2.1*2.3*2.6*3.2*4.2*0.55,0)</f>
        <v>627597447</v>
      </c>
      <c r="Y213" s="3">
        <f t="shared" si="103"/>
        <v>138</v>
      </c>
      <c r="Z213" s="10">
        <f>ROUND($J213*1.637*1.75*2.1*2.3*2.6*3.2*4.2*2.4*0.55,0)</f>
        <v>1506233872</v>
      </c>
      <c r="AA213" s="5">
        <f t="shared" si="104"/>
        <v>140</v>
      </c>
      <c r="AB213" s="9">
        <f>ROUND($J213*1.637*1.75*2.1*2.3*2.6*3.2*4.2*2.4*2.5*0.55,0)</f>
        <v>3765584680</v>
      </c>
      <c r="AC213" s="3">
        <f t="shared" si="105"/>
        <v>142</v>
      </c>
      <c r="AD213" s="10">
        <f>ROUND($J213*1.637*1.75*2.1*2.3*2.6*3.2*4.2*2.4*2.5*2.8*0.55,0)</f>
        <v>10543637103</v>
      </c>
      <c r="AE213" s="5">
        <f t="shared" si="106"/>
        <v>145</v>
      </c>
      <c r="AF213" s="9">
        <f>ROUND($J213*1.637*1.75*2.1*2.3*2.6*3.2*4.2*2.4*2.5*2.8*3.2*0.55,0)</f>
        <v>33739638731</v>
      </c>
      <c r="AG213" s="3">
        <f t="shared" si="107"/>
        <v>148</v>
      </c>
      <c r="AH213" s="10">
        <f>ROUND($J213*1.637*1.75*2.1*2.3*2.6*3.2*4.2*2.4*2.5*2.8*3.2*3.8*0.55,0)</f>
        <v>128210627178</v>
      </c>
    </row>
    <row r="214" spans="1:34" x14ac:dyDescent="0.3">
      <c r="A214" s="2">
        <v>188</v>
      </c>
      <c r="B214" s="2" t="s">
        <v>347</v>
      </c>
      <c r="C214" s="2" t="s">
        <v>228</v>
      </c>
      <c r="D214" s="2" t="s">
        <v>29</v>
      </c>
      <c r="E214" s="2">
        <v>121</v>
      </c>
      <c r="F214" s="2" t="s">
        <v>123</v>
      </c>
      <c r="G214" s="2" t="s">
        <v>342</v>
      </c>
      <c r="H214" s="2">
        <v>32</v>
      </c>
      <c r="I214" s="3">
        <v>121</v>
      </c>
      <c r="J214" s="4">
        <v>2750000</v>
      </c>
      <c r="K214" s="5">
        <f t="shared" si="96"/>
        <v>122</v>
      </c>
      <c r="L214" s="9">
        <f>ROUND($J214*1.637*1,0)</f>
        <v>4501750</v>
      </c>
      <c r="M214" s="3">
        <f t="shared" si="97"/>
        <v>123</v>
      </c>
      <c r="N214" s="10">
        <f>ROUND($J214*1.637*1.75*1,0)</f>
        <v>7878063</v>
      </c>
      <c r="O214" s="5">
        <f t="shared" si="98"/>
        <v>125</v>
      </c>
      <c r="P214" s="9">
        <f>ROUND($J214*1.637*1.75*2.1*1,0)</f>
        <v>16543931</v>
      </c>
      <c r="Q214" s="3">
        <f t="shared" si="99"/>
        <v>127</v>
      </c>
      <c r="R214" s="10">
        <f>ROUND($J214*1.637*1.75*2.1*2.3*1.25,0)</f>
        <v>47563802</v>
      </c>
      <c r="S214" s="5">
        <f t="shared" si="100"/>
        <v>129</v>
      </c>
      <c r="T214" s="9">
        <f>ROUND($J214*1.637*1.75*2.1*2.3*2.6*1.25,0)</f>
        <v>123665886</v>
      </c>
      <c r="U214" s="3">
        <f t="shared" si="101"/>
        <v>132</v>
      </c>
      <c r="V214" s="10">
        <f>ROUND($J214*1.637*1.75*2.1*2.3*2.6*3.2*1.25,0)</f>
        <v>395730836</v>
      </c>
      <c r="W214" s="5">
        <f t="shared" si="102"/>
        <v>136</v>
      </c>
      <c r="X214" s="9">
        <f>ROUND($J214*1.637*1.75*2.1*2.3*2.6*3.2*4.2*1.25,0)</f>
        <v>1662069509</v>
      </c>
      <c r="Y214" s="3">
        <f t="shared" si="103"/>
        <v>138</v>
      </c>
      <c r="Z214" s="10">
        <f>ROUND($J214*1.637*1.75*2.1*2.3*2.6*3.2*4.2*2.4*1.25,0)</f>
        <v>3988966822</v>
      </c>
      <c r="AA214" s="5">
        <f t="shared" si="104"/>
        <v>140</v>
      </c>
      <c r="AB214" s="9">
        <f>ROUND($J214*1.637*1.75*2.1*2.3*2.6*3.2*4.2*2.4*2.5*1.25,0)</f>
        <v>9972417055</v>
      </c>
      <c r="AC214" s="3">
        <f t="shared" si="105"/>
        <v>142</v>
      </c>
      <c r="AD214" s="10">
        <f>ROUND($J214*1.637*1.75*2.1*2.3*2.6*3.2*4.2*2.4*2.5*2.8*1.25,0)</f>
        <v>27922767753</v>
      </c>
      <c r="AE214" s="5">
        <f t="shared" si="106"/>
        <v>145</v>
      </c>
      <c r="AF214" s="9">
        <f>ROUND($J214*1.637*1.75*2.1*2.3*2.6*3.2*4.2*2.4*2.5*2.8*3.2*1.25,0)</f>
        <v>89352856809</v>
      </c>
      <c r="AG214" s="3">
        <f t="shared" si="107"/>
        <v>148</v>
      </c>
      <c r="AH214" s="10">
        <f>ROUND($J214*1.637*1.75*2.1*2.3*2.6*3.2*4.2*2.4*2.5*2.8*3.2*3.8*1.25,0)</f>
        <v>339540855875</v>
      </c>
    </row>
    <row r="215" spans="1:34" x14ac:dyDescent="0.3">
      <c r="A215" s="2">
        <v>204</v>
      </c>
      <c r="B215" s="2" t="s">
        <v>348</v>
      </c>
      <c r="C215" s="2" t="s">
        <v>228</v>
      </c>
      <c r="D215" s="2" t="s">
        <v>64</v>
      </c>
      <c r="E215" s="2">
        <v>121</v>
      </c>
      <c r="F215" s="2" t="s">
        <v>132</v>
      </c>
      <c r="G215" s="2" t="s">
        <v>349</v>
      </c>
      <c r="H215" s="2">
        <v>30</v>
      </c>
      <c r="I215" s="3">
        <v>121</v>
      </c>
      <c r="J215" s="4">
        <v>2780000</v>
      </c>
      <c r="K215" s="5">
        <f t="shared" si="96"/>
        <v>122</v>
      </c>
      <c r="L215" s="9">
        <f t="shared" ref="L215:L222" si="108">ROUND($J215*1.637*0.8,0)</f>
        <v>3640688</v>
      </c>
      <c r="M215" s="3">
        <f t="shared" si="97"/>
        <v>123</v>
      </c>
      <c r="N215" s="10">
        <f t="shared" ref="N215:N222" si="109">ROUND($J215*1.637*1.75*0.8,0)</f>
        <v>6371204</v>
      </c>
      <c r="O215" s="5">
        <f t="shared" si="98"/>
        <v>125</v>
      </c>
      <c r="P215" s="9">
        <f t="shared" ref="P215:P222" si="110">ROUND($J215*1.637*1.75*2.1*0.8,0)</f>
        <v>13379528</v>
      </c>
      <c r="Q215" s="3">
        <f t="shared" si="99"/>
        <v>127</v>
      </c>
      <c r="R215" s="10">
        <f t="shared" ref="R215:R222" si="111">ROUND($J215*1.637*1.75*2.1*2.3*0.542035092435954,0)</f>
        <v>20850000</v>
      </c>
      <c r="S215" s="5">
        <f t="shared" si="100"/>
        <v>129</v>
      </c>
      <c r="T215" s="9">
        <f t="shared" ref="T215:T222" si="112">ROUND($J215*1.637*1.75*2.1*2.3*2.6*0.544690061623969,0)</f>
        <v>54475529</v>
      </c>
      <c r="U215" s="3">
        <f t="shared" si="101"/>
        <v>132</v>
      </c>
      <c r="V215" s="10">
        <f t="shared" ref="V215:V222" si="113">ROUND($J215*1.637*1.75*2.1*2.3*2.6*3.2*0.547345030811984,0)</f>
        <v>175171384</v>
      </c>
      <c r="W215" s="5">
        <f t="shared" si="102"/>
        <v>136</v>
      </c>
      <c r="X215" s="9">
        <f t="shared" ref="X215:X222" si="114">ROUND($J215*1.637*1.75*2.1*2.3*2.6*3.2*4.2*0.55,0)</f>
        <v>739288518</v>
      </c>
      <c r="Y215" s="3">
        <f t="shared" si="103"/>
        <v>138</v>
      </c>
      <c r="Z215" s="10">
        <f t="shared" ref="Z215:Z222" si="115">ROUND($J215*1.637*1.75*2.1*2.3*2.6*3.2*4.2*2.4*0.55,0)</f>
        <v>1774292442</v>
      </c>
      <c r="AA215" s="5">
        <f t="shared" si="104"/>
        <v>140</v>
      </c>
      <c r="AB215" s="9">
        <f t="shared" ref="AB215:AB222" si="116">ROUND($J215*1.637*1.75*2.1*2.3*2.6*3.2*4.2*2.4*2.5*0.55,0)</f>
        <v>4435731106</v>
      </c>
      <c r="AC215" s="3">
        <f t="shared" si="105"/>
        <v>142</v>
      </c>
      <c r="AD215" s="10">
        <f t="shared" ref="AD215:AD222" si="117">ROUND($J215*1.637*1.75*2.1*2.3*2.6*3.2*4.2*2.4*2.5*2.8*0.55,0)</f>
        <v>12420047096</v>
      </c>
      <c r="AE215" s="5">
        <f t="shared" si="106"/>
        <v>145</v>
      </c>
      <c r="AF215" s="9">
        <f t="shared" ref="AF215:AF222" si="118">ROUND($J215*1.637*1.75*2.1*2.3*2.6*3.2*4.2*2.4*2.5*2.8*3.2*0.55,0)</f>
        <v>39744150709</v>
      </c>
      <c r="AG215" s="3">
        <f t="shared" si="107"/>
        <v>148</v>
      </c>
      <c r="AH215" s="10">
        <f t="shared" ref="AH215:AH222" si="119">ROUND($J215*1.637*1.75*2.1*2.3*2.6*3.2*4.2*2.4*2.5*2.8*3.2*3.8*0.55,0)</f>
        <v>151027772693</v>
      </c>
    </row>
    <row r="216" spans="1:34" x14ac:dyDescent="0.3">
      <c r="A216" s="2">
        <v>187</v>
      </c>
      <c r="B216" s="2" t="s">
        <v>350</v>
      </c>
      <c r="C216" s="2" t="s">
        <v>228</v>
      </c>
      <c r="D216" s="2" t="s">
        <v>40</v>
      </c>
      <c r="E216" s="2">
        <v>121</v>
      </c>
      <c r="F216" s="2" t="s">
        <v>56</v>
      </c>
      <c r="G216" s="2" t="s">
        <v>351</v>
      </c>
      <c r="H216" s="2">
        <v>32</v>
      </c>
      <c r="I216" s="3">
        <v>121</v>
      </c>
      <c r="J216" s="4">
        <v>2390000</v>
      </c>
      <c r="K216" s="5">
        <f t="shared" si="96"/>
        <v>122</v>
      </c>
      <c r="L216" s="9">
        <f t="shared" si="108"/>
        <v>3129944</v>
      </c>
      <c r="M216" s="3">
        <f t="shared" si="97"/>
        <v>123</v>
      </c>
      <c r="N216" s="10">
        <f t="shared" si="109"/>
        <v>5477402</v>
      </c>
      <c r="O216" s="5">
        <f t="shared" si="98"/>
        <v>125</v>
      </c>
      <c r="P216" s="9">
        <f t="shared" si="110"/>
        <v>11502544</v>
      </c>
      <c r="Q216" s="3">
        <f t="shared" si="99"/>
        <v>127</v>
      </c>
      <c r="R216" s="10">
        <f t="shared" si="111"/>
        <v>17925000</v>
      </c>
      <c r="S216" s="5">
        <f t="shared" si="100"/>
        <v>129</v>
      </c>
      <c r="T216" s="9">
        <f t="shared" si="112"/>
        <v>46833278</v>
      </c>
      <c r="U216" s="3">
        <f t="shared" si="101"/>
        <v>132</v>
      </c>
      <c r="V216" s="10">
        <f t="shared" si="113"/>
        <v>150596981</v>
      </c>
      <c r="W216" s="5">
        <f t="shared" si="102"/>
        <v>136</v>
      </c>
      <c r="X216" s="9">
        <f t="shared" si="114"/>
        <v>635575380</v>
      </c>
      <c r="Y216" s="3">
        <f t="shared" si="103"/>
        <v>138</v>
      </c>
      <c r="Z216" s="10">
        <f t="shared" si="115"/>
        <v>1525380913</v>
      </c>
      <c r="AA216" s="5">
        <f t="shared" si="104"/>
        <v>140</v>
      </c>
      <c r="AB216" s="9">
        <f t="shared" si="116"/>
        <v>3813452282</v>
      </c>
      <c r="AC216" s="3">
        <f t="shared" si="105"/>
        <v>142</v>
      </c>
      <c r="AD216" s="10">
        <f t="shared" si="117"/>
        <v>10677666389</v>
      </c>
      <c r="AE216" s="5">
        <f t="shared" si="106"/>
        <v>145</v>
      </c>
      <c r="AF216" s="9">
        <f t="shared" si="118"/>
        <v>34168532444</v>
      </c>
      <c r="AG216" s="3">
        <f t="shared" si="107"/>
        <v>148</v>
      </c>
      <c r="AH216" s="10">
        <f t="shared" si="119"/>
        <v>129840423287</v>
      </c>
    </row>
    <row r="217" spans="1:34" x14ac:dyDescent="0.3">
      <c r="A217" s="2">
        <v>195</v>
      </c>
      <c r="B217" s="2" t="s">
        <v>352</v>
      </c>
      <c r="C217" s="2" t="s">
        <v>228</v>
      </c>
      <c r="D217" s="2" t="s">
        <v>33</v>
      </c>
      <c r="E217" s="2">
        <v>121</v>
      </c>
      <c r="F217" s="2" t="s">
        <v>353</v>
      </c>
      <c r="G217" s="2" t="s">
        <v>354</v>
      </c>
      <c r="H217" s="2">
        <v>31</v>
      </c>
      <c r="I217" s="3">
        <v>121</v>
      </c>
      <c r="J217" s="4">
        <v>2750000</v>
      </c>
      <c r="K217" s="5">
        <f t="shared" si="96"/>
        <v>122</v>
      </c>
      <c r="L217" s="9">
        <f t="shared" si="108"/>
        <v>3601400</v>
      </c>
      <c r="M217" s="3">
        <f t="shared" si="97"/>
        <v>123</v>
      </c>
      <c r="N217" s="10">
        <f t="shared" si="109"/>
        <v>6302450</v>
      </c>
      <c r="O217" s="5">
        <f t="shared" si="98"/>
        <v>125</v>
      </c>
      <c r="P217" s="9">
        <f t="shared" si="110"/>
        <v>13235145</v>
      </c>
      <c r="Q217" s="3">
        <f t="shared" si="99"/>
        <v>127</v>
      </c>
      <c r="R217" s="10">
        <f t="shared" si="111"/>
        <v>20625000</v>
      </c>
      <c r="S217" s="5">
        <f t="shared" si="100"/>
        <v>129</v>
      </c>
      <c r="T217" s="9">
        <f t="shared" si="112"/>
        <v>53887663</v>
      </c>
      <c r="U217" s="3">
        <f t="shared" si="101"/>
        <v>132</v>
      </c>
      <c r="V217" s="10">
        <f t="shared" si="113"/>
        <v>173281045</v>
      </c>
      <c r="W217" s="5">
        <f t="shared" si="102"/>
        <v>136</v>
      </c>
      <c r="X217" s="9">
        <f t="shared" si="114"/>
        <v>731310584</v>
      </c>
      <c r="Y217" s="3">
        <f t="shared" si="103"/>
        <v>138</v>
      </c>
      <c r="Z217" s="10">
        <f t="shared" si="115"/>
        <v>1755145402</v>
      </c>
      <c r="AA217" s="5">
        <f t="shared" si="104"/>
        <v>140</v>
      </c>
      <c r="AB217" s="9">
        <f t="shared" si="116"/>
        <v>4387863504</v>
      </c>
      <c r="AC217" s="3">
        <f t="shared" si="105"/>
        <v>142</v>
      </c>
      <c r="AD217" s="10">
        <f t="shared" si="117"/>
        <v>12286017811</v>
      </c>
      <c r="AE217" s="5">
        <f t="shared" si="106"/>
        <v>145</v>
      </c>
      <c r="AF217" s="9">
        <f t="shared" si="118"/>
        <v>39315256996</v>
      </c>
      <c r="AG217" s="3">
        <f t="shared" si="107"/>
        <v>148</v>
      </c>
      <c r="AH217" s="10">
        <f t="shared" si="119"/>
        <v>149397976585</v>
      </c>
    </row>
    <row r="218" spans="1:34" x14ac:dyDescent="0.3">
      <c r="A218" s="2">
        <v>278</v>
      </c>
      <c r="B218" s="2" t="s">
        <v>355</v>
      </c>
      <c r="C218" s="2" t="s">
        <v>228</v>
      </c>
      <c r="D218" s="2" t="s">
        <v>40</v>
      </c>
      <c r="E218" s="2">
        <v>121</v>
      </c>
      <c r="F218" s="2" t="s">
        <v>26</v>
      </c>
      <c r="G218" s="2" t="s">
        <v>356</v>
      </c>
      <c r="H218" s="2">
        <v>30</v>
      </c>
      <c r="I218" s="3">
        <v>121</v>
      </c>
      <c r="J218" s="4">
        <v>2990000</v>
      </c>
      <c r="K218" s="5">
        <f t="shared" si="96"/>
        <v>122</v>
      </c>
      <c r="L218" s="9">
        <f t="shared" si="108"/>
        <v>3915704</v>
      </c>
      <c r="M218" s="3">
        <f t="shared" si="97"/>
        <v>123</v>
      </c>
      <c r="N218" s="10">
        <f t="shared" si="109"/>
        <v>6852482</v>
      </c>
      <c r="O218" s="5">
        <f t="shared" si="98"/>
        <v>125</v>
      </c>
      <c r="P218" s="9">
        <f t="shared" si="110"/>
        <v>14390212</v>
      </c>
      <c r="Q218" s="3">
        <f t="shared" si="99"/>
        <v>127</v>
      </c>
      <c r="R218" s="10">
        <f t="shared" si="111"/>
        <v>22425000</v>
      </c>
      <c r="S218" s="5">
        <f t="shared" si="100"/>
        <v>129</v>
      </c>
      <c r="T218" s="9">
        <f t="shared" si="112"/>
        <v>58590587</v>
      </c>
      <c r="U218" s="3">
        <f t="shared" si="101"/>
        <v>132</v>
      </c>
      <c r="V218" s="10">
        <f t="shared" si="113"/>
        <v>188403754</v>
      </c>
      <c r="W218" s="5">
        <f t="shared" si="102"/>
        <v>136</v>
      </c>
      <c r="X218" s="9">
        <f t="shared" si="114"/>
        <v>795134053</v>
      </c>
      <c r="Y218" s="3">
        <f t="shared" si="103"/>
        <v>138</v>
      </c>
      <c r="Z218" s="10">
        <f t="shared" si="115"/>
        <v>1908321728</v>
      </c>
      <c r="AA218" s="5">
        <f t="shared" si="104"/>
        <v>140</v>
      </c>
      <c r="AB218" s="9">
        <f t="shared" si="116"/>
        <v>4770804319</v>
      </c>
      <c r="AC218" s="3">
        <f t="shared" si="105"/>
        <v>142</v>
      </c>
      <c r="AD218" s="10">
        <f t="shared" si="117"/>
        <v>13358252093</v>
      </c>
      <c r="AE218" s="5">
        <f t="shared" si="106"/>
        <v>145</v>
      </c>
      <c r="AF218" s="9">
        <f t="shared" si="118"/>
        <v>42746406698</v>
      </c>
      <c r="AG218" s="3">
        <f t="shared" si="107"/>
        <v>148</v>
      </c>
      <c r="AH218" s="10">
        <f t="shared" si="119"/>
        <v>162436345451</v>
      </c>
    </row>
    <row r="219" spans="1:34" x14ac:dyDescent="0.3">
      <c r="A219" s="2">
        <v>191</v>
      </c>
      <c r="B219" s="2" t="s">
        <v>357</v>
      </c>
      <c r="C219" s="2" t="s">
        <v>228</v>
      </c>
      <c r="D219" s="2" t="s">
        <v>40</v>
      </c>
      <c r="E219" s="2">
        <v>121</v>
      </c>
      <c r="F219" s="2" t="s">
        <v>108</v>
      </c>
      <c r="G219" s="2" t="s">
        <v>358</v>
      </c>
      <c r="H219" s="2">
        <v>31</v>
      </c>
      <c r="I219" s="3">
        <v>121</v>
      </c>
      <c r="J219" s="4">
        <v>2380000</v>
      </c>
      <c r="K219" s="5">
        <f t="shared" si="96"/>
        <v>122</v>
      </c>
      <c r="L219" s="9">
        <f t="shared" si="108"/>
        <v>3116848</v>
      </c>
      <c r="M219" s="3">
        <f t="shared" si="97"/>
        <v>123</v>
      </c>
      <c r="N219" s="10">
        <f t="shared" si="109"/>
        <v>5454484</v>
      </c>
      <c r="O219" s="5">
        <f t="shared" si="98"/>
        <v>125</v>
      </c>
      <c r="P219" s="9">
        <f t="shared" si="110"/>
        <v>11454416</v>
      </c>
      <c r="Q219" s="3">
        <f t="shared" si="99"/>
        <v>127</v>
      </c>
      <c r="R219" s="10">
        <f t="shared" si="111"/>
        <v>17850000</v>
      </c>
      <c r="S219" s="5">
        <f t="shared" si="100"/>
        <v>129</v>
      </c>
      <c r="T219" s="9">
        <f t="shared" si="112"/>
        <v>46637323</v>
      </c>
      <c r="U219" s="3">
        <f t="shared" si="101"/>
        <v>132</v>
      </c>
      <c r="V219" s="10">
        <f t="shared" si="113"/>
        <v>149966868</v>
      </c>
      <c r="W219" s="5">
        <f t="shared" si="102"/>
        <v>136</v>
      </c>
      <c r="X219" s="9">
        <f t="shared" si="114"/>
        <v>632916069</v>
      </c>
      <c r="Y219" s="3">
        <f t="shared" si="103"/>
        <v>138</v>
      </c>
      <c r="Z219" s="10">
        <f t="shared" si="115"/>
        <v>1518998566</v>
      </c>
      <c r="AA219" s="5">
        <f t="shared" si="104"/>
        <v>140</v>
      </c>
      <c r="AB219" s="9">
        <f t="shared" si="116"/>
        <v>3797496414</v>
      </c>
      <c r="AC219" s="3">
        <f t="shared" si="105"/>
        <v>142</v>
      </c>
      <c r="AD219" s="10">
        <f t="shared" si="117"/>
        <v>10632989960</v>
      </c>
      <c r="AE219" s="5">
        <f t="shared" si="106"/>
        <v>145</v>
      </c>
      <c r="AF219" s="9">
        <f t="shared" si="118"/>
        <v>34025567873</v>
      </c>
      <c r="AG219" s="3">
        <f t="shared" si="107"/>
        <v>148</v>
      </c>
      <c r="AH219" s="10">
        <f t="shared" si="119"/>
        <v>129297157917</v>
      </c>
    </row>
    <row r="220" spans="1:34" x14ac:dyDescent="0.3">
      <c r="A220" s="2">
        <v>200</v>
      </c>
      <c r="B220" s="2" t="s">
        <v>359</v>
      </c>
      <c r="C220" s="2" t="s">
        <v>228</v>
      </c>
      <c r="D220" s="2" t="s">
        <v>331</v>
      </c>
      <c r="E220" s="2">
        <v>121</v>
      </c>
      <c r="F220" s="2" t="s">
        <v>223</v>
      </c>
      <c r="G220" s="2" t="s">
        <v>277</v>
      </c>
      <c r="H220" s="2">
        <v>30</v>
      </c>
      <c r="I220" s="3">
        <v>121</v>
      </c>
      <c r="J220" s="4">
        <v>2790000</v>
      </c>
      <c r="K220" s="5">
        <f t="shared" si="96"/>
        <v>122</v>
      </c>
      <c r="L220" s="9">
        <f t="shared" si="108"/>
        <v>3653784</v>
      </c>
      <c r="M220" s="3">
        <f t="shared" si="97"/>
        <v>123</v>
      </c>
      <c r="N220" s="10">
        <f t="shared" si="109"/>
        <v>6394122</v>
      </c>
      <c r="O220" s="5">
        <f t="shared" si="98"/>
        <v>125</v>
      </c>
      <c r="P220" s="9">
        <f t="shared" si="110"/>
        <v>13427656</v>
      </c>
      <c r="Q220" s="3">
        <f t="shared" si="99"/>
        <v>127</v>
      </c>
      <c r="R220" s="10">
        <f t="shared" si="111"/>
        <v>20925000</v>
      </c>
      <c r="S220" s="5">
        <f t="shared" si="100"/>
        <v>129</v>
      </c>
      <c r="T220" s="9">
        <f t="shared" si="112"/>
        <v>54671484</v>
      </c>
      <c r="U220" s="3">
        <f t="shared" si="101"/>
        <v>132</v>
      </c>
      <c r="V220" s="10">
        <f t="shared" si="113"/>
        <v>175801497</v>
      </c>
      <c r="W220" s="5">
        <f t="shared" si="102"/>
        <v>136</v>
      </c>
      <c r="X220" s="9">
        <f t="shared" si="114"/>
        <v>741947829</v>
      </c>
      <c r="Y220" s="3">
        <f t="shared" si="103"/>
        <v>138</v>
      </c>
      <c r="Z220" s="10">
        <f t="shared" si="115"/>
        <v>1780674789</v>
      </c>
      <c r="AA220" s="5">
        <f t="shared" si="104"/>
        <v>140</v>
      </c>
      <c r="AB220" s="9">
        <f t="shared" si="116"/>
        <v>4451686973</v>
      </c>
      <c r="AC220" s="3">
        <f t="shared" si="105"/>
        <v>142</v>
      </c>
      <c r="AD220" s="10">
        <f t="shared" si="117"/>
        <v>12464723525</v>
      </c>
      <c r="AE220" s="5">
        <f t="shared" si="106"/>
        <v>145</v>
      </c>
      <c r="AF220" s="9">
        <f t="shared" si="118"/>
        <v>39887115280</v>
      </c>
      <c r="AG220" s="3">
        <f t="shared" si="107"/>
        <v>148</v>
      </c>
      <c r="AH220" s="10">
        <f t="shared" si="119"/>
        <v>151571038063</v>
      </c>
    </row>
    <row r="221" spans="1:34" x14ac:dyDescent="0.3">
      <c r="A221" s="2">
        <v>208</v>
      </c>
      <c r="B221" s="2" t="s">
        <v>360</v>
      </c>
      <c r="C221" s="2" t="s">
        <v>228</v>
      </c>
      <c r="D221" s="2" t="s">
        <v>25</v>
      </c>
      <c r="E221" s="2">
        <v>121</v>
      </c>
      <c r="F221" s="2" t="s">
        <v>34</v>
      </c>
      <c r="G221" s="2" t="s">
        <v>35</v>
      </c>
      <c r="H221" s="2">
        <v>30</v>
      </c>
      <c r="I221" s="3">
        <v>121</v>
      </c>
      <c r="J221" s="4">
        <v>2750000</v>
      </c>
      <c r="K221" s="5">
        <f t="shared" si="96"/>
        <v>122</v>
      </c>
      <c r="L221" s="9">
        <f t="shared" si="108"/>
        <v>3601400</v>
      </c>
      <c r="M221" s="3">
        <f t="shared" si="97"/>
        <v>123</v>
      </c>
      <c r="N221" s="10">
        <f t="shared" si="109"/>
        <v>6302450</v>
      </c>
      <c r="O221" s="5">
        <f t="shared" si="98"/>
        <v>125</v>
      </c>
      <c r="P221" s="9">
        <f t="shared" si="110"/>
        <v>13235145</v>
      </c>
      <c r="Q221" s="3">
        <f t="shared" si="99"/>
        <v>127</v>
      </c>
      <c r="R221" s="10">
        <f t="shared" si="111"/>
        <v>20625000</v>
      </c>
      <c r="S221" s="5">
        <f t="shared" si="100"/>
        <v>129</v>
      </c>
      <c r="T221" s="9">
        <f t="shared" si="112"/>
        <v>53887663</v>
      </c>
      <c r="U221" s="3">
        <f t="shared" si="101"/>
        <v>132</v>
      </c>
      <c r="V221" s="10">
        <f t="shared" si="113"/>
        <v>173281045</v>
      </c>
      <c r="W221" s="5">
        <f t="shared" si="102"/>
        <v>136</v>
      </c>
      <c r="X221" s="9">
        <f t="shared" si="114"/>
        <v>731310584</v>
      </c>
      <c r="Y221" s="3">
        <f t="shared" si="103"/>
        <v>138</v>
      </c>
      <c r="Z221" s="10">
        <f t="shared" si="115"/>
        <v>1755145402</v>
      </c>
      <c r="AA221" s="5">
        <f t="shared" si="104"/>
        <v>140</v>
      </c>
      <c r="AB221" s="9">
        <f t="shared" si="116"/>
        <v>4387863504</v>
      </c>
      <c r="AC221" s="3">
        <f t="shared" si="105"/>
        <v>142</v>
      </c>
      <c r="AD221" s="10">
        <f t="shared" si="117"/>
        <v>12286017811</v>
      </c>
      <c r="AE221" s="5">
        <f t="shared" si="106"/>
        <v>145</v>
      </c>
      <c r="AF221" s="9">
        <f t="shared" si="118"/>
        <v>39315256996</v>
      </c>
      <c r="AG221" s="3">
        <f t="shared" si="107"/>
        <v>148</v>
      </c>
      <c r="AH221" s="10">
        <f t="shared" si="119"/>
        <v>149397976585</v>
      </c>
    </row>
    <row r="222" spans="1:34" x14ac:dyDescent="0.3">
      <c r="A222" s="2">
        <v>189</v>
      </c>
      <c r="B222" s="2" t="s">
        <v>361</v>
      </c>
      <c r="C222" s="2" t="s">
        <v>228</v>
      </c>
      <c r="D222" s="2" t="s">
        <v>45</v>
      </c>
      <c r="E222" s="2">
        <v>121</v>
      </c>
      <c r="F222" s="2" t="s">
        <v>71</v>
      </c>
      <c r="G222" s="2" t="s">
        <v>362</v>
      </c>
      <c r="H222" s="2">
        <v>31</v>
      </c>
      <c r="I222" s="3">
        <v>121</v>
      </c>
      <c r="J222" s="4">
        <v>2760000</v>
      </c>
      <c r="K222" s="5">
        <f t="shared" si="96"/>
        <v>122</v>
      </c>
      <c r="L222" s="9">
        <f t="shared" si="108"/>
        <v>3614496</v>
      </c>
      <c r="M222" s="3">
        <f t="shared" si="97"/>
        <v>123</v>
      </c>
      <c r="N222" s="10">
        <f t="shared" si="109"/>
        <v>6325368</v>
      </c>
      <c r="O222" s="5">
        <f t="shared" si="98"/>
        <v>125</v>
      </c>
      <c r="P222" s="9">
        <f t="shared" si="110"/>
        <v>13283273</v>
      </c>
      <c r="Q222" s="3">
        <f t="shared" si="99"/>
        <v>127</v>
      </c>
      <c r="R222" s="10">
        <f t="shared" si="111"/>
        <v>20700000</v>
      </c>
      <c r="S222" s="5">
        <f t="shared" si="100"/>
        <v>129</v>
      </c>
      <c r="T222" s="9">
        <f t="shared" si="112"/>
        <v>54083618</v>
      </c>
      <c r="U222" s="3">
        <f t="shared" si="101"/>
        <v>132</v>
      </c>
      <c r="V222" s="10">
        <f t="shared" si="113"/>
        <v>173911158</v>
      </c>
      <c r="W222" s="5">
        <f t="shared" si="102"/>
        <v>136</v>
      </c>
      <c r="X222" s="9">
        <f t="shared" si="114"/>
        <v>733969895</v>
      </c>
      <c r="Y222" s="3">
        <f t="shared" si="103"/>
        <v>138</v>
      </c>
      <c r="Z222" s="10">
        <f t="shared" si="115"/>
        <v>1761527749</v>
      </c>
      <c r="AA222" s="5">
        <f t="shared" si="104"/>
        <v>140</v>
      </c>
      <c r="AB222" s="9">
        <f t="shared" si="116"/>
        <v>4403819371</v>
      </c>
      <c r="AC222" s="3">
        <f t="shared" si="105"/>
        <v>142</v>
      </c>
      <c r="AD222" s="10">
        <f t="shared" si="117"/>
        <v>12330694240</v>
      </c>
      <c r="AE222" s="5">
        <f t="shared" si="106"/>
        <v>145</v>
      </c>
      <c r="AF222" s="9">
        <f t="shared" si="118"/>
        <v>39458221567</v>
      </c>
      <c r="AG222" s="3">
        <f t="shared" si="107"/>
        <v>148</v>
      </c>
      <c r="AH222" s="10">
        <f t="shared" si="119"/>
        <v>149941241954</v>
      </c>
    </row>
    <row r="223" spans="1:34" x14ac:dyDescent="0.3">
      <c r="A223" s="2">
        <v>201</v>
      </c>
      <c r="B223" s="2" t="s">
        <v>363</v>
      </c>
      <c r="C223" s="2" t="s">
        <v>228</v>
      </c>
      <c r="D223" s="2" t="s">
        <v>33</v>
      </c>
      <c r="E223" s="2">
        <v>121</v>
      </c>
      <c r="F223" s="2" t="s">
        <v>298</v>
      </c>
      <c r="G223" s="2" t="s">
        <v>242</v>
      </c>
      <c r="H223" s="2">
        <v>30</v>
      </c>
      <c r="I223" s="3">
        <v>121</v>
      </c>
      <c r="J223" s="4">
        <v>2750000</v>
      </c>
      <c r="K223" s="5">
        <f t="shared" si="96"/>
        <v>122</v>
      </c>
      <c r="L223" s="9">
        <f>ROUND($J223*1.637*1,0)</f>
        <v>4501750</v>
      </c>
      <c r="M223" s="3">
        <f t="shared" si="97"/>
        <v>123</v>
      </c>
      <c r="N223" s="10">
        <f>ROUND($J223*1.637*1.75*1,0)</f>
        <v>7878063</v>
      </c>
      <c r="O223" s="5">
        <f t="shared" si="98"/>
        <v>125</v>
      </c>
      <c r="P223" s="9">
        <f>ROUND($J223*1.637*1.75*2.1*1,0)</f>
        <v>16543931</v>
      </c>
      <c r="Q223" s="3">
        <f t="shared" si="99"/>
        <v>127</v>
      </c>
      <c r="R223" s="10">
        <f>ROUND($J223*1.637*1.75*2.1*2.3*1,0)</f>
        <v>38051042</v>
      </c>
      <c r="S223" s="5">
        <f t="shared" si="100"/>
        <v>129</v>
      </c>
      <c r="T223" s="9">
        <f>ROUND($J223*1.637*1.75*2.1*2.3*2.6*1,0)</f>
        <v>98932709</v>
      </c>
      <c r="U223" s="3">
        <f t="shared" si="101"/>
        <v>132</v>
      </c>
      <c r="V223" s="10">
        <f>ROUND($J223*1.637*1.75*2.1*2.3*2.6*3.2*1,0)</f>
        <v>316584668</v>
      </c>
      <c r="W223" s="5">
        <f t="shared" si="102"/>
        <v>136</v>
      </c>
      <c r="X223" s="9">
        <f>ROUND($J223*1.637*1.75*2.1*2.3*2.6*3.2*4.2*1,0)</f>
        <v>1329655607</v>
      </c>
      <c r="Y223" s="3">
        <f t="shared" si="103"/>
        <v>138</v>
      </c>
      <c r="Z223" s="10">
        <f>ROUND($J223*1.637*1.75*2.1*2.3*2.6*3.2*4.2*2.4*1,0)</f>
        <v>3191173457</v>
      </c>
      <c r="AA223" s="5">
        <f t="shared" si="104"/>
        <v>140</v>
      </c>
      <c r="AB223" s="9">
        <f>ROUND($J223*1.637*1.75*2.1*2.3*2.6*3.2*4.2*2.4*2.5*1,0)</f>
        <v>7977933644</v>
      </c>
      <c r="AC223" s="3">
        <f t="shared" si="105"/>
        <v>142</v>
      </c>
      <c r="AD223" s="10">
        <f>ROUND($J223*1.637*1.75*2.1*2.3*2.6*3.2*4.2*2.4*2.5*2.8*1,0)</f>
        <v>22338214202</v>
      </c>
      <c r="AE223" s="5">
        <f t="shared" si="106"/>
        <v>145</v>
      </c>
      <c r="AF223" s="9">
        <f>ROUND($J223*1.637*1.75*2.1*2.3*2.6*3.2*4.2*2.4*2.5*2.8*3.2*1,0)</f>
        <v>71482285447</v>
      </c>
      <c r="AG223" s="3">
        <f t="shared" si="107"/>
        <v>148</v>
      </c>
      <c r="AH223" s="10">
        <f>ROUND($J223*1.637*1.75*2.1*2.3*2.6*3.2*4.2*2.4*2.5*2.8*3.2*3.8*1,0)</f>
        <v>271632684700</v>
      </c>
    </row>
    <row r="224" spans="1:34" x14ac:dyDescent="0.3">
      <c r="A224" s="2">
        <v>209</v>
      </c>
      <c r="B224" s="2" t="s">
        <v>364</v>
      </c>
      <c r="C224" s="2" t="s">
        <v>228</v>
      </c>
      <c r="D224" s="2" t="s">
        <v>47</v>
      </c>
      <c r="E224" s="2">
        <v>121</v>
      </c>
      <c r="F224" s="2" t="s">
        <v>54</v>
      </c>
      <c r="G224" s="2" t="s">
        <v>51</v>
      </c>
      <c r="H224" s="2">
        <v>28</v>
      </c>
      <c r="I224" s="3">
        <v>121</v>
      </c>
      <c r="J224" s="4">
        <v>2770000</v>
      </c>
      <c r="K224" s="5">
        <f t="shared" si="96"/>
        <v>122</v>
      </c>
      <c r="L224" s="9">
        <f>ROUND($J224*1.637*1,0)</f>
        <v>4534490</v>
      </c>
      <c r="M224" s="3">
        <f t="shared" si="97"/>
        <v>123</v>
      </c>
      <c r="N224" s="10">
        <f>ROUND($J224*1.637*1.75*1,0)</f>
        <v>7935358</v>
      </c>
      <c r="O224" s="5">
        <f t="shared" si="98"/>
        <v>125</v>
      </c>
      <c r="P224" s="9">
        <f>ROUND($J224*1.637*1.75*2.1*1,0)</f>
        <v>16664251</v>
      </c>
      <c r="Q224" s="3">
        <f t="shared" si="99"/>
        <v>127</v>
      </c>
      <c r="R224" s="10">
        <f>ROUND($J224*1.637*1.75*2.1*2.3*1,0)</f>
        <v>38327777</v>
      </c>
      <c r="S224" s="5">
        <f t="shared" si="100"/>
        <v>129</v>
      </c>
      <c r="T224" s="9">
        <f>ROUND($J224*1.637*1.75*2.1*2.3*2.6*1,0)</f>
        <v>99652219</v>
      </c>
      <c r="U224" s="3">
        <f t="shared" si="101"/>
        <v>132</v>
      </c>
      <c r="V224" s="10">
        <f>ROUND($J224*1.637*1.75*2.1*2.3*2.6*3.2*1,0)</f>
        <v>318887102</v>
      </c>
      <c r="W224" s="5">
        <f t="shared" si="102"/>
        <v>136</v>
      </c>
      <c r="X224" s="9">
        <f>ROUND($J224*1.637*1.75*2.1*2.3*2.6*3.2*4.2*1,0)</f>
        <v>1339325830</v>
      </c>
      <c r="Y224" s="3">
        <f t="shared" si="103"/>
        <v>138</v>
      </c>
      <c r="Z224" s="10">
        <f>ROUND($J224*1.637*1.75*2.1*2.3*2.6*3.2*4.2*2.4*1,0)</f>
        <v>3214381992</v>
      </c>
      <c r="AA224" s="5">
        <f t="shared" si="104"/>
        <v>140</v>
      </c>
      <c r="AB224" s="9">
        <f>ROUND($J224*1.637*1.75*2.1*2.3*2.6*3.2*4.2*2.4*2.5*1,0)</f>
        <v>8035954979</v>
      </c>
      <c r="AC224" s="3">
        <f t="shared" si="105"/>
        <v>142</v>
      </c>
      <c r="AD224" s="10">
        <f>ROUND($J224*1.637*1.75*2.1*2.3*2.6*3.2*4.2*2.4*2.5*2.8*1,0)</f>
        <v>22500673942</v>
      </c>
      <c r="AE224" s="5">
        <f t="shared" si="106"/>
        <v>145</v>
      </c>
      <c r="AF224" s="9">
        <f>ROUND($J224*1.637*1.75*2.1*2.3*2.6*3.2*4.2*2.4*2.5*2.8*3.2*1,0)</f>
        <v>72002156614</v>
      </c>
      <c r="AG224" s="3">
        <f t="shared" si="107"/>
        <v>148</v>
      </c>
      <c r="AH224" s="10">
        <f>ROUND($J224*1.637*1.75*2.1*2.3*2.6*3.2*4.2*2.4*2.5*2.8*3.2*3.8*1,0)</f>
        <v>273608195134</v>
      </c>
    </row>
    <row r="225" spans="1:34" x14ac:dyDescent="0.3">
      <c r="A225" s="2">
        <v>305</v>
      </c>
      <c r="B225" s="2" t="s">
        <v>365</v>
      </c>
      <c r="C225" s="2" t="s">
        <v>228</v>
      </c>
      <c r="D225" s="2" t="s">
        <v>331</v>
      </c>
      <c r="E225" s="2">
        <v>121</v>
      </c>
      <c r="F225" s="2" t="s">
        <v>62</v>
      </c>
      <c r="G225" s="2" t="s">
        <v>366</v>
      </c>
      <c r="H225" s="2">
        <v>29</v>
      </c>
      <c r="I225" s="3">
        <v>121</v>
      </c>
      <c r="J225" s="6">
        <v>2920000</v>
      </c>
      <c r="K225" s="5">
        <f t="shared" si="96"/>
        <v>122</v>
      </c>
      <c r="L225" s="9">
        <f>ROUND($J225*1.637*0.8,0)</f>
        <v>3824032</v>
      </c>
      <c r="M225" s="3">
        <f t="shared" si="97"/>
        <v>123</v>
      </c>
      <c r="N225" s="10">
        <f>ROUND($J225*1.637*1.75*0.8,0)</f>
        <v>6692056</v>
      </c>
      <c r="O225" s="5">
        <f t="shared" si="98"/>
        <v>125</v>
      </c>
      <c r="P225" s="9">
        <f>ROUND($J225*1.637*1.75*2.1*0.8,0)</f>
        <v>14053318</v>
      </c>
      <c r="Q225" s="3">
        <f t="shared" si="99"/>
        <v>127</v>
      </c>
      <c r="R225" s="10">
        <f>ROUND($J225*1.637*1.75*2.1*2.3*0.542035092435954,0)</f>
        <v>21900000</v>
      </c>
      <c r="S225" s="5">
        <f t="shared" si="100"/>
        <v>129</v>
      </c>
      <c r="T225" s="9">
        <f>ROUND($J225*1.637*1.75*2.1*2.3*2.6*0.544690061623969,0)</f>
        <v>57218901</v>
      </c>
      <c r="U225" s="3">
        <f t="shared" si="101"/>
        <v>132</v>
      </c>
      <c r="V225" s="10">
        <f>ROUND($J225*1.637*1.75*2.1*2.3*2.6*3.2*0.547345030811984,0)</f>
        <v>183992964</v>
      </c>
      <c r="W225" s="5">
        <f t="shared" si="102"/>
        <v>136</v>
      </c>
      <c r="X225" s="9">
        <f>ROUND($J225*1.637*1.75*2.1*2.3*2.6*3.2*4.2*0.55,0)</f>
        <v>776518875</v>
      </c>
      <c r="Y225" s="3">
        <f t="shared" si="103"/>
        <v>138</v>
      </c>
      <c r="Z225" s="10">
        <f>ROUND($J225*1.637*1.75*2.1*2.3*2.6*3.2*4.2*2.4*0.55,0)</f>
        <v>1863645299</v>
      </c>
      <c r="AA225" s="5">
        <f t="shared" si="104"/>
        <v>140</v>
      </c>
      <c r="AB225" s="9">
        <f>ROUND($J225*1.637*1.75*2.1*2.3*2.6*3.2*4.2*2.4*2.5*0.55,0)</f>
        <v>4659113248</v>
      </c>
      <c r="AC225" s="3">
        <f t="shared" si="105"/>
        <v>142</v>
      </c>
      <c r="AD225" s="10">
        <f>ROUND($J225*1.637*1.75*2.1*2.3*2.6*3.2*4.2*2.4*2.5*2.8*0.55,0)</f>
        <v>13045517094</v>
      </c>
      <c r="AE225" s="5">
        <f t="shared" si="106"/>
        <v>145</v>
      </c>
      <c r="AF225" s="9">
        <f>ROUND($J225*1.637*1.75*2.1*2.3*2.6*3.2*4.2*2.4*2.5*2.8*3.2*0.55,0)</f>
        <v>41745654701</v>
      </c>
      <c r="AG225" s="3">
        <f t="shared" si="107"/>
        <v>148</v>
      </c>
      <c r="AH225" s="10">
        <f>ROUND($J225*1.637*1.75*2.1*2.3*2.6*3.2*4.2*2.4*2.5*2.8*3.2*3.8*0.55,0)</f>
        <v>158633487865</v>
      </c>
    </row>
    <row r="226" spans="1:34" x14ac:dyDescent="0.3">
      <c r="A226" s="2">
        <v>211</v>
      </c>
      <c r="B226" s="2" t="s">
        <v>367</v>
      </c>
      <c r="C226" s="2" t="s">
        <v>228</v>
      </c>
      <c r="D226" s="2" t="s">
        <v>47</v>
      </c>
      <c r="E226" s="2">
        <v>121</v>
      </c>
      <c r="F226" s="2" t="s">
        <v>179</v>
      </c>
      <c r="G226" s="2" t="s">
        <v>104</v>
      </c>
      <c r="H226" s="2">
        <v>26</v>
      </c>
      <c r="I226" s="3">
        <v>121</v>
      </c>
      <c r="J226" s="4">
        <v>2330000</v>
      </c>
      <c r="K226" s="5">
        <f t="shared" si="96"/>
        <v>122</v>
      </c>
      <c r="L226" s="9">
        <f>ROUND($J226*1.637*0.8,0)</f>
        <v>3051368</v>
      </c>
      <c r="M226" s="3">
        <f t="shared" si="97"/>
        <v>123</v>
      </c>
      <c r="N226" s="10">
        <f>ROUND($J226*1.637*1.75*0.8,0)</f>
        <v>5339894</v>
      </c>
      <c r="O226" s="5">
        <f t="shared" si="98"/>
        <v>125</v>
      </c>
      <c r="P226" s="9">
        <f>ROUND($J226*1.637*1.75*2.1*0.8,0)</f>
        <v>11213777</v>
      </c>
      <c r="Q226" s="3">
        <f t="shared" si="99"/>
        <v>127</v>
      </c>
      <c r="R226" s="10">
        <f>ROUND($J226*1.637*1.75*2.1*2.3*0.542035092435954,0)</f>
        <v>17475000</v>
      </c>
      <c r="S226" s="5">
        <f t="shared" si="100"/>
        <v>129</v>
      </c>
      <c r="T226" s="9">
        <f>ROUND($J226*1.637*1.75*2.1*2.3*2.6*0.544690061623969,0)</f>
        <v>45657547</v>
      </c>
      <c r="U226" s="3">
        <f t="shared" si="101"/>
        <v>132</v>
      </c>
      <c r="V226" s="10">
        <f>ROUND($J226*1.637*1.75*2.1*2.3*2.6*3.2*0.547345030811984,0)</f>
        <v>146816304</v>
      </c>
      <c r="W226" s="5">
        <f t="shared" si="102"/>
        <v>136</v>
      </c>
      <c r="X226" s="9">
        <f>ROUND($J226*1.637*1.75*2.1*2.3*2.6*3.2*4.2*0.55,0)</f>
        <v>619619513</v>
      </c>
      <c r="Y226" s="3">
        <f t="shared" si="103"/>
        <v>138</v>
      </c>
      <c r="Z226" s="10">
        <f>ROUND($J226*1.637*1.75*2.1*2.3*2.6*3.2*4.2*2.4*0.55,0)</f>
        <v>1487086831</v>
      </c>
      <c r="AA226" s="5">
        <f t="shared" si="104"/>
        <v>140</v>
      </c>
      <c r="AB226" s="9">
        <f>ROUND($J226*1.637*1.75*2.1*2.3*2.6*3.2*4.2*2.4*2.5*0.55,0)</f>
        <v>3717717078</v>
      </c>
      <c r="AC226" s="3">
        <f t="shared" si="105"/>
        <v>142</v>
      </c>
      <c r="AD226" s="10">
        <f>ROUND($J226*1.637*1.75*2.1*2.3*2.6*3.2*4.2*2.4*2.5*2.8*0.55,0)</f>
        <v>10409607818</v>
      </c>
      <c r="AE226" s="5">
        <f t="shared" si="106"/>
        <v>145</v>
      </c>
      <c r="AF226" s="9">
        <f>ROUND($J226*1.637*1.75*2.1*2.3*2.6*3.2*4.2*2.4*2.5*2.8*3.2*0.55,0)</f>
        <v>33310745018</v>
      </c>
      <c r="AG226" s="3">
        <f t="shared" si="107"/>
        <v>148</v>
      </c>
      <c r="AH226" s="10">
        <f>ROUND($J226*1.637*1.75*2.1*2.3*2.6*3.2*4.2*2.4*2.5*2.8*3.2*3.8*0.55,0)</f>
        <v>126580831070</v>
      </c>
    </row>
    <row r="227" spans="1:34" x14ac:dyDescent="0.3">
      <c r="A227" s="2">
        <v>198</v>
      </c>
      <c r="B227" s="2" t="s">
        <v>368</v>
      </c>
      <c r="C227" s="2" t="s">
        <v>228</v>
      </c>
      <c r="D227" s="2" t="s">
        <v>75</v>
      </c>
      <c r="E227" s="2">
        <v>121</v>
      </c>
      <c r="F227" s="2" t="s">
        <v>71</v>
      </c>
      <c r="G227" s="2" t="s">
        <v>98</v>
      </c>
      <c r="H227" s="2">
        <v>30</v>
      </c>
      <c r="I227" s="3">
        <v>121</v>
      </c>
      <c r="J227" s="4">
        <v>2760000</v>
      </c>
      <c r="K227" s="5">
        <f t="shared" si="96"/>
        <v>122</v>
      </c>
      <c r="L227" s="9">
        <f>ROUND($J227*1.637*1,0)</f>
        <v>4518120</v>
      </c>
      <c r="M227" s="3">
        <f t="shared" si="97"/>
        <v>123</v>
      </c>
      <c r="N227" s="10">
        <f>ROUND($J227*1.637*1.75*1,0)</f>
        <v>7906710</v>
      </c>
      <c r="O227" s="5">
        <f t="shared" si="98"/>
        <v>125</v>
      </c>
      <c r="P227" s="9">
        <f>ROUND($J227*1.637*1.75*2.1*1,0)</f>
        <v>16604091</v>
      </c>
      <c r="Q227" s="3">
        <f t="shared" si="99"/>
        <v>127</v>
      </c>
      <c r="R227" s="10">
        <f>ROUND($J227*1.637*1.75*2.1*2.3*1,0)</f>
        <v>38189409</v>
      </c>
      <c r="S227" s="5">
        <f t="shared" si="100"/>
        <v>129</v>
      </c>
      <c r="T227" s="9">
        <f>ROUND($J227*1.637*1.75*2.1*2.3*2.6*1,0)</f>
        <v>99292464</v>
      </c>
      <c r="U227" s="3">
        <f t="shared" si="101"/>
        <v>132</v>
      </c>
      <c r="V227" s="10">
        <f>ROUND($J227*1.637*1.75*2.1*2.3*2.6*3.2*1,0)</f>
        <v>317735885</v>
      </c>
      <c r="W227" s="5">
        <f t="shared" si="102"/>
        <v>136</v>
      </c>
      <c r="X227" s="9">
        <f>ROUND($J227*1.637*1.75*2.1*2.3*2.6*3.2*4.2*1,0)</f>
        <v>1334490719</v>
      </c>
      <c r="Y227" s="3">
        <f t="shared" si="103"/>
        <v>138</v>
      </c>
      <c r="Z227" s="10">
        <f>ROUND($J227*1.637*1.75*2.1*2.3*2.6*3.2*4.2*2.4*1,0)</f>
        <v>3202777725</v>
      </c>
      <c r="AA227" s="5">
        <f t="shared" si="104"/>
        <v>140</v>
      </c>
      <c r="AB227" s="9">
        <f>ROUND($J227*1.637*1.75*2.1*2.3*2.6*3.2*4.2*2.4*2.5*1,0)</f>
        <v>8006944311</v>
      </c>
      <c r="AC227" s="3">
        <f t="shared" si="105"/>
        <v>142</v>
      </c>
      <c r="AD227" s="10">
        <f>ROUND($J227*1.637*1.75*2.1*2.3*2.6*3.2*4.2*2.4*2.5*2.8*1,0)</f>
        <v>22419444072</v>
      </c>
      <c r="AE227" s="5">
        <f t="shared" si="106"/>
        <v>145</v>
      </c>
      <c r="AF227" s="9">
        <f>ROUND($J227*1.637*1.75*2.1*2.3*2.6*3.2*4.2*2.4*2.5*2.8*3.2*1,0)</f>
        <v>71742221031</v>
      </c>
      <c r="AG227" s="3">
        <f t="shared" si="107"/>
        <v>148</v>
      </c>
      <c r="AH227" s="10">
        <f>ROUND($J227*1.637*1.75*2.1*2.3*2.6*3.2*4.2*2.4*2.5*2.8*3.2*3.8*1,0)</f>
        <v>272620439917</v>
      </c>
    </row>
    <row r="228" spans="1:34" x14ac:dyDescent="0.3">
      <c r="A228" s="2">
        <v>197</v>
      </c>
      <c r="B228" s="2" t="s">
        <v>369</v>
      </c>
      <c r="C228" s="2" t="s">
        <v>228</v>
      </c>
      <c r="D228" s="2" t="s">
        <v>45</v>
      </c>
      <c r="E228" s="2">
        <v>121</v>
      </c>
      <c r="F228" s="2" t="s">
        <v>353</v>
      </c>
      <c r="G228" s="2" t="s">
        <v>242</v>
      </c>
      <c r="H228" s="2">
        <v>31</v>
      </c>
      <c r="I228" s="3">
        <v>121</v>
      </c>
      <c r="J228" s="4">
        <v>2800000</v>
      </c>
      <c r="K228" s="5">
        <f t="shared" si="96"/>
        <v>122</v>
      </c>
      <c r="L228" s="9">
        <f>ROUND($J228*1.637*1,0)</f>
        <v>4583600</v>
      </c>
      <c r="M228" s="3">
        <f t="shared" si="97"/>
        <v>123</v>
      </c>
      <c r="N228" s="10">
        <f>ROUND($J228*1.637*1.75*1,0)</f>
        <v>8021300</v>
      </c>
      <c r="O228" s="5">
        <f t="shared" si="98"/>
        <v>125</v>
      </c>
      <c r="P228" s="9">
        <f>ROUND($J228*1.637*1.75*2.1*1,0)</f>
        <v>16844730</v>
      </c>
      <c r="Q228" s="3">
        <f t="shared" si="99"/>
        <v>127</v>
      </c>
      <c r="R228" s="10">
        <f>ROUND($J228*1.637*1.75*2.1*2.3*1.25,0)</f>
        <v>48428599</v>
      </c>
      <c r="S228" s="5">
        <f t="shared" si="100"/>
        <v>129</v>
      </c>
      <c r="T228" s="9">
        <f>ROUND($J228*1.637*1.75*2.1*2.3*2.6*1.25,0)</f>
        <v>125914357</v>
      </c>
      <c r="U228" s="3">
        <f t="shared" si="101"/>
        <v>132</v>
      </c>
      <c r="V228" s="10">
        <f>ROUND($J228*1.637*1.75*2.1*2.3*2.6*3.2*1.25,0)</f>
        <v>402925942</v>
      </c>
      <c r="W228" s="5">
        <f t="shared" si="102"/>
        <v>136</v>
      </c>
      <c r="X228" s="9">
        <f>ROUND($J228*1.637*1.75*2.1*2.3*2.6*3.2*4.2*1.25,0)</f>
        <v>1692288955</v>
      </c>
      <c r="Y228" s="3">
        <f t="shared" si="103"/>
        <v>138</v>
      </c>
      <c r="Z228" s="10">
        <f>ROUND($J228*1.637*1.75*2.1*2.3*2.6*3.2*4.2*2.4*1.25,0)</f>
        <v>4061493491</v>
      </c>
      <c r="AA228" s="5">
        <f t="shared" si="104"/>
        <v>140</v>
      </c>
      <c r="AB228" s="9">
        <f>ROUND($J228*1.637*1.75*2.1*2.3*2.6*3.2*4.2*2.4*2.5*1.25,0)</f>
        <v>10153733728</v>
      </c>
      <c r="AC228" s="3">
        <f t="shared" si="105"/>
        <v>142</v>
      </c>
      <c r="AD228" s="10">
        <f>ROUND($J228*1.637*1.75*2.1*2.3*2.6*3.2*4.2*2.4*2.5*2.8*1.25,0)</f>
        <v>28430454439</v>
      </c>
      <c r="AE228" s="5">
        <f t="shared" si="106"/>
        <v>145</v>
      </c>
      <c r="AF228" s="9">
        <f>ROUND($J228*1.637*1.75*2.1*2.3*2.6*3.2*4.2*2.4*2.5*2.8*3.2*1.25,0)</f>
        <v>90977454206</v>
      </c>
      <c r="AG228" s="3">
        <f t="shared" si="107"/>
        <v>148</v>
      </c>
      <c r="AH228" s="10">
        <f>ROUND($J228*1.637*1.75*2.1*2.3*2.6*3.2*4.2*2.4*2.5*2.8*3.2*3.8*1.25,0)</f>
        <v>345714325982</v>
      </c>
    </row>
    <row r="229" spans="1:34" x14ac:dyDescent="0.3">
      <c r="A229" s="2">
        <v>202</v>
      </c>
      <c r="B229" s="2" t="s">
        <v>370</v>
      </c>
      <c r="C229" s="2" t="s">
        <v>228</v>
      </c>
      <c r="D229" s="2" t="s">
        <v>25</v>
      </c>
      <c r="E229" s="2">
        <v>121</v>
      </c>
      <c r="F229" s="2" t="s">
        <v>71</v>
      </c>
      <c r="G229" s="2" t="s">
        <v>329</v>
      </c>
      <c r="H229" s="2">
        <v>30</v>
      </c>
      <c r="I229" s="3">
        <v>121</v>
      </c>
      <c r="J229" s="4">
        <v>2790000</v>
      </c>
      <c r="K229" s="5">
        <f t="shared" si="96"/>
        <v>122</v>
      </c>
      <c r="L229" s="9">
        <f>ROUND($J229*1.637*0.8,0)</f>
        <v>3653784</v>
      </c>
      <c r="M229" s="3">
        <f t="shared" si="97"/>
        <v>123</v>
      </c>
      <c r="N229" s="10">
        <f>ROUND($J229*1.637*1.75*0.8,0)</f>
        <v>6394122</v>
      </c>
      <c r="O229" s="5">
        <f t="shared" si="98"/>
        <v>125</v>
      </c>
      <c r="P229" s="9">
        <f>ROUND($J229*1.637*1.75*2.1*0.8,0)</f>
        <v>13427656</v>
      </c>
      <c r="Q229" s="3">
        <f t="shared" si="99"/>
        <v>127</v>
      </c>
      <c r="R229" s="10">
        <f>ROUND($J229*1.637*1.75*2.1*2.3*0.542035092435954,0)</f>
        <v>20925000</v>
      </c>
      <c r="S229" s="5">
        <f t="shared" si="100"/>
        <v>129</v>
      </c>
      <c r="T229" s="9">
        <f>ROUND($J229*1.637*1.75*2.1*2.3*2.6*0.544690061623969,0)</f>
        <v>54671484</v>
      </c>
      <c r="U229" s="3">
        <f t="shared" si="101"/>
        <v>132</v>
      </c>
      <c r="V229" s="10">
        <f>ROUND($J229*1.637*1.75*2.1*2.3*2.6*3.2*0.547345030811984,0)</f>
        <v>175801497</v>
      </c>
      <c r="W229" s="5">
        <f t="shared" si="102"/>
        <v>136</v>
      </c>
      <c r="X229" s="9">
        <f>ROUND($J229*1.637*1.75*2.1*2.3*2.6*3.2*4.2*0.55,0)</f>
        <v>741947829</v>
      </c>
      <c r="Y229" s="3">
        <f t="shared" si="103"/>
        <v>138</v>
      </c>
      <c r="Z229" s="10">
        <f>ROUND($J229*1.637*1.75*2.1*2.3*2.6*3.2*4.2*2.4*0.55,0)</f>
        <v>1780674789</v>
      </c>
      <c r="AA229" s="5">
        <f t="shared" si="104"/>
        <v>140</v>
      </c>
      <c r="AB229" s="9">
        <f>ROUND($J229*1.637*1.75*2.1*2.3*2.6*3.2*4.2*2.4*2.5*0.55,0)</f>
        <v>4451686973</v>
      </c>
      <c r="AC229" s="3">
        <f t="shared" si="105"/>
        <v>142</v>
      </c>
      <c r="AD229" s="10">
        <f>ROUND($J229*1.637*1.75*2.1*2.3*2.6*3.2*4.2*2.4*2.5*2.8*0.55,0)</f>
        <v>12464723525</v>
      </c>
      <c r="AE229" s="5">
        <f t="shared" si="106"/>
        <v>145</v>
      </c>
      <c r="AF229" s="9">
        <f>ROUND($J229*1.637*1.75*2.1*2.3*2.6*3.2*4.2*2.4*2.5*2.8*3.2*0.55,0)</f>
        <v>39887115280</v>
      </c>
      <c r="AG229" s="3">
        <f t="shared" si="107"/>
        <v>148</v>
      </c>
      <c r="AH229" s="10">
        <f>ROUND($J229*1.637*1.75*2.1*2.3*2.6*3.2*4.2*2.4*2.5*2.8*3.2*3.8*0.55,0)</f>
        <v>151571038063</v>
      </c>
    </row>
    <row r="230" spans="1:34" x14ac:dyDescent="0.3">
      <c r="A230" s="2">
        <v>310</v>
      </c>
      <c r="B230" s="2" t="s">
        <v>371</v>
      </c>
      <c r="C230" s="2" t="s">
        <v>228</v>
      </c>
      <c r="D230" s="2" t="s">
        <v>33</v>
      </c>
      <c r="E230" s="2">
        <v>121</v>
      </c>
      <c r="F230" s="2" t="s">
        <v>71</v>
      </c>
      <c r="G230" s="2" t="s">
        <v>72</v>
      </c>
      <c r="H230" s="2">
        <v>30</v>
      </c>
      <c r="I230" s="3">
        <v>121</v>
      </c>
      <c r="J230" s="6">
        <v>2950000</v>
      </c>
      <c r="K230" s="5">
        <f t="shared" si="96"/>
        <v>122</v>
      </c>
      <c r="L230" s="9">
        <f>ROUND($J230*1.637*1,0)</f>
        <v>4829150</v>
      </c>
      <c r="M230" s="3">
        <f t="shared" si="97"/>
        <v>123</v>
      </c>
      <c r="N230" s="10">
        <f>ROUND($J230*1.637*1.75*1,0)</f>
        <v>8451013</v>
      </c>
      <c r="O230" s="5">
        <f t="shared" si="98"/>
        <v>125</v>
      </c>
      <c r="P230" s="9">
        <f>ROUND($J230*1.637*1.75*2.1*1,0)</f>
        <v>17747126</v>
      </c>
      <c r="Q230" s="3">
        <f t="shared" si="99"/>
        <v>127</v>
      </c>
      <c r="R230" s="10">
        <f>ROUND($J230*1.637*1.75*2.1*2.3*1,0)</f>
        <v>40818390</v>
      </c>
      <c r="S230" s="5">
        <f t="shared" si="100"/>
        <v>129</v>
      </c>
      <c r="T230" s="9">
        <f>ROUND($J230*1.637*1.75*2.1*2.3*2.6*1,0)</f>
        <v>106127815</v>
      </c>
      <c r="U230" s="3">
        <f t="shared" si="101"/>
        <v>132</v>
      </c>
      <c r="V230" s="10">
        <f>ROUND($J230*1.637*1.75*2.1*2.3*2.6*3.2*1,0)</f>
        <v>339609008</v>
      </c>
      <c r="W230" s="5">
        <f t="shared" si="102"/>
        <v>136</v>
      </c>
      <c r="X230" s="9">
        <f>ROUND($J230*1.637*1.75*2.1*2.3*2.6*3.2*4.2*1,0)</f>
        <v>1426357833</v>
      </c>
      <c r="Y230" s="3">
        <f t="shared" si="103"/>
        <v>138</v>
      </c>
      <c r="Z230" s="10">
        <f>ROUND($J230*1.637*1.75*2.1*2.3*2.6*3.2*4.2*2.4*1,0)</f>
        <v>3423258800</v>
      </c>
      <c r="AA230" s="5">
        <f t="shared" si="104"/>
        <v>140</v>
      </c>
      <c r="AB230" s="9">
        <f>ROUND($J230*1.637*1.75*2.1*2.3*2.6*3.2*4.2*2.4*2.5*1,0)</f>
        <v>8558147000</v>
      </c>
      <c r="AC230" s="3">
        <f t="shared" si="105"/>
        <v>142</v>
      </c>
      <c r="AD230" s="10">
        <f>ROUND($J230*1.637*1.75*2.1*2.3*2.6*3.2*4.2*2.4*2.5*2.8*1,0)</f>
        <v>23962811599</v>
      </c>
      <c r="AE230" s="5">
        <f t="shared" si="106"/>
        <v>145</v>
      </c>
      <c r="AF230" s="9">
        <f>ROUND($J230*1.637*1.75*2.1*2.3*2.6*3.2*4.2*2.4*2.5*2.8*3.2*1,0)</f>
        <v>76680997116</v>
      </c>
      <c r="AG230" s="3">
        <f t="shared" si="107"/>
        <v>148</v>
      </c>
      <c r="AH230" s="10">
        <f>ROUND($J230*1.637*1.75*2.1*2.3*2.6*3.2*4.2*2.4*2.5*2.8*3.2*3.8*1,0)</f>
        <v>291387789042</v>
      </c>
    </row>
    <row r="231" spans="1:34" x14ac:dyDescent="0.3">
      <c r="A231" s="2">
        <v>311</v>
      </c>
      <c r="B231" s="2" t="s">
        <v>372</v>
      </c>
      <c r="C231" s="2" t="s">
        <v>228</v>
      </c>
      <c r="D231" s="2" t="s">
        <v>33</v>
      </c>
      <c r="E231" s="2">
        <v>121</v>
      </c>
      <c r="F231" s="2" t="s">
        <v>71</v>
      </c>
      <c r="G231" s="2" t="s">
        <v>206</v>
      </c>
      <c r="H231" s="2">
        <v>30</v>
      </c>
      <c r="I231" s="3">
        <v>121</v>
      </c>
      <c r="J231" s="6">
        <v>2920000</v>
      </c>
      <c r="K231" s="5">
        <f t="shared" si="96"/>
        <v>122</v>
      </c>
      <c r="L231" s="9">
        <f t="shared" ref="L231:L238" si="120">ROUND($J231*1.637*0.8,0)</f>
        <v>3824032</v>
      </c>
      <c r="M231" s="3">
        <f t="shared" si="97"/>
        <v>123</v>
      </c>
      <c r="N231" s="10">
        <f t="shared" ref="N231:N238" si="121">ROUND($J231*1.637*1.75*0.8,0)</f>
        <v>6692056</v>
      </c>
      <c r="O231" s="5">
        <f t="shared" si="98"/>
        <v>125</v>
      </c>
      <c r="P231" s="9">
        <f t="shared" ref="P231:P238" si="122">ROUND($J231*1.637*1.75*2.1*0.8,0)</f>
        <v>14053318</v>
      </c>
      <c r="Q231" s="3">
        <f t="shared" si="99"/>
        <v>127</v>
      </c>
      <c r="R231" s="10">
        <f t="shared" ref="R231:R238" si="123">ROUND($J231*1.637*1.75*2.1*2.3*0.542035092435954,0)</f>
        <v>21900000</v>
      </c>
      <c r="S231" s="5">
        <f t="shared" si="100"/>
        <v>129</v>
      </c>
      <c r="T231" s="9">
        <f t="shared" ref="T231:T238" si="124">ROUND($J231*1.637*1.75*2.1*2.3*2.6*0.544690061623969,0)</f>
        <v>57218901</v>
      </c>
      <c r="U231" s="3">
        <f t="shared" si="101"/>
        <v>132</v>
      </c>
      <c r="V231" s="10">
        <f t="shared" ref="V231:V238" si="125">ROUND($J231*1.637*1.75*2.1*2.3*2.6*3.2*0.547345030811984,0)</f>
        <v>183992964</v>
      </c>
      <c r="W231" s="5">
        <f t="shared" si="102"/>
        <v>136</v>
      </c>
      <c r="X231" s="9">
        <f t="shared" ref="X231:X238" si="126">ROUND($J231*1.637*1.75*2.1*2.3*2.6*3.2*4.2*0.55,0)</f>
        <v>776518875</v>
      </c>
      <c r="Y231" s="3">
        <f t="shared" si="103"/>
        <v>138</v>
      </c>
      <c r="Z231" s="10">
        <f t="shared" ref="Z231:Z238" si="127">ROUND($J231*1.637*1.75*2.1*2.3*2.6*3.2*4.2*2.4*0.55,0)</f>
        <v>1863645299</v>
      </c>
      <c r="AA231" s="5">
        <f t="shared" si="104"/>
        <v>140</v>
      </c>
      <c r="AB231" s="9">
        <f t="shared" ref="AB231:AB238" si="128">ROUND($J231*1.637*1.75*2.1*2.3*2.6*3.2*4.2*2.4*2.5*0.55,0)</f>
        <v>4659113248</v>
      </c>
      <c r="AC231" s="3">
        <f t="shared" si="105"/>
        <v>142</v>
      </c>
      <c r="AD231" s="10">
        <f t="shared" ref="AD231:AD238" si="129">ROUND($J231*1.637*1.75*2.1*2.3*2.6*3.2*4.2*2.4*2.5*2.8*0.55,0)</f>
        <v>13045517094</v>
      </c>
      <c r="AE231" s="5">
        <f t="shared" si="106"/>
        <v>145</v>
      </c>
      <c r="AF231" s="9">
        <f t="shared" ref="AF231:AF238" si="130">ROUND($J231*1.637*1.75*2.1*2.3*2.6*3.2*4.2*2.4*2.5*2.8*3.2*0.55,0)</f>
        <v>41745654701</v>
      </c>
      <c r="AG231" s="3">
        <f t="shared" si="107"/>
        <v>148</v>
      </c>
      <c r="AH231" s="10">
        <f t="shared" ref="AH231:AH238" si="131">ROUND($J231*1.637*1.75*2.1*2.3*2.6*3.2*4.2*2.4*2.5*2.8*3.2*3.8*0.55,0)</f>
        <v>158633487865</v>
      </c>
    </row>
    <row r="232" spans="1:34" x14ac:dyDescent="0.3">
      <c r="A232" s="2">
        <v>194</v>
      </c>
      <c r="B232" s="2" t="s">
        <v>373</v>
      </c>
      <c r="C232" s="2" t="s">
        <v>228</v>
      </c>
      <c r="D232" s="2" t="s">
        <v>102</v>
      </c>
      <c r="E232" s="2">
        <v>121</v>
      </c>
      <c r="F232" s="2" t="s">
        <v>59</v>
      </c>
      <c r="G232" s="2" t="s">
        <v>374</v>
      </c>
      <c r="H232" s="2">
        <v>31</v>
      </c>
      <c r="I232" s="3">
        <v>121</v>
      </c>
      <c r="J232" s="4">
        <v>2380000</v>
      </c>
      <c r="K232" s="5">
        <f t="shared" si="96"/>
        <v>122</v>
      </c>
      <c r="L232" s="9">
        <f t="shared" si="120"/>
        <v>3116848</v>
      </c>
      <c r="M232" s="3">
        <f t="shared" si="97"/>
        <v>123</v>
      </c>
      <c r="N232" s="10">
        <f t="shared" si="121"/>
        <v>5454484</v>
      </c>
      <c r="O232" s="5">
        <f t="shared" si="98"/>
        <v>125</v>
      </c>
      <c r="P232" s="9">
        <f t="shared" si="122"/>
        <v>11454416</v>
      </c>
      <c r="Q232" s="3">
        <f t="shared" si="99"/>
        <v>127</v>
      </c>
      <c r="R232" s="10">
        <f t="shared" si="123"/>
        <v>17850000</v>
      </c>
      <c r="S232" s="5">
        <f t="shared" si="100"/>
        <v>129</v>
      </c>
      <c r="T232" s="9">
        <f t="shared" si="124"/>
        <v>46637323</v>
      </c>
      <c r="U232" s="3">
        <f t="shared" si="101"/>
        <v>132</v>
      </c>
      <c r="V232" s="10">
        <f t="shared" si="125"/>
        <v>149966868</v>
      </c>
      <c r="W232" s="5">
        <f t="shared" si="102"/>
        <v>136</v>
      </c>
      <c r="X232" s="9">
        <f t="shared" si="126"/>
        <v>632916069</v>
      </c>
      <c r="Y232" s="3">
        <f t="shared" si="103"/>
        <v>138</v>
      </c>
      <c r="Z232" s="10">
        <f t="shared" si="127"/>
        <v>1518998566</v>
      </c>
      <c r="AA232" s="5">
        <f t="shared" si="104"/>
        <v>140</v>
      </c>
      <c r="AB232" s="9">
        <f t="shared" si="128"/>
        <v>3797496414</v>
      </c>
      <c r="AC232" s="3">
        <f t="shared" si="105"/>
        <v>142</v>
      </c>
      <c r="AD232" s="10">
        <f t="shared" si="129"/>
        <v>10632989960</v>
      </c>
      <c r="AE232" s="5">
        <f t="shared" si="106"/>
        <v>145</v>
      </c>
      <c r="AF232" s="9">
        <f t="shared" si="130"/>
        <v>34025567873</v>
      </c>
      <c r="AG232" s="3">
        <f t="shared" si="107"/>
        <v>148</v>
      </c>
      <c r="AH232" s="10">
        <f t="shared" si="131"/>
        <v>129297157917</v>
      </c>
    </row>
    <row r="233" spans="1:34" x14ac:dyDescent="0.3">
      <c r="A233" s="2">
        <v>196</v>
      </c>
      <c r="B233" s="2" t="s">
        <v>375</v>
      </c>
      <c r="C233" s="2" t="s">
        <v>228</v>
      </c>
      <c r="D233" s="2" t="s">
        <v>40</v>
      </c>
      <c r="E233" s="2">
        <v>121</v>
      </c>
      <c r="F233" s="2" t="s">
        <v>376</v>
      </c>
      <c r="G233" s="2" t="s">
        <v>277</v>
      </c>
      <c r="H233" s="2">
        <v>31</v>
      </c>
      <c r="I233" s="3">
        <v>121</v>
      </c>
      <c r="J233" s="4">
        <v>2750000</v>
      </c>
      <c r="K233" s="5">
        <f t="shared" si="96"/>
        <v>122</v>
      </c>
      <c r="L233" s="9">
        <f t="shared" si="120"/>
        <v>3601400</v>
      </c>
      <c r="M233" s="3">
        <f t="shared" si="97"/>
        <v>123</v>
      </c>
      <c r="N233" s="10">
        <f t="shared" si="121"/>
        <v>6302450</v>
      </c>
      <c r="O233" s="5">
        <f t="shared" si="98"/>
        <v>125</v>
      </c>
      <c r="P233" s="9">
        <f t="shared" si="122"/>
        <v>13235145</v>
      </c>
      <c r="Q233" s="3">
        <f t="shared" si="99"/>
        <v>127</v>
      </c>
      <c r="R233" s="10">
        <f t="shared" si="123"/>
        <v>20625000</v>
      </c>
      <c r="S233" s="5">
        <f t="shared" si="100"/>
        <v>129</v>
      </c>
      <c r="T233" s="9">
        <f t="shared" si="124"/>
        <v>53887663</v>
      </c>
      <c r="U233" s="3">
        <f t="shared" si="101"/>
        <v>132</v>
      </c>
      <c r="V233" s="10">
        <f t="shared" si="125"/>
        <v>173281045</v>
      </c>
      <c r="W233" s="5">
        <f t="shared" si="102"/>
        <v>136</v>
      </c>
      <c r="X233" s="9">
        <f t="shared" si="126"/>
        <v>731310584</v>
      </c>
      <c r="Y233" s="3">
        <f t="shared" si="103"/>
        <v>138</v>
      </c>
      <c r="Z233" s="10">
        <f t="shared" si="127"/>
        <v>1755145402</v>
      </c>
      <c r="AA233" s="5">
        <f t="shared" si="104"/>
        <v>140</v>
      </c>
      <c r="AB233" s="9">
        <f t="shared" si="128"/>
        <v>4387863504</v>
      </c>
      <c r="AC233" s="3">
        <f t="shared" si="105"/>
        <v>142</v>
      </c>
      <c r="AD233" s="10">
        <f t="shared" si="129"/>
        <v>12286017811</v>
      </c>
      <c r="AE233" s="5">
        <f t="shared" si="106"/>
        <v>145</v>
      </c>
      <c r="AF233" s="9">
        <f t="shared" si="130"/>
        <v>39315256996</v>
      </c>
      <c r="AG233" s="3">
        <f t="shared" si="107"/>
        <v>148</v>
      </c>
      <c r="AH233" s="10">
        <f t="shared" si="131"/>
        <v>149397976585</v>
      </c>
    </row>
    <row r="234" spans="1:34" x14ac:dyDescent="0.3">
      <c r="A234" s="2">
        <v>294</v>
      </c>
      <c r="B234" s="2" t="s">
        <v>377</v>
      </c>
      <c r="C234" s="2" t="s">
        <v>228</v>
      </c>
      <c r="D234" s="2" t="s">
        <v>25</v>
      </c>
      <c r="E234" s="2">
        <v>121</v>
      </c>
      <c r="F234" s="2" t="s">
        <v>59</v>
      </c>
      <c r="G234" s="2" t="s">
        <v>272</v>
      </c>
      <c r="H234" s="2">
        <v>31</v>
      </c>
      <c r="I234" s="3">
        <v>121</v>
      </c>
      <c r="J234" s="6">
        <v>2920000</v>
      </c>
      <c r="K234" s="5">
        <f t="shared" si="96"/>
        <v>122</v>
      </c>
      <c r="L234" s="9">
        <f t="shared" si="120"/>
        <v>3824032</v>
      </c>
      <c r="M234" s="3">
        <f t="shared" si="97"/>
        <v>123</v>
      </c>
      <c r="N234" s="10">
        <f t="shared" si="121"/>
        <v>6692056</v>
      </c>
      <c r="O234" s="5">
        <f t="shared" si="98"/>
        <v>125</v>
      </c>
      <c r="P234" s="9">
        <f t="shared" si="122"/>
        <v>14053318</v>
      </c>
      <c r="Q234" s="3">
        <f t="shared" si="99"/>
        <v>127</v>
      </c>
      <c r="R234" s="10">
        <f t="shared" si="123"/>
        <v>21900000</v>
      </c>
      <c r="S234" s="5">
        <f t="shared" si="100"/>
        <v>129</v>
      </c>
      <c r="T234" s="9">
        <f t="shared" si="124"/>
        <v>57218901</v>
      </c>
      <c r="U234" s="3">
        <f t="shared" si="101"/>
        <v>132</v>
      </c>
      <c r="V234" s="10">
        <f t="shared" si="125"/>
        <v>183992964</v>
      </c>
      <c r="W234" s="5">
        <f t="shared" si="102"/>
        <v>136</v>
      </c>
      <c r="X234" s="9">
        <f t="shared" si="126"/>
        <v>776518875</v>
      </c>
      <c r="Y234" s="3">
        <f t="shared" si="103"/>
        <v>138</v>
      </c>
      <c r="Z234" s="10">
        <f t="shared" si="127"/>
        <v>1863645299</v>
      </c>
      <c r="AA234" s="5">
        <f t="shared" si="104"/>
        <v>140</v>
      </c>
      <c r="AB234" s="9">
        <f t="shared" si="128"/>
        <v>4659113248</v>
      </c>
      <c r="AC234" s="3">
        <f t="shared" si="105"/>
        <v>142</v>
      </c>
      <c r="AD234" s="10">
        <f t="shared" si="129"/>
        <v>13045517094</v>
      </c>
      <c r="AE234" s="5">
        <f t="shared" si="106"/>
        <v>145</v>
      </c>
      <c r="AF234" s="9">
        <f t="shared" si="130"/>
        <v>41745654701</v>
      </c>
      <c r="AG234" s="3">
        <f t="shared" si="107"/>
        <v>148</v>
      </c>
      <c r="AH234" s="10">
        <f t="shared" si="131"/>
        <v>158633487865</v>
      </c>
    </row>
    <row r="235" spans="1:34" x14ac:dyDescent="0.3">
      <c r="A235" s="2">
        <v>309</v>
      </c>
      <c r="B235" s="2" t="s">
        <v>378</v>
      </c>
      <c r="C235" s="2" t="s">
        <v>228</v>
      </c>
      <c r="D235" s="2" t="s">
        <v>90</v>
      </c>
      <c r="E235" s="2">
        <v>121</v>
      </c>
      <c r="F235" s="2" t="s">
        <v>379</v>
      </c>
      <c r="G235" s="2" t="s">
        <v>380</v>
      </c>
      <c r="H235" s="2">
        <v>30</v>
      </c>
      <c r="I235" s="3">
        <v>121</v>
      </c>
      <c r="J235" s="6">
        <v>2560000</v>
      </c>
      <c r="K235" s="5">
        <f t="shared" si="96"/>
        <v>122</v>
      </c>
      <c r="L235" s="9">
        <f t="shared" si="120"/>
        <v>3352576</v>
      </c>
      <c r="M235" s="3">
        <f t="shared" si="97"/>
        <v>123</v>
      </c>
      <c r="N235" s="10">
        <f t="shared" si="121"/>
        <v>5867008</v>
      </c>
      <c r="O235" s="5">
        <f t="shared" si="98"/>
        <v>125</v>
      </c>
      <c r="P235" s="9">
        <f t="shared" si="122"/>
        <v>12320717</v>
      </c>
      <c r="Q235" s="3">
        <f t="shared" si="99"/>
        <v>127</v>
      </c>
      <c r="R235" s="10">
        <f t="shared" si="123"/>
        <v>19200000</v>
      </c>
      <c r="S235" s="5">
        <f t="shared" si="100"/>
        <v>129</v>
      </c>
      <c r="T235" s="9">
        <f t="shared" si="124"/>
        <v>50164516</v>
      </c>
      <c r="U235" s="3">
        <f t="shared" si="101"/>
        <v>132</v>
      </c>
      <c r="V235" s="10">
        <f t="shared" si="125"/>
        <v>161308900</v>
      </c>
      <c r="W235" s="5">
        <f t="shared" si="102"/>
        <v>136</v>
      </c>
      <c r="X235" s="9">
        <f t="shared" si="126"/>
        <v>680783671</v>
      </c>
      <c r="Y235" s="3">
        <f t="shared" si="103"/>
        <v>138</v>
      </c>
      <c r="Z235" s="10">
        <f t="shared" si="127"/>
        <v>1633880810</v>
      </c>
      <c r="AA235" s="5">
        <f t="shared" si="104"/>
        <v>140</v>
      </c>
      <c r="AB235" s="9">
        <f t="shared" si="128"/>
        <v>4084702026</v>
      </c>
      <c r="AC235" s="3">
        <f t="shared" si="105"/>
        <v>142</v>
      </c>
      <c r="AD235" s="10">
        <f t="shared" si="129"/>
        <v>11437165672</v>
      </c>
      <c r="AE235" s="5">
        <f t="shared" si="106"/>
        <v>145</v>
      </c>
      <c r="AF235" s="9">
        <f t="shared" si="130"/>
        <v>36598930149</v>
      </c>
      <c r="AG235" s="3">
        <f t="shared" si="107"/>
        <v>148</v>
      </c>
      <c r="AH235" s="10">
        <f t="shared" si="131"/>
        <v>139075934566</v>
      </c>
    </row>
    <row r="236" spans="1:34" x14ac:dyDescent="0.3">
      <c r="A236" s="2">
        <v>203</v>
      </c>
      <c r="B236" s="2" t="s">
        <v>381</v>
      </c>
      <c r="C236" s="2" t="s">
        <v>228</v>
      </c>
      <c r="D236" s="2" t="s">
        <v>45</v>
      </c>
      <c r="E236" s="2">
        <v>121</v>
      </c>
      <c r="F236" s="2" t="s">
        <v>54</v>
      </c>
      <c r="G236" s="2" t="s">
        <v>382</v>
      </c>
      <c r="H236" s="2">
        <v>30</v>
      </c>
      <c r="I236" s="3">
        <v>121</v>
      </c>
      <c r="J236" s="4">
        <v>2750000</v>
      </c>
      <c r="K236" s="5">
        <f t="shared" si="96"/>
        <v>122</v>
      </c>
      <c r="L236" s="9">
        <f t="shared" si="120"/>
        <v>3601400</v>
      </c>
      <c r="M236" s="3">
        <f t="shared" si="97"/>
        <v>123</v>
      </c>
      <c r="N236" s="10">
        <f t="shared" si="121"/>
        <v>6302450</v>
      </c>
      <c r="O236" s="5">
        <f t="shared" si="98"/>
        <v>125</v>
      </c>
      <c r="P236" s="9">
        <f t="shared" si="122"/>
        <v>13235145</v>
      </c>
      <c r="Q236" s="3">
        <f t="shared" si="99"/>
        <v>127</v>
      </c>
      <c r="R236" s="10">
        <f t="shared" si="123"/>
        <v>20625000</v>
      </c>
      <c r="S236" s="5">
        <f t="shared" si="100"/>
        <v>129</v>
      </c>
      <c r="T236" s="9">
        <f t="shared" si="124"/>
        <v>53887663</v>
      </c>
      <c r="U236" s="3">
        <f t="shared" si="101"/>
        <v>132</v>
      </c>
      <c r="V236" s="10">
        <f t="shared" si="125"/>
        <v>173281045</v>
      </c>
      <c r="W236" s="5">
        <f t="shared" si="102"/>
        <v>136</v>
      </c>
      <c r="X236" s="9">
        <f t="shared" si="126"/>
        <v>731310584</v>
      </c>
      <c r="Y236" s="3">
        <f t="shared" si="103"/>
        <v>138</v>
      </c>
      <c r="Z236" s="10">
        <f t="shared" si="127"/>
        <v>1755145402</v>
      </c>
      <c r="AA236" s="5">
        <f t="shared" si="104"/>
        <v>140</v>
      </c>
      <c r="AB236" s="9">
        <f t="shared" si="128"/>
        <v>4387863504</v>
      </c>
      <c r="AC236" s="3">
        <f t="shared" si="105"/>
        <v>142</v>
      </c>
      <c r="AD236" s="10">
        <f t="shared" si="129"/>
        <v>12286017811</v>
      </c>
      <c r="AE236" s="5">
        <f t="shared" si="106"/>
        <v>145</v>
      </c>
      <c r="AF236" s="9">
        <f t="shared" si="130"/>
        <v>39315256996</v>
      </c>
      <c r="AG236" s="3">
        <f t="shared" si="107"/>
        <v>148</v>
      </c>
      <c r="AH236" s="10">
        <f t="shared" si="131"/>
        <v>149397976585</v>
      </c>
    </row>
    <row r="237" spans="1:34" x14ac:dyDescent="0.3">
      <c r="A237" s="2">
        <v>190</v>
      </c>
      <c r="B237" s="2" t="s">
        <v>383</v>
      </c>
      <c r="C237" s="2" t="s">
        <v>228</v>
      </c>
      <c r="D237" s="2" t="s">
        <v>93</v>
      </c>
      <c r="E237" s="2">
        <v>121</v>
      </c>
      <c r="F237" s="2" t="s">
        <v>384</v>
      </c>
      <c r="G237" s="2" t="s">
        <v>67</v>
      </c>
      <c r="H237" s="2">
        <v>31</v>
      </c>
      <c r="I237" s="3">
        <v>121</v>
      </c>
      <c r="J237" s="4">
        <v>2750000</v>
      </c>
      <c r="K237" s="5">
        <f t="shared" si="96"/>
        <v>122</v>
      </c>
      <c r="L237" s="9">
        <f t="shared" si="120"/>
        <v>3601400</v>
      </c>
      <c r="M237" s="3">
        <f t="shared" si="97"/>
        <v>123</v>
      </c>
      <c r="N237" s="10">
        <f t="shared" si="121"/>
        <v>6302450</v>
      </c>
      <c r="O237" s="5">
        <f t="shared" si="98"/>
        <v>125</v>
      </c>
      <c r="P237" s="9">
        <f t="shared" si="122"/>
        <v>13235145</v>
      </c>
      <c r="Q237" s="3">
        <f t="shared" si="99"/>
        <v>127</v>
      </c>
      <c r="R237" s="10">
        <f t="shared" si="123"/>
        <v>20625000</v>
      </c>
      <c r="S237" s="5">
        <f t="shared" si="100"/>
        <v>129</v>
      </c>
      <c r="T237" s="9">
        <f t="shared" si="124"/>
        <v>53887663</v>
      </c>
      <c r="U237" s="3">
        <f t="shared" si="101"/>
        <v>132</v>
      </c>
      <c r="V237" s="10">
        <f t="shared" si="125"/>
        <v>173281045</v>
      </c>
      <c r="W237" s="5">
        <f t="shared" si="102"/>
        <v>136</v>
      </c>
      <c r="X237" s="9">
        <f t="shared" si="126"/>
        <v>731310584</v>
      </c>
      <c r="Y237" s="3">
        <f t="shared" si="103"/>
        <v>138</v>
      </c>
      <c r="Z237" s="10">
        <f t="shared" si="127"/>
        <v>1755145402</v>
      </c>
      <c r="AA237" s="5">
        <f t="shared" si="104"/>
        <v>140</v>
      </c>
      <c r="AB237" s="9">
        <f t="shared" si="128"/>
        <v>4387863504</v>
      </c>
      <c r="AC237" s="3">
        <f t="shared" si="105"/>
        <v>142</v>
      </c>
      <c r="AD237" s="10">
        <f t="shared" si="129"/>
        <v>12286017811</v>
      </c>
      <c r="AE237" s="5">
        <f t="shared" si="106"/>
        <v>145</v>
      </c>
      <c r="AF237" s="9">
        <f t="shared" si="130"/>
        <v>39315256996</v>
      </c>
      <c r="AG237" s="3">
        <f t="shared" si="107"/>
        <v>148</v>
      </c>
      <c r="AH237" s="10">
        <f t="shared" si="131"/>
        <v>149397976585</v>
      </c>
    </row>
    <row r="238" spans="1:34" x14ac:dyDescent="0.3">
      <c r="A238" s="2">
        <v>312</v>
      </c>
      <c r="B238" s="2" t="s">
        <v>385</v>
      </c>
      <c r="C238" s="2" t="s">
        <v>228</v>
      </c>
      <c r="D238" s="2" t="s">
        <v>33</v>
      </c>
      <c r="E238" s="2">
        <v>121</v>
      </c>
      <c r="F238" s="2" t="s">
        <v>386</v>
      </c>
      <c r="G238" s="2" t="s">
        <v>218</v>
      </c>
      <c r="H238" s="2">
        <v>29</v>
      </c>
      <c r="I238" s="3">
        <v>121</v>
      </c>
      <c r="J238" s="6">
        <v>3000000</v>
      </c>
      <c r="K238" s="5">
        <f t="shared" si="96"/>
        <v>122</v>
      </c>
      <c r="L238" s="9">
        <f t="shared" si="120"/>
        <v>3928800</v>
      </c>
      <c r="M238" s="3">
        <f t="shared" si="97"/>
        <v>123</v>
      </c>
      <c r="N238" s="10">
        <f t="shared" si="121"/>
        <v>6875400</v>
      </c>
      <c r="O238" s="5">
        <f t="shared" si="98"/>
        <v>125</v>
      </c>
      <c r="P238" s="9">
        <f t="shared" si="122"/>
        <v>14438340</v>
      </c>
      <c r="Q238" s="3">
        <f t="shared" si="99"/>
        <v>127</v>
      </c>
      <c r="R238" s="10">
        <f t="shared" si="123"/>
        <v>22500000</v>
      </c>
      <c r="S238" s="5">
        <f t="shared" si="100"/>
        <v>129</v>
      </c>
      <c r="T238" s="9">
        <f t="shared" si="124"/>
        <v>58786542</v>
      </c>
      <c r="U238" s="3">
        <f t="shared" si="101"/>
        <v>132</v>
      </c>
      <c r="V238" s="10">
        <f t="shared" si="125"/>
        <v>189033867</v>
      </c>
      <c r="W238" s="5">
        <f t="shared" si="102"/>
        <v>136</v>
      </c>
      <c r="X238" s="9">
        <f t="shared" si="126"/>
        <v>797793364</v>
      </c>
      <c r="Y238" s="3">
        <f t="shared" si="103"/>
        <v>138</v>
      </c>
      <c r="Z238" s="10">
        <f t="shared" si="127"/>
        <v>1914704074</v>
      </c>
      <c r="AA238" s="5">
        <f t="shared" si="104"/>
        <v>140</v>
      </c>
      <c r="AB238" s="9">
        <f t="shared" si="128"/>
        <v>4786760186</v>
      </c>
      <c r="AC238" s="3">
        <f t="shared" si="105"/>
        <v>142</v>
      </c>
      <c r="AD238" s="10">
        <f t="shared" si="129"/>
        <v>13402928521</v>
      </c>
      <c r="AE238" s="5">
        <f t="shared" si="106"/>
        <v>145</v>
      </c>
      <c r="AF238" s="9">
        <f t="shared" si="130"/>
        <v>42889371268</v>
      </c>
      <c r="AG238" s="3">
        <f t="shared" si="107"/>
        <v>148</v>
      </c>
      <c r="AH238" s="10">
        <f t="shared" si="131"/>
        <v>162979610820</v>
      </c>
    </row>
    <row r="239" spans="1:34" x14ac:dyDescent="0.3">
      <c r="A239" s="2">
        <v>287</v>
      </c>
      <c r="B239" s="2" t="s">
        <v>387</v>
      </c>
      <c r="C239" s="2" t="s">
        <v>228</v>
      </c>
      <c r="D239" s="2" t="s">
        <v>45</v>
      </c>
      <c r="E239" s="2">
        <v>121</v>
      </c>
      <c r="F239" s="2" t="s">
        <v>54</v>
      </c>
      <c r="G239" s="2" t="s">
        <v>218</v>
      </c>
      <c r="H239" s="2">
        <v>30</v>
      </c>
      <c r="I239" s="3">
        <v>121</v>
      </c>
      <c r="J239" s="6">
        <v>3600000</v>
      </c>
      <c r="K239" s="5">
        <f t="shared" si="96"/>
        <v>122</v>
      </c>
      <c r="L239" s="9">
        <f>ROUND($J239*1.637*1,0)</f>
        <v>5893200</v>
      </c>
      <c r="M239" s="3">
        <f t="shared" si="97"/>
        <v>123</v>
      </c>
      <c r="N239" s="10">
        <f>ROUND($J239*1.637*1.75*1,0)</f>
        <v>10313100</v>
      </c>
      <c r="O239" s="5">
        <f t="shared" si="98"/>
        <v>125</v>
      </c>
      <c r="P239" s="9">
        <f>ROUND($J239*1.637*1.75*2.1*1,0)</f>
        <v>21657510</v>
      </c>
      <c r="Q239" s="3">
        <f t="shared" si="99"/>
        <v>127</v>
      </c>
      <c r="R239" s="10">
        <f>ROUND($J239*1.637*1.75*2.1*2.3*1,0)</f>
        <v>49812273</v>
      </c>
      <c r="S239" s="5">
        <f t="shared" si="100"/>
        <v>129</v>
      </c>
      <c r="T239" s="9">
        <f>ROUND($J239*1.637*1.75*2.1*2.3*2.6*1,0)</f>
        <v>129511910</v>
      </c>
      <c r="U239" s="3">
        <f t="shared" si="101"/>
        <v>132</v>
      </c>
      <c r="V239" s="10">
        <f>ROUND($J239*1.637*1.75*2.1*2.3*2.6*3.2*1,0)</f>
        <v>414438111</v>
      </c>
      <c r="W239" s="5">
        <f t="shared" si="102"/>
        <v>136</v>
      </c>
      <c r="X239" s="9">
        <f>ROUND($J239*1.637*1.75*2.1*2.3*2.6*3.2*4.2*1,0)</f>
        <v>1740640068</v>
      </c>
      <c r="Y239" s="3">
        <f t="shared" si="103"/>
        <v>138</v>
      </c>
      <c r="Z239" s="10">
        <f>ROUND($J239*1.637*1.75*2.1*2.3*2.6*3.2*4.2*2.4*1,0)</f>
        <v>4177536163</v>
      </c>
      <c r="AA239" s="5">
        <f t="shared" si="104"/>
        <v>140</v>
      </c>
      <c r="AB239" s="9">
        <f>ROUND($J239*1.637*1.75*2.1*2.3*2.6*3.2*4.2*2.4*2.5*1,0)</f>
        <v>10443840406</v>
      </c>
      <c r="AC239" s="3">
        <f t="shared" si="105"/>
        <v>142</v>
      </c>
      <c r="AD239" s="10">
        <f>ROUND($J239*1.637*1.75*2.1*2.3*2.6*3.2*4.2*2.4*2.5*2.8*1,0)</f>
        <v>29242753138</v>
      </c>
      <c r="AE239" s="5">
        <f t="shared" si="106"/>
        <v>145</v>
      </c>
      <c r="AF239" s="9">
        <f>ROUND($J239*1.637*1.75*2.1*2.3*2.6*3.2*4.2*2.4*2.5*2.8*3.2*1,0)</f>
        <v>93576810040</v>
      </c>
      <c r="AG239" s="3">
        <f t="shared" si="107"/>
        <v>148</v>
      </c>
      <c r="AH239" s="10">
        <f>ROUND($J239*1.637*1.75*2.1*2.3*2.6*3.2*4.2*2.4*2.5*2.8*3.2*3.8*1,0)</f>
        <v>355591878153</v>
      </c>
    </row>
    <row r="240" spans="1:34" x14ac:dyDescent="0.3">
      <c r="A240" s="2">
        <v>207</v>
      </c>
      <c r="B240" s="2" t="s">
        <v>388</v>
      </c>
      <c r="C240" s="2" t="s">
        <v>228</v>
      </c>
      <c r="D240" s="2" t="s">
        <v>241</v>
      </c>
      <c r="E240" s="2">
        <v>121</v>
      </c>
      <c r="F240" s="2" t="s">
        <v>30</v>
      </c>
      <c r="G240" s="2" t="s">
        <v>104</v>
      </c>
      <c r="H240" s="2">
        <v>30</v>
      </c>
      <c r="I240" s="3">
        <v>121</v>
      </c>
      <c r="J240" s="4">
        <v>2740000</v>
      </c>
      <c r="K240" s="5">
        <f t="shared" si="96"/>
        <v>122</v>
      </c>
      <c r="L240" s="9">
        <f t="shared" ref="L240:L253" si="132">ROUND($J240*1.637*0.8,0)</f>
        <v>3588304</v>
      </c>
      <c r="M240" s="3">
        <f t="shared" si="97"/>
        <v>123</v>
      </c>
      <c r="N240" s="10">
        <f t="shared" ref="N240:N253" si="133">ROUND($J240*1.637*1.75*0.8,0)</f>
        <v>6279532</v>
      </c>
      <c r="O240" s="5">
        <f t="shared" si="98"/>
        <v>125</v>
      </c>
      <c r="P240" s="9">
        <f t="shared" ref="P240:P253" si="134">ROUND($J240*1.637*1.75*2.1*0.8,0)</f>
        <v>13187017</v>
      </c>
      <c r="Q240" s="3">
        <f t="shared" si="99"/>
        <v>127</v>
      </c>
      <c r="R240" s="10">
        <f t="shared" ref="R240:R253" si="135">ROUND($J240*1.637*1.75*2.1*2.3*0.542035092435954,0)</f>
        <v>20550000</v>
      </c>
      <c r="S240" s="5">
        <f t="shared" si="100"/>
        <v>129</v>
      </c>
      <c r="T240" s="9">
        <f t="shared" ref="T240:T253" si="136">ROUND($J240*1.637*1.75*2.1*2.3*2.6*0.544690061623969,0)</f>
        <v>53691708</v>
      </c>
      <c r="U240" s="3">
        <f t="shared" si="101"/>
        <v>132</v>
      </c>
      <c r="V240" s="10">
        <f t="shared" ref="V240:V253" si="137">ROUND($J240*1.637*1.75*2.1*2.3*2.6*3.2*0.547345030811984,0)</f>
        <v>172650932</v>
      </c>
      <c r="W240" s="5">
        <f t="shared" si="102"/>
        <v>136</v>
      </c>
      <c r="X240" s="9">
        <f t="shared" ref="X240:X253" si="138">ROUND($J240*1.637*1.75*2.1*2.3*2.6*3.2*4.2*0.55,0)</f>
        <v>728651273</v>
      </c>
      <c r="Y240" s="3">
        <f t="shared" si="103"/>
        <v>138</v>
      </c>
      <c r="Z240" s="10">
        <f t="shared" ref="Z240:Z253" si="139">ROUND($J240*1.637*1.75*2.1*2.3*2.6*3.2*4.2*2.4*0.55,0)</f>
        <v>1748763055</v>
      </c>
      <c r="AA240" s="5">
        <f t="shared" si="104"/>
        <v>140</v>
      </c>
      <c r="AB240" s="9">
        <f t="shared" ref="AB240:AB253" si="140">ROUND($J240*1.637*1.75*2.1*2.3*2.6*3.2*4.2*2.4*2.5*0.55,0)</f>
        <v>4371907637</v>
      </c>
      <c r="AC240" s="3">
        <f t="shared" si="105"/>
        <v>142</v>
      </c>
      <c r="AD240" s="10">
        <f t="shared" ref="AD240:AD253" si="141">ROUND($J240*1.637*1.75*2.1*2.3*2.6*3.2*4.2*2.4*2.5*2.8*0.55,0)</f>
        <v>12241341383</v>
      </c>
      <c r="AE240" s="5">
        <f t="shared" si="106"/>
        <v>145</v>
      </c>
      <c r="AF240" s="9">
        <f t="shared" ref="AF240:AF253" si="142">ROUND($J240*1.637*1.75*2.1*2.3*2.6*3.2*4.2*2.4*2.5*2.8*3.2*0.55,0)</f>
        <v>39172292425</v>
      </c>
      <c r="AG240" s="3">
        <f t="shared" si="107"/>
        <v>148</v>
      </c>
      <c r="AH240" s="10">
        <f t="shared" ref="AH240:AH253" si="143">ROUND($J240*1.637*1.75*2.1*2.3*2.6*3.2*4.2*2.4*2.5*2.8*3.2*3.8*0.55,0)</f>
        <v>148854711216</v>
      </c>
    </row>
    <row r="241" spans="1:34" x14ac:dyDescent="0.3">
      <c r="A241" s="2">
        <v>266</v>
      </c>
      <c r="B241" s="2" t="s">
        <v>389</v>
      </c>
      <c r="C241" s="2" t="s">
        <v>228</v>
      </c>
      <c r="D241" s="2" t="s">
        <v>64</v>
      </c>
      <c r="E241" s="2">
        <v>120</v>
      </c>
      <c r="F241" s="2" t="s">
        <v>146</v>
      </c>
      <c r="G241" s="2" t="s">
        <v>390</v>
      </c>
      <c r="H241" s="2">
        <v>30</v>
      </c>
      <c r="I241" s="3">
        <v>120</v>
      </c>
      <c r="J241" s="4">
        <v>2500000</v>
      </c>
      <c r="K241" s="5">
        <f t="shared" si="96"/>
        <v>121</v>
      </c>
      <c r="L241" s="9">
        <f t="shared" si="132"/>
        <v>3274000</v>
      </c>
      <c r="M241" s="3">
        <f t="shared" si="97"/>
        <v>122</v>
      </c>
      <c r="N241" s="10">
        <f t="shared" si="133"/>
        <v>5729500</v>
      </c>
      <c r="O241" s="5">
        <f t="shared" si="98"/>
        <v>124</v>
      </c>
      <c r="P241" s="9">
        <f t="shared" si="134"/>
        <v>12031950</v>
      </c>
      <c r="Q241" s="3">
        <f t="shared" si="99"/>
        <v>126</v>
      </c>
      <c r="R241" s="10">
        <f t="shared" si="135"/>
        <v>18750000</v>
      </c>
      <c r="S241" s="5">
        <f t="shared" si="100"/>
        <v>128</v>
      </c>
      <c r="T241" s="9">
        <f t="shared" si="136"/>
        <v>48988785</v>
      </c>
      <c r="U241" s="3">
        <f t="shared" si="101"/>
        <v>131</v>
      </c>
      <c r="V241" s="10">
        <f t="shared" si="137"/>
        <v>157528223</v>
      </c>
      <c r="W241" s="5">
        <f t="shared" si="102"/>
        <v>135</v>
      </c>
      <c r="X241" s="9">
        <f t="shared" si="138"/>
        <v>664827804</v>
      </c>
      <c r="Y241" s="3">
        <f t="shared" si="103"/>
        <v>137</v>
      </c>
      <c r="Z241" s="10">
        <f t="shared" si="139"/>
        <v>1595586729</v>
      </c>
      <c r="AA241" s="5">
        <f t="shared" si="104"/>
        <v>139</v>
      </c>
      <c r="AB241" s="9">
        <f t="shared" si="140"/>
        <v>3988966822</v>
      </c>
      <c r="AC241" s="3">
        <f t="shared" si="105"/>
        <v>141</v>
      </c>
      <c r="AD241" s="10">
        <f t="shared" si="141"/>
        <v>11169107101</v>
      </c>
      <c r="AE241" s="5">
        <f t="shared" si="106"/>
        <v>144</v>
      </c>
      <c r="AF241" s="9">
        <f t="shared" si="142"/>
        <v>35741142724</v>
      </c>
      <c r="AG241" s="3">
        <f t="shared" si="107"/>
        <v>147</v>
      </c>
      <c r="AH241" s="10">
        <f t="shared" si="143"/>
        <v>135816342350</v>
      </c>
    </row>
    <row r="242" spans="1:34" x14ac:dyDescent="0.3">
      <c r="A242" s="2">
        <v>289</v>
      </c>
      <c r="B242" s="2" t="s">
        <v>391</v>
      </c>
      <c r="C242" s="2" t="s">
        <v>228</v>
      </c>
      <c r="D242" s="2" t="s">
        <v>25</v>
      </c>
      <c r="E242" s="2">
        <v>120</v>
      </c>
      <c r="F242" s="2" t="s">
        <v>212</v>
      </c>
      <c r="G242" s="2" t="s">
        <v>380</v>
      </c>
      <c r="H242" s="2">
        <v>31</v>
      </c>
      <c r="I242" s="3">
        <v>120</v>
      </c>
      <c r="J242" s="6">
        <v>2200000</v>
      </c>
      <c r="K242" s="5">
        <f t="shared" si="96"/>
        <v>121</v>
      </c>
      <c r="L242" s="9">
        <f t="shared" si="132"/>
        <v>2881120</v>
      </c>
      <c r="M242" s="3">
        <f t="shared" si="97"/>
        <v>122</v>
      </c>
      <c r="N242" s="10">
        <f t="shared" si="133"/>
        <v>5041960</v>
      </c>
      <c r="O242" s="5">
        <f t="shared" si="98"/>
        <v>124</v>
      </c>
      <c r="P242" s="9">
        <f t="shared" si="134"/>
        <v>10588116</v>
      </c>
      <c r="Q242" s="3">
        <f t="shared" si="99"/>
        <v>126</v>
      </c>
      <c r="R242" s="10">
        <f t="shared" si="135"/>
        <v>16500000</v>
      </c>
      <c r="S242" s="5">
        <f t="shared" si="100"/>
        <v>128</v>
      </c>
      <c r="T242" s="9">
        <f t="shared" si="136"/>
        <v>43110131</v>
      </c>
      <c r="U242" s="3">
        <f t="shared" si="101"/>
        <v>131</v>
      </c>
      <c r="V242" s="10">
        <f t="shared" si="137"/>
        <v>138624836</v>
      </c>
      <c r="W242" s="5">
        <f t="shared" si="102"/>
        <v>135</v>
      </c>
      <c r="X242" s="9">
        <f t="shared" si="138"/>
        <v>585048467</v>
      </c>
      <c r="Y242" s="3">
        <f t="shared" si="103"/>
        <v>137</v>
      </c>
      <c r="Z242" s="10">
        <f t="shared" si="139"/>
        <v>1404116321</v>
      </c>
      <c r="AA242" s="5">
        <f t="shared" si="104"/>
        <v>139</v>
      </c>
      <c r="AB242" s="9">
        <f t="shared" si="140"/>
        <v>3510290803</v>
      </c>
      <c r="AC242" s="3">
        <f t="shared" si="105"/>
        <v>141</v>
      </c>
      <c r="AD242" s="10">
        <f t="shared" si="141"/>
        <v>9828814249</v>
      </c>
      <c r="AE242" s="5">
        <f t="shared" si="106"/>
        <v>144</v>
      </c>
      <c r="AF242" s="9">
        <f t="shared" si="142"/>
        <v>31452205597</v>
      </c>
      <c r="AG242" s="3">
        <f t="shared" si="107"/>
        <v>147</v>
      </c>
      <c r="AH242" s="10">
        <f t="shared" si="143"/>
        <v>119518381268</v>
      </c>
    </row>
    <row r="243" spans="1:34" x14ac:dyDescent="0.3">
      <c r="A243" s="2">
        <v>275</v>
      </c>
      <c r="B243" s="2" t="s">
        <v>392</v>
      </c>
      <c r="C243" s="2" t="s">
        <v>228</v>
      </c>
      <c r="D243" s="2" t="s">
        <v>40</v>
      </c>
      <c r="E243" s="2">
        <v>120</v>
      </c>
      <c r="F243" s="2" t="s">
        <v>225</v>
      </c>
      <c r="G243" s="2" t="s">
        <v>393</v>
      </c>
      <c r="H243" s="2">
        <v>31</v>
      </c>
      <c r="I243" s="3">
        <v>120</v>
      </c>
      <c r="J243" s="4">
        <v>2000000</v>
      </c>
      <c r="K243" s="5">
        <f t="shared" si="96"/>
        <v>121</v>
      </c>
      <c r="L243" s="9">
        <f t="shared" si="132"/>
        <v>2619200</v>
      </c>
      <c r="M243" s="3">
        <f t="shared" si="97"/>
        <v>122</v>
      </c>
      <c r="N243" s="10">
        <f t="shared" si="133"/>
        <v>4583600</v>
      </c>
      <c r="O243" s="5">
        <f t="shared" si="98"/>
        <v>124</v>
      </c>
      <c r="P243" s="9">
        <f t="shared" si="134"/>
        <v>9625560</v>
      </c>
      <c r="Q243" s="3">
        <f t="shared" si="99"/>
        <v>126</v>
      </c>
      <c r="R243" s="10">
        <f t="shared" si="135"/>
        <v>15000000</v>
      </c>
      <c r="S243" s="5">
        <f t="shared" si="100"/>
        <v>128</v>
      </c>
      <c r="T243" s="9">
        <f t="shared" si="136"/>
        <v>39191028</v>
      </c>
      <c r="U243" s="3">
        <f t="shared" si="101"/>
        <v>131</v>
      </c>
      <c r="V243" s="10">
        <f t="shared" si="137"/>
        <v>126022578</v>
      </c>
      <c r="W243" s="5">
        <f t="shared" si="102"/>
        <v>135</v>
      </c>
      <c r="X243" s="9">
        <f t="shared" si="138"/>
        <v>531862243</v>
      </c>
      <c r="Y243" s="3">
        <f t="shared" si="103"/>
        <v>137</v>
      </c>
      <c r="Z243" s="10">
        <f t="shared" si="139"/>
        <v>1276469383</v>
      </c>
      <c r="AA243" s="5">
        <f t="shared" si="104"/>
        <v>139</v>
      </c>
      <c r="AB243" s="9">
        <f t="shared" si="140"/>
        <v>3191173457</v>
      </c>
      <c r="AC243" s="3">
        <f t="shared" si="105"/>
        <v>141</v>
      </c>
      <c r="AD243" s="10">
        <f t="shared" si="141"/>
        <v>8935285681</v>
      </c>
      <c r="AE243" s="5">
        <f t="shared" si="106"/>
        <v>144</v>
      </c>
      <c r="AF243" s="9">
        <f t="shared" si="142"/>
        <v>28592914179</v>
      </c>
      <c r="AG243" s="3">
        <f t="shared" si="107"/>
        <v>147</v>
      </c>
      <c r="AH243" s="10">
        <f t="shared" si="143"/>
        <v>108653073880</v>
      </c>
    </row>
    <row r="244" spans="1:34" x14ac:dyDescent="0.3">
      <c r="A244" s="2">
        <v>283</v>
      </c>
      <c r="B244" s="2" t="s">
        <v>394</v>
      </c>
      <c r="C244" s="2" t="s">
        <v>228</v>
      </c>
      <c r="D244" s="2" t="s">
        <v>45</v>
      </c>
      <c r="E244" s="2">
        <v>120</v>
      </c>
      <c r="F244" s="2" t="s">
        <v>71</v>
      </c>
      <c r="G244" s="2" t="s">
        <v>395</v>
      </c>
      <c r="H244" s="2">
        <v>30</v>
      </c>
      <c r="I244" s="3">
        <v>120</v>
      </c>
      <c r="J244" s="6">
        <v>1900000</v>
      </c>
      <c r="K244" s="5">
        <f t="shared" si="96"/>
        <v>121</v>
      </c>
      <c r="L244" s="9">
        <f t="shared" si="132"/>
        <v>2488240</v>
      </c>
      <c r="M244" s="3">
        <f t="shared" si="97"/>
        <v>122</v>
      </c>
      <c r="N244" s="10">
        <f t="shared" si="133"/>
        <v>4354420</v>
      </c>
      <c r="O244" s="5">
        <f t="shared" si="98"/>
        <v>124</v>
      </c>
      <c r="P244" s="9">
        <f t="shared" si="134"/>
        <v>9144282</v>
      </c>
      <c r="Q244" s="3">
        <f t="shared" si="99"/>
        <v>126</v>
      </c>
      <c r="R244" s="10">
        <f t="shared" si="135"/>
        <v>14250000</v>
      </c>
      <c r="S244" s="5">
        <f t="shared" si="100"/>
        <v>128</v>
      </c>
      <c r="T244" s="9">
        <f t="shared" si="136"/>
        <v>37231476</v>
      </c>
      <c r="U244" s="3">
        <f t="shared" si="101"/>
        <v>131</v>
      </c>
      <c r="V244" s="10">
        <f t="shared" si="137"/>
        <v>119721449</v>
      </c>
      <c r="W244" s="5">
        <f t="shared" si="102"/>
        <v>135</v>
      </c>
      <c r="X244" s="9">
        <f t="shared" si="138"/>
        <v>505269131</v>
      </c>
      <c r="Y244" s="3">
        <f t="shared" si="103"/>
        <v>137</v>
      </c>
      <c r="Z244" s="10">
        <f t="shared" si="139"/>
        <v>1212645914</v>
      </c>
      <c r="AA244" s="5">
        <f t="shared" si="104"/>
        <v>139</v>
      </c>
      <c r="AB244" s="9">
        <f t="shared" si="140"/>
        <v>3031614785</v>
      </c>
      <c r="AC244" s="3">
        <f t="shared" si="105"/>
        <v>141</v>
      </c>
      <c r="AD244" s="10">
        <f t="shared" si="141"/>
        <v>8488521397</v>
      </c>
      <c r="AE244" s="5">
        <f t="shared" si="106"/>
        <v>144</v>
      </c>
      <c r="AF244" s="9">
        <f t="shared" si="142"/>
        <v>27163268470</v>
      </c>
      <c r="AG244" s="3">
        <f t="shared" si="107"/>
        <v>147</v>
      </c>
      <c r="AH244" s="10">
        <f t="shared" si="143"/>
        <v>103220420186</v>
      </c>
    </row>
    <row r="245" spans="1:34" x14ac:dyDescent="0.3">
      <c r="A245" s="2">
        <v>303</v>
      </c>
      <c r="B245" s="2" t="s">
        <v>396</v>
      </c>
      <c r="C245" s="2" t="s">
        <v>228</v>
      </c>
      <c r="D245" s="2" t="s">
        <v>102</v>
      </c>
      <c r="E245" s="2">
        <v>120</v>
      </c>
      <c r="F245" s="2" t="s">
        <v>54</v>
      </c>
      <c r="G245" s="2" t="s">
        <v>397</v>
      </c>
      <c r="H245" s="2">
        <v>30</v>
      </c>
      <c r="I245" s="3">
        <v>120</v>
      </c>
      <c r="J245" s="6">
        <v>2400000</v>
      </c>
      <c r="K245" s="5">
        <f t="shared" si="96"/>
        <v>121</v>
      </c>
      <c r="L245" s="9">
        <f t="shared" si="132"/>
        <v>3143040</v>
      </c>
      <c r="M245" s="3">
        <f t="shared" si="97"/>
        <v>122</v>
      </c>
      <c r="N245" s="10">
        <f t="shared" si="133"/>
        <v>5500320</v>
      </c>
      <c r="O245" s="5">
        <f t="shared" si="98"/>
        <v>124</v>
      </c>
      <c r="P245" s="9">
        <f t="shared" si="134"/>
        <v>11550672</v>
      </c>
      <c r="Q245" s="3">
        <f t="shared" si="99"/>
        <v>126</v>
      </c>
      <c r="R245" s="10">
        <f t="shared" si="135"/>
        <v>18000000</v>
      </c>
      <c r="S245" s="5">
        <f t="shared" si="100"/>
        <v>128</v>
      </c>
      <c r="T245" s="9">
        <f t="shared" si="136"/>
        <v>47029233</v>
      </c>
      <c r="U245" s="3">
        <f t="shared" si="101"/>
        <v>131</v>
      </c>
      <c r="V245" s="10">
        <f t="shared" si="137"/>
        <v>151227094</v>
      </c>
      <c r="W245" s="5">
        <f t="shared" si="102"/>
        <v>135</v>
      </c>
      <c r="X245" s="9">
        <f t="shared" si="138"/>
        <v>638234691</v>
      </c>
      <c r="Y245" s="3">
        <f t="shared" si="103"/>
        <v>137</v>
      </c>
      <c r="Z245" s="10">
        <f t="shared" si="139"/>
        <v>1531763260</v>
      </c>
      <c r="AA245" s="5">
        <f t="shared" si="104"/>
        <v>139</v>
      </c>
      <c r="AB245" s="9">
        <f t="shared" si="140"/>
        <v>3829408149</v>
      </c>
      <c r="AC245" s="3">
        <f t="shared" si="105"/>
        <v>141</v>
      </c>
      <c r="AD245" s="10">
        <f t="shared" si="141"/>
        <v>10722342817</v>
      </c>
      <c r="AE245" s="5">
        <f t="shared" si="106"/>
        <v>144</v>
      </c>
      <c r="AF245" s="9">
        <f t="shared" si="142"/>
        <v>34311497015</v>
      </c>
      <c r="AG245" s="3">
        <f t="shared" si="107"/>
        <v>147</v>
      </c>
      <c r="AH245" s="10">
        <f t="shared" si="143"/>
        <v>130383688656</v>
      </c>
    </row>
    <row r="246" spans="1:34" x14ac:dyDescent="0.3">
      <c r="A246" s="2">
        <v>263</v>
      </c>
      <c r="B246" s="2" t="s">
        <v>398</v>
      </c>
      <c r="C246" s="2" t="s">
        <v>228</v>
      </c>
      <c r="D246" s="2" t="s">
        <v>40</v>
      </c>
      <c r="E246" s="2">
        <v>120</v>
      </c>
      <c r="F246" s="2" t="s">
        <v>71</v>
      </c>
      <c r="G246" s="2" t="s">
        <v>399</v>
      </c>
      <c r="H246" s="2">
        <v>29</v>
      </c>
      <c r="I246" s="3">
        <v>120</v>
      </c>
      <c r="J246" s="4">
        <v>2000000</v>
      </c>
      <c r="K246" s="5">
        <f t="shared" si="96"/>
        <v>121</v>
      </c>
      <c r="L246" s="9">
        <f t="shared" si="132"/>
        <v>2619200</v>
      </c>
      <c r="M246" s="3">
        <f t="shared" si="97"/>
        <v>122</v>
      </c>
      <c r="N246" s="10">
        <f t="shared" si="133"/>
        <v>4583600</v>
      </c>
      <c r="O246" s="5">
        <f t="shared" si="98"/>
        <v>124</v>
      </c>
      <c r="P246" s="9">
        <f t="shared" si="134"/>
        <v>9625560</v>
      </c>
      <c r="Q246" s="3">
        <f t="shared" si="99"/>
        <v>126</v>
      </c>
      <c r="R246" s="10">
        <f t="shared" si="135"/>
        <v>15000000</v>
      </c>
      <c r="S246" s="5">
        <f t="shared" si="100"/>
        <v>128</v>
      </c>
      <c r="T246" s="9">
        <f t="shared" si="136"/>
        <v>39191028</v>
      </c>
      <c r="U246" s="3">
        <f t="shared" si="101"/>
        <v>131</v>
      </c>
      <c r="V246" s="10">
        <f t="shared" si="137"/>
        <v>126022578</v>
      </c>
      <c r="W246" s="5">
        <f t="shared" si="102"/>
        <v>135</v>
      </c>
      <c r="X246" s="9">
        <f t="shared" si="138"/>
        <v>531862243</v>
      </c>
      <c r="Y246" s="3">
        <f t="shared" si="103"/>
        <v>137</v>
      </c>
      <c r="Z246" s="10">
        <f t="shared" si="139"/>
        <v>1276469383</v>
      </c>
      <c r="AA246" s="5">
        <f t="shared" si="104"/>
        <v>139</v>
      </c>
      <c r="AB246" s="9">
        <f t="shared" si="140"/>
        <v>3191173457</v>
      </c>
      <c r="AC246" s="3">
        <f t="shared" si="105"/>
        <v>141</v>
      </c>
      <c r="AD246" s="10">
        <f t="shared" si="141"/>
        <v>8935285681</v>
      </c>
      <c r="AE246" s="5">
        <f t="shared" si="106"/>
        <v>144</v>
      </c>
      <c r="AF246" s="9">
        <f t="shared" si="142"/>
        <v>28592914179</v>
      </c>
      <c r="AG246" s="3">
        <f t="shared" si="107"/>
        <v>147</v>
      </c>
      <c r="AH246" s="10">
        <f t="shared" si="143"/>
        <v>108653073880</v>
      </c>
    </row>
    <row r="247" spans="1:34" x14ac:dyDescent="0.3">
      <c r="A247" s="2">
        <v>291</v>
      </c>
      <c r="B247" s="2" t="s">
        <v>400</v>
      </c>
      <c r="C247" s="2" t="s">
        <v>228</v>
      </c>
      <c r="D247" s="2" t="s">
        <v>25</v>
      </c>
      <c r="E247" s="2">
        <v>120</v>
      </c>
      <c r="F247" s="2" t="s">
        <v>401</v>
      </c>
      <c r="G247" s="2" t="s">
        <v>254</v>
      </c>
      <c r="H247" s="2">
        <v>30</v>
      </c>
      <c r="I247" s="3">
        <v>120</v>
      </c>
      <c r="J247" s="6">
        <v>2800000</v>
      </c>
      <c r="K247" s="5">
        <f t="shared" si="96"/>
        <v>121</v>
      </c>
      <c r="L247" s="9">
        <f t="shared" si="132"/>
        <v>3666880</v>
      </c>
      <c r="M247" s="3">
        <f t="shared" si="97"/>
        <v>122</v>
      </c>
      <c r="N247" s="10">
        <f t="shared" si="133"/>
        <v>6417040</v>
      </c>
      <c r="O247" s="5">
        <f t="shared" si="98"/>
        <v>124</v>
      </c>
      <c r="P247" s="9">
        <f t="shared" si="134"/>
        <v>13475784</v>
      </c>
      <c r="Q247" s="3">
        <f t="shared" si="99"/>
        <v>126</v>
      </c>
      <c r="R247" s="10">
        <f t="shared" si="135"/>
        <v>21000000</v>
      </c>
      <c r="S247" s="5">
        <f t="shared" si="100"/>
        <v>128</v>
      </c>
      <c r="T247" s="9">
        <f t="shared" si="136"/>
        <v>54867439</v>
      </c>
      <c r="U247" s="3">
        <f t="shared" si="101"/>
        <v>131</v>
      </c>
      <c r="V247" s="10">
        <f t="shared" si="137"/>
        <v>176431610</v>
      </c>
      <c r="W247" s="5">
        <f t="shared" si="102"/>
        <v>135</v>
      </c>
      <c r="X247" s="9">
        <f t="shared" si="138"/>
        <v>744607140</v>
      </c>
      <c r="Y247" s="3">
        <f t="shared" si="103"/>
        <v>137</v>
      </c>
      <c r="Z247" s="10">
        <f t="shared" si="139"/>
        <v>1787057136</v>
      </c>
      <c r="AA247" s="5">
        <f t="shared" si="104"/>
        <v>139</v>
      </c>
      <c r="AB247" s="9">
        <f t="shared" si="140"/>
        <v>4467642840</v>
      </c>
      <c r="AC247" s="3">
        <f t="shared" si="105"/>
        <v>141</v>
      </c>
      <c r="AD247" s="10">
        <f t="shared" si="141"/>
        <v>12509399953</v>
      </c>
      <c r="AE247" s="5">
        <f t="shared" si="106"/>
        <v>144</v>
      </c>
      <c r="AF247" s="9">
        <f t="shared" si="142"/>
        <v>40030079851</v>
      </c>
      <c r="AG247" s="3">
        <f t="shared" si="107"/>
        <v>147</v>
      </c>
      <c r="AH247" s="10">
        <f t="shared" si="143"/>
        <v>152114303432</v>
      </c>
    </row>
    <row r="248" spans="1:34" x14ac:dyDescent="0.3">
      <c r="A248" s="2">
        <v>265</v>
      </c>
      <c r="B248" s="2" t="s">
        <v>402</v>
      </c>
      <c r="C248" s="2" t="s">
        <v>228</v>
      </c>
      <c r="D248" s="2" t="s">
        <v>40</v>
      </c>
      <c r="E248" s="2">
        <v>120</v>
      </c>
      <c r="F248" s="2" t="s">
        <v>56</v>
      </c>
      <c r="G248" s="2" t="s">
        <v>403</v>
      </c>
      <c r="H248" s="2">
        <v>30</v>
      </c>
      <c r="I248" s="3">
        <v>120</v>
      </c>
      <c r="J248" s="4">
        <v>2000000</v>
      </c>
      <c r="K248" s="5">
        <f t="shared" si="96"/>
        <v>121</v>
      </c>
      <c r="L248" s="9">
        <f t="shared" si="132"/>
        <v>2619200</v>
      </c>
      <c r="M248" s="3">
        <f t="shared" si="97"/>
        <v>122</v>
      </c>
      <c r="N248" s="10">
        <f t="shared" si="133"/>
        <v>4583600</v>
      </c>
      <c r="O248" s="5">
        <f t="shared" si="98"/>
        <v>124</v>
      </c>
      <c r="P248" s="9">
        <f t="shared" si="134"/>
        <v>9625560</v>
      </c>
      <c r="Q248" s="3">
        <f t="shared" si="99"/>
        <v>126</v>
      </c>
      <c r="R248" s="10">
        <f t="shared" si="135"/>
        <v>15000000</v>
      </c>
      <c r="S248" s="5">
        <f t="shared" si="100"/>
        <v>128</v>
      </c>
      <c r="T248" s="9">
        <f t="shared" si="136"/>
        <v>39191028</v>
      </c>
      <c r="U248" s="3">
        <f t="shared" si="101"/>
        <v>131</v>
      </c>
      <c r="V248" s="10">
        <f t="shared" si="137"/>
        <v>126022578</v>
      </c>
      <c r="W248" s="5">
        <f t="shared" si="102"/>
        <v>135</v>
      </c>
      <c r="X248" s="9">
        <f t="shared" si="138"/>
        <v>531862243</v>
      </c>
      <c r="Y248" s="3">
        <f t="shared" si="103"/>
        <v>137</v>
      </c>
      <c r="Z248" s="10">
        <f t="shared" si="139"/>
        <v>1276469383</v>
      </c>
      <c r="AA248" s="5">
        <f t="shared" si="104"/>
        <v>139</v>
      </c>
      <c r="AB248" s="9">
        <f t="shared" si="140"/>
        <v>3191173457</v>
      </c>
      <c r="AC248" s="3">
        <f t="shared" si="105"/>
        <v>141</v>
      </c>
      <c r="AD248" s="10">
        <f t="shared" si="141"/>
        <v>8935285681</v>
      </c>
      <c r="AE248" s="5">
        <f t="shared" si="106"/>
        <v>144</v>
      </c>
      <c r="AF248" s="9">
        <f t="shared" si="142"/>
        <v>28592914179</v>
      </c>
      <c r="AG248" s="3">
        <f t="shared" si="107"/>
        <v>147</v>
      </c>
      <c r="AH248" s="10">
        <f t="shared" si="143"/>
        <v>108653073880</v>
      </c>
    </row>
    <row r="249" spans="1:34" x14ac:dyDescent="0.3">
      <c r="A249" s="2">
        <v>264</v>
      </c>
      <c r="B249" s="2" t="s">
        <v>404</v>
      </c>
      <c r="C249" s="2" t="s">
        <v>228</v>
      </c>
      <c r="D249" s="2" t="s">
        <v>40</v>
      </c>
      <c r="E249" s="2">
        <v>120</v>
      </c>
      <c r="F249" s="2" t="s">
        <v>54</v>
      </c>
      <c r="G249" s="2" t="s">
        <v>382</v>
      </c>
      <c r="H249" s="2">
        <v>30</v>
      </c>
      <c r="I249" s="3">
        <v>120</v>
      </c>
      <c r="J249" s="4">
        <v>2010000</v>
      </c>
      <c r="K249" s="5">
        <f t="shared" si="96"/>
        <v>121</v>
      </c>
      <c r="L249" s="9">
        <f t="shared" si="132"/>
        <v>2632296</v>
      </c>
      <c r="M249" s="3">
        <f t="shared" si="97"/>
        <v>122</v>
      </c>
      <c r="N249" s="10">
        <f t="shared" si="133"/>
        <v>4606518</v>
      </c>
      <c r="O249" s="5">
        <f t="shared" si="98"/>
        <v>124</v>
      </c>
      <c r="P249" s="9">
        <f t="shared" si="134"/>
        <v>9673688</v>
      </c>
      <c r="Q249" s="3">
        <f t="shared" si="99"/>
        <v>126</v>
      </c>
      <c r="R249" s="10">
        <f t="shared" si="135"/>
        <v>15075000</v>
      </c>
      <c r="S249" s="5">
        <f t="shared" si="100"/>
        <v>128</v>
      </c>
      <c r="T249" s="9">
        <f t="shared" si="136"/>
        <v>39386983</v>
      </c>
      <c r="U249" s="3">
        <f t="shared" si="101"/>
        <v>131</v>
      </c>
      <c r="V249" s="10">
        <f t="shared" si="137"/>
        <v>126652691</v>
      </c>
      <c r="W249" s="5">
        <f t="shared" si="102"/>
        <v>135</v>
      </c>
      <c r="X249" s="9">
        <f t="shared" si="138"/>
        <v>534521554</v>
      </c>
      <c r="Y249" s="3">
        <f t="shared" si="103"/>
        <v>137</v>
      </c>
      <c r="Z249" s="10">
        <f t="shared" si="139"/>
        <v>1282851730</v>
      </c>
      <c r="AA249" s="5">
        <f t="shared" si="104"/>
        <v>139</v>
      </c>
      <c r="AB249" s="9">
        <f t="shared" si="140"/>
        <v>3207129325</v>
      </c>
      <c r="AC249" s="3">
        <f t="shared" si="105"/>
        <v>141</v>
      </c>
      <c r="AD249" s="10">
        <f t="shared" si="141"/>
        <v>8979962109</v>
      </c>
      <c r="AE249" s="5">
        <f t="shared" si="106"/>
        <v>144</v>
      </c>
      <c r="AF249" s="9">
        <f t="shared" si="142"/>
        <v>28735878750</v>
      </c>
      <c r="AG249" s="3">
        <f t="shared" si="107"/>
        <v>147</v>
      </c>
      <c r="AH249" s="10">
        <f t="shared" si="143"/>
        <v>109196339249</v>
      </c>
    </row>
    <row r="250" spans="1:34" x14ac:dyDescent="0.3">
      <c r="A250" s="2">
        <v>290</v>
      </c>
      <c r="B250" s="2" t="s">
        <v>405</v>
      </c>
      <c r="C250" s="2" t="s">
        <v>228</v>
      </c>
      <c r="D250" s="2" t="s">
        <v>25</v>
      </c>
      <c r="E250" s="2">
        <v>120</v>
      </c>
      <c r="F250" s="2" t="s">
        <v>30</v>
      </c>
      <c r="G250" s="2" t="s">
        <v>406</v>
      </c>
      <c r="H250" s="2">
        <v>30</v>
      </c>
      <c r="I250" s="3">
        <v>120</v>
      </c>
      <c r="J250" s="6">
        <v>3000000</v>
      </c>
      <c r="K250" s="5">
        <f t="shared" si="96"/>
        <v>121</v>
      </c>
      <c r="L250" s="9">
        <f t="shared" si="132"/>
        <v>3928800</v>
      </c>
      <c r="M250" s="3">
        <f t="shared" si="97"/>
        <v>122</v>
      </c>
      <c r="N250" s="10">
        <f t="shared" si="133"/>
        <v>6875400</v>
      </c>
      <c r="O250" s="5">
        <f t="shared" si="98"/>
        <v>124</v>
      </c>
      <c r="P250" s="9">
        <f t="shared" si="134"/>
        <v>14438340</v>
      </c>
      <c r="Q250" s="3">
        <f t="shared" si="99"/>
        <v>126</v>
      </c>
      <c r="R250" s="10">
        <f t="shared" si="135"/>
        <v>22500000</v>
      </c>
      <c r="S250" s="5">
        <f t="shared" si="100"/>
        <v>128</v>
      </c>
      <c r="T250" s="9">
        <f t="shared" si="136"/>
        <v>58786542</v>
      </c>
      <c r="U250" s="3">
        <f t="shared" si="101"/>
        <v>131</v>
      </c>
      <c r="V250" s="10">
        <f t="shared" si="137"/>
        <v>189033867</v>
      </c>
      <c r="W250" s="5">
        <f t="shared" si="102"/>
        <v>135</v>
      </c>
      <c r="X250" s="9">
        <f t="shared" si="138"/>
        <v>797793364</v>
      </c>
      <c r="Y250" s="3">
        <f t="shared" si="103"/>
        <v>137</v>
      </c>
      <c r="Z250" s="10">
        <f t="shared" si="139"/>
        <v>1914704074</v>
      </c>
      <c r="AA250" s="5">
        <f t="shared" si="104"/>
        <v>139</v>
      </c>
      <c r="AB250" s="9">
        <f t="shared" si="140"/>
        <v>4786760186</v>
      </c>
      <c r="AC250" s="3">
        <f t="shared" si="105"/>
        <v>141</v>
      </c>
      <c r="AD250" s="10">
        <f t="shared" si="141"/>
        <v>13402928521</v>
      </c>
      <c r="AE250" s="5">
        <f t="shared" si="106"/>
        <v>144</v>
      </c>
      <c r="AF250" s="9">
        <f t="shared" si="142"/>
        <v>42889371268</v>
      </c>
      <c r="AG250" s="3">
        <f t="shared" si="107"/>
        <v>147</v>
      </c>
      <c r="AH250" s="10">
        <f t="shared" si="143"/>
        <v>162979610820</v>
      </c>
    </row>
    <row r="251" spans="1:34" x14ac:dyDescent="0.3">
      <c r="A251" s="2">
        <v>313</v>
      </c>
      <c r="B251" s="2" t="s">
        <v>407</v>
      </c>
      <c r="C251" s="2" t="s">
        <v>228</v>
      </c>
      <c r="D251" s="2" t="s">
        <v>33</v>
      </c>
      <c r="E251" s="2">
        <v>120</v>
      </c>
      <c r="F251" s="2" t="s">
        <v>353</v>
      </c>
      <c r="G251" s="2" t="s">
        <v>354</v>
      </c>
      <c r="H251" s="2">
        <v>29</v>
      </c>
      <c r="I251" s="3">
        <v>120</v>
      </c>
      <c r="J251" s="6">
        <v>2700000</v>
      </c>
      <c r="K251" s="5">
        <f t="shared" si="96"/>
        <v>121</v>
      </c>
      <c r="L251" s="9">
        <f t="shared" si="132"/>
        <v>3535920</v>
      </c>
      <c r="M251" s="3">
        <f t="shared" si="97"/>
        <v>122</v>
      </c>
      <c r="N251" s="10">
        <f t="shared" si="133"/>
        <v>6187860</v>
      </c>
      <c r="O251" s="5">
        <f t="shared" si="98"/>
        <v>124</v>
      </c>
      <c r="P251" s="9">
        <f t="shared" si="134"/>
        <v>12994506</v>
      </c>
      <c r="Q251" s="3">
        <f t="shared" si="99"/>
        <v>126</v>
      </c>
      <c r="R251" s="10">
        <f t="shared" si="135"/>
        <v>20250000</v>
      </c>
      <c r="S251" s="5">
        <f t="shared" si="100"/>
        <v>128</v>
      </c>
      <c r="T251" s="9">
        <f t="shared" si="136"/>
        <v>52907888</v>
      </c>
      <c r="U251" s="3">
        <f t="shared" si="101"/>
        <v>131</v>
      </c>
      <c r="V251" s="10">
        <f t="shared" si="137"/>
        <v>170130481</v>
      </c>
      <c r="W251" s="5">
        <f t="shared" si="102"/>
        <v>135</v>
      </c>
      <c r="X251" s="9">
        <f t="shared" si="138"/>
        <v>718014028</v>
      </c>
      <c r="Y251" s="3">
        <f t="shared" si="103"/>
        <v>137</v>
      </c>
      <c r="Z251" s="10">
        <f t="shared" si="139"/>
        <v>1723233667</v>
      </c>
      <c r="AA251" s="5">
        <f t="shared" si="104"/>
        <v>139</v>
      </c>
      <c r="AB251" s="9">
        <f t="shared" si="140"/>
        <v>4308084168</v>
      </c>
      <c r="AC251" s="3">
        <f t="shared" si="105"/>
        <v>141</v>
      </c>
      <c r="AD251" s="10">
        <f t="shared" si="141"/>
        <v>12062635669</v>
      </c>
      <c r="AE251" s="5">
        <f t="shared" si="106"/>
        <v>144</v>
      </c>
      <c r="AF251" s="9">
        <f t="shared" si="142"/>
        <v>38600434142</v>
      </c>
      <c r="AG251" s="3">
        <f t="shared" si="107"/>
        <v>147</v>
      </c>
      <c r="AH251" s="10">
        <f t="shared" si="143"/>
        <v>146681649738</v>
      </c>
    </row>
    <row r="252" spans="1:34" x14ac:dyDescent="0.3">
      <c r="A252" s="2">
        <v>319</v>
      </c>
      <c r="B252" s="2" t="s">
        <v>408</v>
      </c>
      <c r="C252" s="2" t="s">
        <v>228</v>
      </c>
      <c r="D252" s="2" t="s">
        <v>33</v>
      </c>
      <c r="E252" s="2">
        <v>120</v>
      </c>
      <c r="F252" s="2" t="s">
        <v>42</v>
      </c>
      <c r="G252" s="2" t="s">
        <v>261</v>
      </c>
      <c r="H252" s="2">
        <v>30</v>
      </c>
      <c r="I252" s="3">
        <v>120</v>
      </c>
      <c r="J252" s="6">
        <v>2700000</v>
      </c>
      <c r="K252" s="5">
        <f t="shared" si="96"/>
        <v>121</v>
      </c>
      <c r="L252" s="9">
        <f t="shared" si="132"/>
        <v>3535920</v>
      </c>
      <c r="M252" s="3">
        <f t="shared" si="97"/>
        <v>122</v>
      </c>
      <c r="N252" s="10">
        <f t="shared" si="133"/>
        <v>6187860</v>
      </c>
      <c r="O252" s="5">
        <f t="shared" si="98"/>
        <v>124</v>
      </c>
      <c r="P252" s="9">
        <f t="shared" si="134"/>
        <v>12994506</v>
      </c>
      <c r="Q252" s="3">
        <f t="shared" si="99"/>
        <v>126</v>
      </c>
      <c r="R252" s="10">
        <f t="shared" si="135"/>
        <v>20250000</v>
      </c>
      <c r="S252" s="5">
        <f t="shared" si="100"/>
        <v>128</v>
      </c>
      <c r="T252" s="9">
        <f t="shared" si="136"/>
        <v>52907888</v>
      </c>
      <c r="U252" s="3">
        <f t="shared" si="101"/>
        <v>131</v>
      </c>
      <c r="V252" s="10">
        <f t="shared" si="137"/>
        <v>170130481</v>
      </c>
      <c r="W252" s="5">
        <f t="shared" si="102"/>
        <v>135</v>
      </c>
      <c r="X252" s="9">
        <f t="shared" si="138"/>
        <v>718014028</v>
      </c>
      <c r="Y252" s="3">
        <f t="shared" si="103"/>
        <v>137</v>
      </c>
      <c r="Z252" s="10">
        <f t="shared" si="139"/>
        <v>1723233667</v>
      </c>
      <c r="AA252" s="5">
        <f t="shared" si="104"/>
        <v>139</v>
      </c>
      <c r="AB252" s="9">
        <f t="shared" si="140"/>
        <v>4308084168</v>
      </c>
      <c r="AC252" s="3">
        <f t="shared" si="105"/>
        <v>141</v>
      </c>
      <c r="AD252" s="10">
        <f t="shared" si="141"/>
        <v>12062635669</v>
      </c>
      <c r="AE252" s="5">
        <f t="shared" si="106"/>
        <v>144</v>
      </c>
      <c r="AF252" s="9">
        <f t="shared" si="142"/>
        <v>38600434142</v>
      </c>
      <c r="AG252" s="3">
        <f t="shared" si="107"/>
        <v>147</v>
      </c>
      <c r="AH252" s="10">
        <f t="shared" si="143"/>
        <v>146681649738</v>
      </c>
    </row>
    <row r="253" spans="1:34" x14ac:dyDescent="0.3">
      <c r="A253" s="2">
        <v>288</v>
      </c>
      <c r="B253" s="2" t="s">
        <v>409</v>
      </c>
      <c r="C253" s="2" t="s">
        <v>228</v>
      </c>
      <c r="D253" s="2" t="s">
        <v>25</v>
      </c>
      <c r="E253" s="2">
        <v>120</v>
      </c>
      <c r="F253" s="2" t="s">
        <v>410</v>
      </c>
      <c r="G253" s="2" t="s">
        <v>411</v>
      </c>
      <c r="H253" s="2">
        <v>31</v>
      </c>
      <c r="I253" s="3">
        <v>120</v>
      </c>
      <c r="J253" s="6">
        <v>2700000</v>
      </c>
      <c r="K253" s="5">
        <f t="shared" si="96"/>
        <v>121</v>
      </c>
      <c r="L253" s="9">
        <f t="shared" si="132"/>
        <v>3535920</v>
      </c>
      <c r="M253" s="3">
        <f t="shared" si="97"/>
        <v>122</v>
      </c>
      <c r="N253" s="10">
        <f t="shared" si="133"/>
        <v>6187860</v>
      </c>
      <c r="O253" s="5">
        <f t="shared" si="98"/>
        <v>124</v>
      </c>
      <c r="P253" s="9">
        <f t="shared" si="134"/>
        <v>12994506</v>
      </c>
      <c r="Q253" s="3">
        <f t="shared" si="99"/>
        <v>126</v>
      </c>
      <c r="R253" s="10">
        <f t="shared" si="135"/>
        <v>20250000</v>
      </c>
      <c r="S253" s="5">
        <f t="shared" si="100"/>
        <v>128</v>
      </c>
      <c r="T253" s="9">
        <f t="shared" si="136"/>
        <v>52907888</v>
      </c>
      <c r="U253" s="3">
        <f t="shared" si="101"/>
        <v>131</v>
      </c>
      <c r="V253" s="10">
        <f t="shared" si="137"/>
        <v>170130481</v>
      </c>
      <c r="W253" s="5">
        <f t="shared" si="102"/>
        <v>135</v>
      </c>
      <c r="X253" s="9">
        <f t="shared" si="138"/>
        <v>718014028</v>
      </c>
      <c r="Y253" s="3">
        <f t="shared" si="103"/>
        <v>137</v>
      </c>
      <c r="Z253" s="10">
        <f t="shared" si="139"/>
        <v>1723233667</v>
      </c>
      <c r="AA253" s="5">
        <f t="shared" si="104"/>
        <v>139</v>
      </c>
      <c r="AB253" s="9">
        <f t="shared" si="140"/>
        <v>4308084168</v>
      </c>
      <c r="AC253" s="3">
        <f t="shared" si="105"/>
        <v>141</v>
      </c>
      <c r="AD253" s="10">
        <f t="shared" si="141"/>
        <v>12062635669</v>
      </c>
      <c r="AE253" s="5">
        <f t="shared" si="106"/>
        <v>144</v>
      </c>
      <c r="AF253" s="9">
        <f t="shared" si="142"/>
        <v>38600434142</v>
      </c>
      <c r="AG253" s="3">
        <f t="shared" si="107"/>
        <v>147</v>
      </c>
      <c r="AH253" s="10">
        <f t="shared" si="143"/>
        <v>146681649738</v>
      </c>
    </row>
    <row r="254" spans="1:34" x14ac:dyDescent="0.3">
      <c r="A254" s="2">
        <v>321</v>
      </c>
      <c r="B254" s="2" t="s">
        <v>412</v>
      </c>
      <c r="C254" s="2" t="s">
        <v>228</v>
      </c>
      <c r="D254" s="2" t="s">
        <v>33</v>
      </c>
      <c r="E254" s="2">
        <v>120</v>
      </c>
      <c r="F254" s="2" t="s">
        <v>413</v>
      </c>
      <c r="G254" s="2" t="s">
        <v>374</v>
      </c>
      <c r="H254" s="2">
        <v>31</v>
      </c>
      <c r="I254" s="3">
        <v>120</v>
      </c>
      <c r="J254" s="6">
        <v>2700000</v>
      </c>
      <c r="K254" s="5">
        <f t="shared" si="96"/>
        <v>121</v>
      </c>
      <c r="L254" s="9">
        <f>ROUND($J254*1.637*1,0)</f>
        <v>4419900</v>
      </c>
      <c r="M254" s="3">
        <f t="shared" si="97"/>
        <v>122</v>
      </c>
      <c r="N254" s="10">
        <f>ROUND($J254*1.637*1.75*1,0)</f>
        <v>7734825</v>
      </c>
      <c r="O254" s="5">
        <f t="shared" si="98"/>
        <v>124</v>
      </c>
      <c r="P254" s="9">
        <f>ROUND($J254*1.637*1.75*2.1*1,0)</f>
        <v>16243133</v>
      </c>
      <c r="Q254" s="3">
        <f t="shared" si="99"/>
        <v>126</v>
      </c>
      <c r="R254" s="10">
        <f>ROUND($J254*1.637*1.75*2.1*2.3*1,0)</f>
        <v>37359205</v>
      </c>
      <c r="S254" s="5">
        <f t="shared" si="100"/>
        <v>128</v>
      </c>
      <c r="T254" s="9">
        <f>ROUND($J254*1.637*1.75*2.1*2.3*2.6*1,0)</f>
        <v>97133932</v>
      </c>
      <c r="U254" s="3">
        <f t="shared" si="101"/>
        <v>131</v>
      </c>
      <c r="V254" s="10">
        <f>ROUND($J254*1.637*1.75*2.1*2.3*2.6*3.2*1,0)</f>
        <v>310828584</v>
      </c>
      <c r="W254" s="5">
        <f t="shared" si="102"/>
        <v>135</v>
      </c>
      <c r="X254" s="9">
        <f>ROUND($J254*1.637*1.75*2.1*2.3*2.6*3.2*4.2*1,0)</f>
        <v>1305480051</v>
      </c>
      <c r="Y254" s="3">
        <f t="shared" si="103"/>
        <v>137</v>
      </c>
      <c r="Z254" s="10">
        <f>ROUND($J254*1.637*1.75*2.1*2.3*2.6*3.2*4.2*2.4*1,0)</f>
        <v>3133152122</v>
      </c>
      <c r="AA254" s="5">
        <f t="shared" si="104"/>
        <v>139</v>
      </c>
      <c r="AB254" s="9">
        <f>ROUND($J254*1.637*1.75*2.1*2.3*2.6*3.2*4.2*2.4*2.5*1,0)</f>
        <v>7832880305</v>
      </c>
      <c r="AC254" s="3">
        <f t="shared" si="105"/>
        <v>141</v>
      </c>
      <c r="AD254" s="10">
        <f>ROUND($J254*1.637*1.75*2.1*2.3*2.6*3.2*4.2*2.4*2.5*2.8*1,0)</f>
        <v>21932064853</v>
      </c>
      <c r="AE254" s="5">
        <f t="shared" si="106"/>
        <v>144</v>
      </c>
      <c r="AF254" s="9">
        <f>ROUND($J254*1.637*1.75*2.1*2.3*2.6*3.2*4.2*2.4*2.5*2.8*3.2*1,0)</f>
        <v>70182607530</v>
      </c>
      <c r="AG254" s="3">
        <f t="shared" si="107"/>
        <v>147</v>
      </c>
      <c r="AH254" s="10">
        <f>ROUND($J254*1.637*1.75*2.1*2.3*2.6*3.2*4.2*2.4*2.5*2.8*3.2*3.8*1,0)</f>
        <v>266693908615</v>
      </c>
    </row>
    <row r="255" spans="1:34" x14ac:dyDescent="0.3">
      <c r="A255" s="2">
        <v>286</v>
      </c>
      <c r="B255" s="2" t="s">
        <v>414</v>
      </c>
      <c r="C255" s="2" t="s">
        <v>228</v>
      </c>
      <c r="D255" s="2" t="s">
        <v>45</v>
      </c>
      <c r="E255" s="2">
        <v>120</v>
      </c>
      <c r="F255" s="2" t="s">
        <v>225</v>
      </c>
      <c r="G255" s="2" t="s">
        <v>415</v>
      </c>
      <c r="H255" s="2">
        <v>30</v>
      </c>
      <c r="I255" s="3">
        <v>120</v>
      </c>
      <c r="J255" s="6">
        <v>2700000</v>
      </c>
      <c r="K255" s="5">
        <f t="shared" si="96"/>
        <v>121</v>
      </c>
      <c r="L255" s="9">
        <f t="shared" ref="L255:L262" si="144">ROUND($J255*1.637*0.8,0)</f>
        <v>3535920</v>
      </c>
      <c r="M255" s="3">
        <f t="shared" si="97"/>
        <v>122</v>
      </c>
      <c r="N255" s="10">
        <f t="shared" ref="N255:N262" si="145">ROUND($J255*1.637*1.75*0.8,0)</f>
        <v>6187860</v>
      </c>
      <c r="O255" s="5">
        <f t="shared" si="98"/>
        <v>124</v>
      </c>
      <c r="P255" s="9">
        <f t="shared" ref="P255:P262" si="146">ROUND($J255*1.637*1.75*2.1*0.8,0)</f>
        <v>12994506</v>
      </c>
      <c r="Q255" s="3">
        <f t="shared" si="99"/>
        <v>126</v>
      </c>
      <c r="R255" s="10">
        <f t="shared" ref="R255:R262" si="147">ROUND($J255*1.637*1.75*2.1*2.3*0.542035092435954,0)</f>
        <v>20250000</v>
      </c>
      <c r="S255" s="5">
        <f t="shared" si="100"/>
        <v>128</v>
      </c>
      <c r="T255" s="9">
        <f t="shared" ref="T255:T262" si="148">ROUND($J255*1.637*1.75*2.1*2.3*2.6*0.544690061623969,0)</f>
        <v>52907888</v>
      </c>
      <c r="U255" s="3">
        <f t="shared" si="101"/>
        <v>131</v>
      </c>
      <c r="V255" s="10">
        <f t="shared" ref="V255:V262" si="149">ROUND($J255*1.637*1.75*2.1*2.3*2.6*3.2*0.547345030811984,0)</f>
        <v>170130481</v>
      </c>
      <c r="W255" s="5">
        <f t="shared" si="102"/>
        <v>135</v>
      </c>
      <c r="X255" s="9">
        <f t="shared" ref="X255:X262" si="150">ROUND($J255*1.637*1.75*2.1*2.3*2.6*3.2*4.2*0.55,0)</f>
        <v>718014028</v>
      </c>
      <c r="Y255" s="3">
        <f t="shared" si="103"/>
        <v>137</v>
      </c>
      <c r="Z255" s="10">
        <f t="shared" ref="Z255:Z262" si="151">ROUND($J255*1.637*1.75*2.1*2.3*2.6*3.2*4.2*2.4*0.55,0)</f>
        <v>1723233667</v>
      </c>
      <c r="AA255" s="5">
        <f t="shared" si="104"/>
        <v>139</v>
      </c>
      <c r="AB255" s="9">
        <f t="shared" ref="AB255:AB262" si="152">ROUND($J255*1.637*1.75*2.1*2.3*2.6*3.2*4.2*2.4*2.5*0.55,0)</f>
        <v>4308084168</v>
      </c>
      <c r="AC255" s="3">
        <f t="shared" si="105"/>
        <v>141</v>
      </c>
      <c r="AD255" s="10">
        <f t="shared" ref="AD255:AD262" si="153">ROUND($J255*1.637*1.75*2.1*2.3*2.6*3.2*4.2*2.4*2.5*2.8*0.55,0)</f>
        <v>12062635669</v>
      </c>
      <c r="AE255" s="5">
        <f t="shared" si="106"/>
        <v>144</v>
      </c>
      <c r="AF255" s="9">
        <f t="shared" ref="AF255:AF262" si="154">ROUND($J255*1.637*1.75*2.1*2.3*2.6*3.2*4.2*2.4*2.5*2.8*3.2*0.55,0)</f>
        <v>38600434142</v>
      </c>
      <c r="AG255" s="3">
        <f t="shared" si="107"/>
        <v>147</v>
      </c>
      <c r="AH255" s="10">
        <f t="shared" ref="AH255:AH262" si="155">ROUND($J255*1.637*1.75*2.1*2.3*2.6*3.2*4.2*2.4*2.5*2.8*3.2*3.8*0.55,0)</f>
        <v>146681649738</v>
      </c>
    </row>
    <row r="256" spans="1:34" x14ac:dyDescent="0.3">
      <c r="A256" s="2">
        <v>285</v>
      </c>
      <c r="B256" s="2" t="s">
        <v>416</v>
      </c>
      <c r="C256" s="2" t="s">
        <v>228</v>
      </c>
      <c r="D256" s="2" t="s">
        <v>45</v>
      </c>
      <c r="E256" s="2">
        <v>120</v>
      </c>
      <c r="F256" s="2" t="s">
        <v>413</v>
      </c>
      <c r="G256" s="2" t="s">
        <v>417</v>
      </c>
      <c r="H256" s="2">
        <v>29</v>
      </c>
      <c r="I256" s="3">
        <v>120</v>
      </c>
      <c r="J256" s="6">
        <v>2700000</v>
      </c>
      <c r="K256" s="5">
        <f t="shared" si="96"/>
        <v>121</v>
      </c>
      <c r="L256" s="9">
        <f t="shared" si="144"/>
        <v>3535920</v>
      </c>
      <c r="M256" s="3">
        <f t="shared" si="97"/>
        <v>122</v>
      </c>
      <c r="N256" s="10">
        <f t="shared" si="145"/>
        <v>6187860</v>
      </c>
      <c r="O256" s="5">
        <f t="shared" si="98"/>
        <v>124</v>
      </c>
      <c r="P256" s="9">
        <f t="shared" si="146"/>
        <v>12994506</v>
      </c>
      <c r="Q256" s="3">
        <f t="shared" si="99"/>
        <v>126</v>
      </c>
      <c r="R256" s="10">
        <f t="shared" si="147"/>
        <v>20250000</v>
      </c>
      <c r="S256" s="5">
        <f t="shared" si="100"/>
        <v>128</v>
      </c>
      <c r="T256" s="9">
        <f t="shared" si="148"/>
        <v>52907888</v>
      </c>
      <c r="U256" s="3">
        <f t="shared" si="101"/>
        <v>131</v>
      </c>
      <c r="V256" s="10">
        <f t="shared" si="149"/>
        <v>170130481</v>
      </c>
      <c r="W256" s="5">
        <f t="shared" si="102"/>
        <v>135</v>
      </c>
      <c r="X256" s="9">
        <f t="shared" si="150"/>
        <v>718014028</v>
      </c>
      <c r="Y256" s="3">
        <f t="shared" si="103"/>
        <v>137</v>
      </c>
      <c r="Z256" s="10">
        <f t="shared" si="151"/>
        <v>1723233667</v>
      </c>
      <c r="AA256" s="5">
        <f t="shared" si="104"/>
        <v>139</v>
      </c>
      <c r="AB256" s="9">
        <f t="shared" si="152"/>
        <v>4308084168</v>
      </c>
      <c r="AC256" s="3">
        <f t="shared" si="105"/>
        <v>141</v>
      </c>
      <c r="AD256" s="10">
        <f t="shared" si="153"/>
        <v>12062635669</v>
      </c>
      <c r="AE256" s="5">
        <f t="shared" si="106"/>
        <v>144</v>
      </c>
      <c r="AF256" s="9">
        <f t="shared" si="154"/>
        <v>38600434142</v>
      </c>
      <c r="AG256" s="3">
        <f t="shared" si="107"/>
        <v>147</v>
      </c>
      <c r="AH256" s="10">
        <f t="shared" si="155"/>
        <v>146681649738</v>
      </c>
    </row>
    <row r="257" spans="1:34" x14ac:dyDescent="0.3">
      <c r="A257" s="2">
        <v>302</v>
      </c>
      <c r="B257" s="2" t="s">
        <v>418</v>
      </c>
      <c r="C257" s="2" t="s">
        <v>228</v>
      </c>
      <c r="D257" s="2" t="s">
        <v>93</v>
      </c>
      <c r="E257" s="2">
        <v>120</v>
      </c>
      <c r="F257" s="2" t="s">
        <v>54</v>
      </c>
      <c r="G257" s="2" t="s">
        <v>417</v>
      </c>
      <c r="H257" s="2">
        <v>30</v>
      </c>
      <c r="I257" s="3">
        <v>120</v>
      </c>
      <c r="J257" s="6">
        <v>2300000</v>
      </c>
      <c r="K257" s="5">
        <f t="shared" si="96"/>
        <v>121</v>
      </c>
      <c r="L257" s="9">
        <f t="shared" si="144"/>
        <v>3012080</v>
      </c>
      <c r="M257" s="3">
        <f t="shared" si="97"/>
        <v>122</v>
      </c>
      <c r="N257" s="10">
        <f t="shared" si="145"/>
        <v>5271140</v>
      </c>
      <c r="O257" s="5">
        <f t="shared" si="98"/>
        <v>124</v>
      </c>
      <c r="P257" s="9">
        <f t="shared" si="146"/>
        <v>11069394</v>
      </c>
      <c r="Q257" s="3">
        <f t="shared" si="99"/>
        <v>126</v>
      </c>
      <c r="R257" s="10">
        <f t="shared" si="147"/>
        <v>17250000</v>
      </c>
      <c r="S257" s="5">
        <f t="shared" si="100"/>
        <v>128</v>
      </c>
      <c r="T257" s="9">
        <f t="shared" si="148"/>
        <v>45069682</v>
      </c>
      <c r="U257" s="3">
        <f t="shared" si="101"/>
        <v>131</v>
      </c>
      <c r="V257" s="10">
        <f t="shared" si="149"/>
        <v>144925965</v>
      </c>
      <c r="W257" s="5">
        <f t="shared" si="102"/>
        <v>135</v>
      </c>
      <c r="X257" s="9">
        <f t="shared" si="150"/>
        <v>611641579</v>
      </c>
      <c r="Y257" s="3">
        <f t="shared" si="103"/>
        <v>137</v>
      </c>
      <c r="Z257" s="10">
        <f t="shared" si="151"/>
        <v>1467939790</v>
      </c>
      <c r="AA257" s="5">
        <f t="shared" si="104"/>
        <v>139</v>
      </c>
      <c r="AB257" s="9">
        <f t="shared" si="152"/>
        <v>3669849476</v>
      </c>
      <c r="AC257" s="3">
        <f t="shared" si="105"/>
        <v>141</v>
      </c>
      <c r="AD257" s="10">
        <f t="shared" si="153"/>
        <v>10275578533</v>
      </c>
      <c r="AE257" s="5">
        <f t="shared" si="106"/>
        <v>144</v>
      </c>
      <c r="AF257" s="9">
        <f t="shared" si="154"/>
        <v>32881851306</v>
      </c>
      <c r="AG257" s="3">
        <f t="shared" si="107"/>
        <v>147</v>
      </c>
      <c r="AH257" s="10">
        <f t="shared" si="155"/>
        <v>124951034962</v>
      </c>
    </row>
    <row r="258" spans="1:34" x14ac:dyDescent="0.3">
      <c r="A258" s="2">
        <v>320</v>
      </c>
      <c r="B258" s="2" t="s">
        <v>419</v>
      </c>
      <c r="C258" s="2" t="s">
        <v>228</v>
      </c>
      <c r="D258" s="2" t="s">
        <v>33</v>
      </c>
      <c r="E258" s="2">
        <v>120</v>
      </c>
      <c r="F258" s="2" t="s">
        <v>413</v>
      </c>
      <c r="G258" s="2" t="s">
        <v>337</v>
      </c>
      <c r="H258" s="2">
        <v>29</v>
      </c>
      <c r="I258" s="3">
        <v>120</v>
      </c>
      <c r="J258" s="6">
        <v>2300000</v>
      </c>
      <c r="K258" s="5">
        <f t="shared" si="96"/>
        <v>121</v>
      </c>
      <c r="L258" s="9">
        <f t="shared" si="144"/>
        <v>3012080</v>
      </c>
      <c r="M258" s="3">
        <f t="shared" si="97"/>
        <v>122</v>
      </c>
      <c r="N258" s="10">
        <f t="shared" si="145"/>
        <v>5271140</v>
      </c>
      <c r="O258" s="5">
        <f t="shared" si="98"/>
        <v>124</v>
      </c>
      <c r="P258" s="9">
        <f t="shared" si="146"/>
        <v>11069394</v>
      </c>
      <c r="Q258" s="3">
        <f t="shared" si="99"/>
        <v>126</v>
      </c>
      <c r="R258" s="10">
        <f t="shared" si="147"/>
        <v>17250000</v>
      </c>
      <c r="S258" s="5">
        <f t="shared" si="100"/>
        <v>128</v>
      </c>
      <c r="T258" s="9">
        <f t="shared" si="148"/>
        <v>45069682</v>
      </c>
      <c r="U258" s="3">
        <f t="shared" si="101"/>
        <v>131</v>
      </c>
      <c r="V258" s="10">
        <f t="shared" si="149"/>
        <v>144925965</v>
      </c>
      <c r="W258" s="5">
        <f t="shared" si="102"/>
        <v>135</v>
      </c>
      <c r="X258" s="9">
        <f t="shared" si="150"/>
        <v>611641579</v>
      </c>
      <c r="Y258" s="3">
        <f t="shared" si="103"/>
        <v>137</v>
      </c>
      <c r="Z258" s="10">
        <f t="shared" si="151"/>
        <v>1467939790</v>
      </c>
      <c r="AA258" s="5">
        <f t="shared" si="104"/>
        <v>139</v>
      </c>
      <c r="AB258" s="9">
        <f t="shared" si="152"/>
        <v>3669849476</v>
      </c>
      <c r="AC258" s="3">
        <f t="shared" si="105"/>
        <v>141</v>
      </c>
      <c r="AD258" s="10">
        <f t="shared" si="153"/>
        <v>10275578533</v>
      </c>
      <c r="AE258" s="5">
        <f t="shared" si="106"/>
        <v>144</v>
      </c>
      <c r="AF258" s="9">
        <f t="shared" si="154"/>
        <v>32881851306</v>
      </c>
      <c r="AG258" s="3">
        <f t="shared" si="107"/>
        <v>147</v>
      </c>
      <c r="AH258" s="10">
        <f t="shared" si="155"/>
        <v>124951034962</v>
      </c>
    </row>
    <row r="259" spans="1:34" x14ac:dyDescent="0.3">
      <c r="A259" s="2">
        <v>304</v>
      </c>
      <c r="B259" s="2" t="s">
        <v>420</v>
      </c>
      <c r="C259" s="2" t="s">
        <v>228</v>
      </c>
      <c r="D259" s="2" t="s">
        <v>102</v>
      </c>
      <c r="E259" s="2">
        <v>120</v>
      </c>
      <c r="F259" s="2" t="s">
        <v>26</v>
      </c>
      <c r="G259" s="2" t="s">
        <v>247</v>
      </c>
      <c r="H259" s="2">
        <v>29</v>
      </c>
      <c r="I259" s="3">
        <v>120</v>
      </c>
      <c r="J259" s="6">
        <v>2300000</v>
      </c>
      <c r="K259" s="5">
        <f t="shared" ref="K259:K312" si="156">$E259+1</f>
        <v>121</v>
      </c>
      <c r="L259" s="9">
        <f t="shared" si="144"/>
        <v>3012080</v>
      </c>
      <c r="M259" s="3">
        <f t="shared" ref="M259:M312" si="157">$E259+2</f>
        <v>122</v>
      </c>
      <c r="N259" s="10">
        <f t="shared" si="145"/>
        <v>5271140</v>
      </c>
      <c r="O259" s="5">
        <f t="shared" ref="O259:O312" si="158">$E259+4</f>
        <v>124</v>
      </c>
      <c r="P259" s="9">
        <f t="shared" si="146"/>
        <v>11069394</v>
      </c>
      <c r="Q259" s="3">
        <f t="shared" ref="Q259:Q312" si="159">$E259+6</f>
        <v>126</v>
      </c>
      <c r="R259" s="10">
        <f t="shared" si="147"/>
        <v>17250000</v>
      </c>
      <c r="S259" s="5">
        <f t="shared" ref="S259:S312" si="160">$E259+8</f>
        <v>128</v>
      </c>
      <c r="T259" s="9">
        <f t="shared" si="148"/>
        <v>45069682</v>
      </c>
      <c r="U259" s="3">
        <f t="shared" ref="U259:U312" si="161">$E259+11</f>
        <v>131</v>
      </c>
      <c r="V259" s="10">
        <f t="shared" si="149"/>
        <v>144925965</v>
      </c>
      <c r="W259" s="5">
        <f t="shared" ref="W259:W312" si="162">$E259+15</f>
        <v>135</v>
      </c>
      <c r="X259" s="9">
        <f t="shared" si="150"/>
        <v>611641579</v>
      </c>
      <c r="Y259" s="3">
        <f t="shared" ref="Y259:Y312" si="163">$E259+17</f>
        <v>137</v>
      </c>
      <c r="Z259" s="10">
        <f t="shared" si="151"/>
        <v>1467939790</v>
      </c>
      <c r="AA259" s="5">
        <f t="shared" ref="AA259:AA312" si="164">$E259+19</f>
        <v>139</v>
      </c>
      <c r="AB259" s="9">
        <f t="shared" si="152"/>
        <v>3669849476</v>
      </c>
      <c r="AC259" s="3">
        <f t="shared" ref="AC259:AC312" si="165">$E259+21</f>
        <v>141</v>
      </c>
      <c r="AD259" s="10">
        <f t="shared" si="153"/>
        <v>10275578533</v>
      </c>
      <c r="AE259" s="5">
        <f t="shared" ref="AE259:AE312" si="166">$E259+24</f>
        <v>144</v>
      </c>
      <c r="AF259" s="9">
        <f t="shared" si="154"/>
        <v>32881851306</v>
      </c>
      <c r="AG259" s="3">
        <f t="shared" ref="AG259:AG312" si="167">$E259+27</f>
        <v>147</v>
      </c>
      <c r="AH259" s="10">
        <f t="shared" si="155"/>
        <v>124951034962</v>
      </c>
    </row>
    <row r="260" spans="1:34" x14ac:dyDescent="0.3">
      <c r="A260" s="2">
        <v>316</v>
      </c>
      <c r="B260" s="2" t="s">
        <v>421</v>
      </c>
      <c r="C260" s="2" t="s">
        <v>228</v>
      </c>
      <c r="D260" s="2" t="s">
        <v>33</v>
      </c>
      <c r="E260" s="2">
        <v>120</v>
      </c>
      <c r="F260" s="2" t="s">
        <v>54</v>
      </c>
      <c r="G260" s="2" t="s">
        <v>252</v>
      </c>
      <c r="H260" s="2">
        <v>29</v>
      </c>
      <c r="I260" s="3">
        <v>120</v>
      </c>
      <c r="J260" s="6">
        <v>2300000</v>
      </c>
      <c r="K260" s="5">
        <f t="shared" si="156"/>
        <v>121</v>
      </c>
      <c r="L260" s="9">
        <f t="shared" si="144"/>
        <v>3012080</v>
      </c>
      <c r="M260" s="3">
        <f t="shared" si="157"/>
        <v>122</v>
      </c>
      <c r="N260" s="10">
        <f t="shared" si="145"/>
        <v>5271140</v>
      </c>
      <c r="O260" s="5">
        <f t="shared" si="158"/>
        <v>124</v>
      </c>
      <c r="P260" s="9">
        <f t="shared" si="146"/>
        <v>11069394</v>
      </c>
      <c r="Q260" s="3">
        <f t="shared" si="159"/>
        <v>126</v>
      </c>
      <c r="R260" s="10">
        <f t="shared" si="147"/>
        <v>17250000</v>
      </c>
      <c r="S260" s="5">
        <f t="shared" si="160"/>
        <v>128</v>
      </c>
      <c r="T260" s="9">
        <f t="shared" si="148"/>
        <v>45069682</v>
      </c>
      <c r="U260" s="3">
        <f t="shared" si="161"/>
        <v>131</v>
      </c>
      <c r="V260" s="10">
        <f t="shared" si="149"/>
        <v>144925965</v>
      </c>
      <c r="W260" s="5">
        <f t="shared" si="162"/>
        <v>135</v>
      </c>
      <c r="X260" s="9">
        <f t="shared" si="150"/>
        <v>611641579</v>
      </c>
      <c r="Y260" s="3">
        <f t="shared" si="163"/>
        <v>137</v>
      </c>
      <c r="Z260" s="10">
        <f t="shared" si="151"/>
        <v>1467939790</v>
      </c>
      <c r="AA260" s="5">
        <f t="shared" si="164"/>
        <v>139</v>
      </c>
      <c r="AB260" s="9">
        <f t="shared" si="152"/>
        <v>3669849476</v>
      </c>
      <c r="AC260" s="3">
        <f t="shared" si="165"/>
        <v>141</v>
      </c>
      <c r="AD260" s="10">
        <f t="shared" si="153"/>
        <v>10275578533</v>
      </c>
      <c r="AE260" s="5">
        <f t="shared" si="166"/>
        <v>144</v>
      </c>
      <c r="AF260" s="9">
        <f t="shared" si="154"/>
        <v>32881851306</v>
      </c>
      <c r="AG260" s="3">
        <f t="shared" si="167"/>
        <v>147</v>
      </c>
      <c r="AH260" s="10">
        <f t="shared" si="155"/>
        <v>124951034962</v>
      </c>
    </row>
    <row r="261" spans="1:34" x14ac:dyDescent="0.3">
      <c r="A261" s="2">
        <v>269</v>
      </c>
      <c r="B261" s="2" t="s">
        <v>422</v>
      </c>
      <c r="C261" s="2" t="s">
        <v>228</v>
      </c>
      <c r="D261" s="2" t="s">
        <v>79</v>
      </c>
      <c r="E261" s="2">
        <v>120</v>
      </c>
      <c r="F261" s="2" t="s">
        <v>71</v>
      </c>
      <c r="G261" s="2" t="s">
        <v>326</v>
      </c>
      <c r="H261" s="2">
        <v>30</v>
      </c>
      <c r="I261" s="3">
        <v>120</v>
      </c>
      <c r="J261" s="4">
        <v>2600000</v>
      </c>
      <c r="K261" s="5">
        <f t="shared" si="156"/>
        <v>121</v>
      </c>
      <c r="L261" s="9">
        <f t="shared" si="144"/>
        <v>3404960</v>
      </c>
      <c r="M261" s="3">
        <f t="shared" si="157"/>
        <v>122</v>
      </c>
      <c r="N261" s="10">
        <f t="shared" si="145"/>
        <v>5958680</v>
      </c>
      <c r="O261" s="5">
        <f t="shared" si="158"/>
        <v>124</v>
      </c>
      <c r="P261" s="9">
        <f t="shared" si="146"/>
        <v>12513228</v>
      </c>
      <c r="Q261" s="3">
        <f t="shared" si="159"/>
        <v>126</v>
      </c>
      <c r="R261" s="10">
        <f t="shared" si="147"/>
        <v>19500000</v>
      </c>
      <c r="S261" s="5">
        <f t="shared" si="160"/>
        <v>128</v>
      </c>
      <c r="T261" s="9">
        <f t="shared" si="148"/>
        <v>50948336</v>
      </c>
      <c r="U261" s="3">
        <f t="shared" si="161"/>
        <v>131</v>
      </c>
      <c r="V261" s="10">
        <f t="shared" si="149"/>
        <v>163829352</v>
      </c>
      <c r="W261" s="5">
        <f t="shared" si="162"/>
        <v>135</v>
      </c>
      <c r="X261" s="9">
        <f t="shared" si="150"/>
        <v>691420916</v>
      </c>
      <c r="Y261" s="3">
        <f t="shared" si="163"/>
        <v>137</v>
      </c>
      <c r="Z261" s="10">
        <f t="shared" si="151"/>
        <v>1659410198</v>
      </c>
      <c r="AA261" s="5">
        <f t="shared" si="164"/>
        <v>139</v>
      </c>
      <c r="AB261" s="9">
        <f t="shared" si="152"/>
        <v>4148525495</v>
      </c>
      <c r="AC261" s="3">
        <f t="shared" si="165"/>
        <v>141</v>
      </c>
      <c r="AD261" s="10">
        <f t="shared" si="153"/>
        <v>11615871385</v>
      </c>
      <c r="AE261" s="5">
        <f t="shared" si="166"/>
        <v>144</v>
      </c>
      <c r="AF261" s="9">
        <f t="shared" si="154"/>
        <v>37170788433</v>
      </c>
      <c r="AG261" s="3">
        <f t="shared" si="167"/>
        <v>147</v>
      </c>
      <c r="AH261" s="10">
        <f t="shared" si="155"/>
        <v>141248996044</v>
      </c>
    </row>
    <row r="262" spans="1:34" x14ac:dyDescent="0.3">
      <c r="A262" s="2">
        <v>284</v>
      </c>
      <c r="B262" s="2" t="s">
        <v>423</v>
      </c>
      <c r="C262" s="2" t="s">
        <v>228</v>
      </c>
      <c r="D262" s="2" t="s">
        <v>45</v>
      </c>
      <c r="E262" s="2">
        <v>120</v>
      </c>
      <c r="F262" s="2" t="s">
        <v>212</v>
      </c>
      <c r="G262" s="2" t="s">
        <v>424</v>
      </c>
      <c r="H262" s="2">
        <v>30</v>
      </c>
      <c r="I262" s="3">
        <v>120</v>
      </c>
      <c r="J262" s="4">
        <v>2600000</v>
      </c>
      <c r="K262" s="5">
        <f t="shared" si="156"/>
        <v>121</v>
      </c>
      <c r="L262" s="9">
        <f t="shared" si="144"/>
        <v>3404960</v>
      </c>
      <c r="M262" s="3">
        <f t="shared" si="157"/>
        <v>122</v>
      </c>
      <c r="N262" s="10">
        <f t="shared" si="145"/>
        <v>5958680</v>
      </c>
      <c r="O262" s="5">
        <f t="shared" si="158"/>
        <v>124</v>
      </c>
      <c r="P262" s="9">
        <f t="shared" si="146"/>
        <v>12513228</v>
      </c>
      <c r="Q262" s="3">
        <f t="shared" si="159"/>
        <v>126</v>
      </c>
      <c r="R262" s="10">
        <f t="shared" si="147"/>
        <v>19500000</v>
      </c>
      <c r="S262" s="5">
        <f t="shared" si="160"/>
        <v>128</v>
      </c>
      <c r="T262" s="9">
        <f t="shared" si="148"/>
        <v>50948336</v>
      </c>
      <c r="U262" s="3">
        <f t="shared" si="161"/>
        <v>131</v>
      </c>
      <c r="V262" s="10">
        <f t="shared" si="149"/>
        <v>163829352</v>
      </c>
      <c r="W262" s="5">
        <f t="shared" si="162"/>
        <v>135</v>
      </c>
      <c r="X262" s="9">
        <f t="shared" si="150"/>
        <v>691420916</v>
      </c>
      <c r="Y262" s="3">
        <f t="shared" si="163"/>
        <v>137</v>
      </c>
      <c r="Z262" s="10">
        <f t="shared" si="151"/>
        <v>1659410198</v>
      </c>
      <c r="AA262" s="5">
        <f t="shared" si="164"/>
        <v>139</v>
      </c>
      <c r="AB262" s="9">
        <f t="shared" si="152"/>
        <v>4148525495</v>
      </c>
      <c r="AC262" s="3">
        <f t="shared" si="165"/>
        <v>141</v>
      </c>
      <c r="AD262" s="10">
        <f t="shared" si="153"/>
        <v>11615871385</v>
      </c>
      <c r="AE262" s="5">
        <f t="shared" si="166"/>
        <v>144</v>
      </c>
      <c r="AF262" s="9">
        <f t="shared" si="154"/>
        <v>37170788433</v>
      </c>
      <c r="AG262" s="3">
        <f t="shared" si="167"/>
        <v>147</v>
      </c>
      <c r="AH262" s="10">
        <f t="shared" si="155"/>
        <v>141248996044</v>
      </c>
    </row>
    <row r="263" spans="1:34" x14ac:dyDescent="0.3">
      <c r="A263" s="2">
        <v>270</v>
      </c>
      <c r="B263" s="2" t="s">
        <v>425</v>
      </c>
      <c r="C263" s="2" t="s">
        <v>228</v>
      </c>
      <c r="D263" s="2" t="s">
        <v>40</v>
      </c>
      <c r="E263" s="2">
        <v>120</v>
      </c>
      <c r="F263" s="2" t="s">
        <v>341</v>
      </c>
      <c r="G263" s="2" t="s">
        <v>426</v>
      </c>
      <c r="H263" s="2">
        <v>31</v>
      </c>
      <c r="I263" s="3">
        <v>120</v>
      </c>
      <c r="J263" s="4">
        <v>2000000</v>
      </c>
      <c r="K263" s="5">
        <f t="shared" si="156"/>
        <v>121</v>
      </c>
      <c r="L263" s="9">
        <f>ROUND($J263*1.637*1,0)</f>
        <v>3274000</v>
      </c>
      <c r="M263" s="3">
        <f t="shared" si="157"/>
        <v>122</v>
      </c>
      <c r="N263" s="10">
        <f>ROUND($J263*1.637*1.75*1,0)</f>
        <v>5729500</v>
      </c>
      <c r="O263" s="5">
        <f t="shared" si="158"/>
        <v>124</v>
      </c>
      <c r="P263" s="9">
        <f>ROUND($J263*1.637*1.75*2.1*1,0)</f>
        <v>12031950</v>
      </c>
      <c r="Q263" s="3">
        <f t="shared" si="159"/>
        <v>126</v>
      </c>
      <c r="R263" s="10">
        <f>ROUND($J263*1.637*1.75*2.1*2.3*1,0)</f>
        <v>27673485</v>
      </c>
      <c r="S263" s="5">
        <f t="shared" si="160"/>
        <v>128</v>
      </c>
      <c r="T263" s="9">
        <f>ROUND($J263*1.637*1.75*2.1*2.3*2.6*1,0)</f>
        <v>71951061</v>
      </c>
      <c r="U263" s="3">
        <f t="shared" si="161"/>
        <v>131</v>
      </c>
      <c r="V263" s="10">
        <f>ROUND($J263*1.637*1.75*2.1*2.3*2.6*3.2*1,0)</f>
        <v>230243395</v>
      </c>
      <c r="W263" s="5">
        <f t="shared" si="162"/>
        <v>135</v>
      </c>
      <c r="X263" s="9">
        <f>ROUND($J263*1.637*1.75*2.1*2.3*2.6*3.2*4.2*1,0)</f>
        <v>967022260</v>
      </c>
      <c r="Y263" s="3">
        <f t="shared" si="163"/>
        <v>137</v>
      </c>
      <c r="Z263" s="10">
        <f>ROUND($J263*1.637*1.75*2.1*2.3*2.6*3.2*4.2*2.4*1,0)</f>
        <v>2320853424</v>
      </c>
      <c r="AA263" s="5">
        <f t="shared" si="164"/>
        <v>139</v>
      </c>
      <c r="AB263" s="9">
        <f>ROUND($J263*1.637*1.75*2.1*2.3*2.6*3.2*4.2*2.4*2.5*1,0)</f>
        <v>5802133559</v>
      </c>
      <c r="AC263" s="3">
        <f t="shared" si="165"/>
        <v>141</v>
      </c>
      <c r="AD263" s="10">
        <f>ROUND($J263*1.637*1.75*2.1*2.3*2.6*3.2*4.2*2.4*2.5*2.8*1,0)</f>
        <v>16245973965</v>
      </c>
      <c r="AE263" s="5">
        <f t="shared" si="166"/>
        <v>144</v>
      </c>
      <c r="AF263" s="9">
        <f>ROUND($J263*1.637*1.75*2.1*2.3*2.6*3.2*4.2*2.4*2.5*2.8*3.2*1,0)</f>
        <v>51987116689</v>
      </c>
      <c r="AG263" s="3">
        <f t="shared" si="167"/>
        <v>147</v>
      </c>
      <c r="AH263" s="10">
        <f>ROUND($J263*1.637*1.75*2.1*2.3*2.6*3.2*4.2*2.4*2.5*2.8*3.2*3.8*1,0)</f>
        <v>197551043418</v>
      </c>
    </row>
    <row r="264" spans="1:34" x14ac:dyDescent="0.3">
      <c r="A264" s="2">
        <v>292</v>
      </c>
      <c r="B264" s="2" t="s">
        <v>427</v>
      </c>
      <c r="C264" s="2" t="s">
        <v>228</v>
      </c>
      <c r="D264" s="2" t="s">
        <v>25</v>
      </c>
      <c r="E264" s="2">
        <v>120</v>
      </c>
      <c r="F264" s="2" t="s">
        <v>144</v>
      </c>
      <c r="G264" s="2" t="s">
        <v>337</v>
      </c>
      <c r="H264" s="2">
        <v>30</v>
      </c>
      <c r="I264" s="3">
        <v>120</v>
      </c>
      <c r="J264" s="4">
        <v>2000000</v>
      </c>
      <c r="K264" s="5">
        <f t="shared" si="156"/>
        <v>121</v>
      </c>
      <c r="L264" s="9">
        <f>ROUND($J264*1.637*0.8,0)</f>
        <v>2619200</v>
      </c>
      <c r="M264" s="3">
        <f t="shared" si="157"/>
        <v>122</v>
      </c>
      <c r="N264" s="10">
        <f>ROUND($J264*1.637*1.75*0.8,0)</f>
        <v>4583600</v>
      </c>
      <c r="O264" s="5">
        <f t="shared" si="158"/>
        <v>124</v>
      </c>
      <c r="P264" s="9">
        <f>ROUND($J264*1.637*1.75*2.1*0.8,0)</f>
        <v>9625560</v>
      </c>
      <c r="Q264" s="3">
        <f t="shared" si="159"/>
        <v>126</v>
      </c>
      <c r="R264" s="10">
        <f>ROUND($J264*1.637*1.75*2.1*2.3*0.542035092435954,0)</f>
        <v>15000000</v>
      </c>
      <c r="S264" s="5">
        <f t="shared" si="160"/>
        <v>128</v>
      </c>
      <c r="T264" s="9">
        <f>ROUND($J264*1.637*1.75*2.1*2.3*2.6*0.544690061623969,0)</f>
        <v>39191028</v>
      </c>
      <c r="U264" s="3">
        <f t="shared" si="161"/>
        <v>131</v>
      </c>
      <c r="V264" s="10">
        <f>ROUND($J264*1.637*1.75*2.1*2.3*2.6*3.2*0.547345030811984,0)</f>
        <v>126022578</v>
      </c>
      <c r="W264" s="5">
        <f t="shared" si="162"/>
        <v>135</v>
      </c>
      <c r="X264" s="9">
        <f>ROUND($J264*1.637*1.75*2.1*2.3*2.6*3.2*4.2*0.55,0)</f>
        <v>531862243</v>
      </c>
      <c r="Y264" s="3">
        <f t="shared" si="163"/>
        <v>137</v>
      </c>
      <c r="Z264" s="10">
        <f>ROUND($J264*1.637*1.75*2.1*2.3*2.6*3.2*4.2*2.4*0.55,0)</f>
        <v>1276469383</v>
      </c>
      <c r="AA264" s="5">
        <f t="shared" si="164"/>
        <v>139</v>
      </c>
      <c r="AB264" s="9">
        <f>ROUND($J264*1.637*1.75*2.1*2.3*2.6*3.2*4.2*2.4*2.5*0.55,0)</f>
        <v>3191173457</v>
      </c>
      <c r="AC264" s="3">
        <f t="shared" si="165"/>
        <v>141</v>
      </c>
      <c r="AD264" s="10">
        <f>ROUND($J264*1.637*1.75*2.1*2.3*2.6*3.2*4.2*2.4*2.5*2.8*0.55,0)</f>
        <v>8935285681</v>
      </c>
      <c r="AE264" s="5">
        <f t="shared" si="166"/>
        <v>144</v>
      </c>
      <c r="AF264" s="9">
        <f>ROUND($J264*1.637*1.75*2.1*2.3*2.6*3.2*4.2*2.4*2.5*2.8*3.2*0.55,0)</f>
        <v>28592914179</v>
      </c>
      <c r="AG264" s="3">
        <f t="shared" si="167"/>
        <v>147</v>
      </c>
      <c r="AH264" s="10">
        <f>ROUND($J264*1.637*1.75*2.1*2.3*2.6*3.2*4.2*2.4*2.5*2.8*3.2*3.8*0.55,0)</f>
        <v>108653073880</v>
      </c>
    </row>
    <row r="265" spans="1:34" x14ac:dyDescent="0.3">
      <c r="A265" s="2">
        <v>267</v>
      </c>
      <c r="B265" s="2" t="s">
        <v>428</v>
      </c>
      <c r="C265" s="2" t="s">
        <v>228</v>
      </c>
      <c r="D265" s="2" t="s">
        <v>40</v>
      </c>
      <c r="E265" s="2">
        <v>120</v>
      </c>
      <c r="F265" s="2" t="s">
        <v>146</v>
      </c>
      <c r="G265" s="2" t="s">
        <v>27</v>
      </c>
      <c r="H265" s="2">
        <v>30</v>
      </c>
      <c r="I265" s="3">
        <v>120</v>
      </c>
      <c r="J265" s="4">
        <v>2000000</v>
      </c>
      <c r="K265" s="5">
        <f t="shared" si="156"/>
        <v>121</v>
      </c>
      <c r="L265" s="9">
        <f>ROUND($J265*1.637*1,0)</f>
        <v>3274000</v>
      </c>
      <c r="M265" s="3">
        <f t="shared" si="157"/>
        <v>122</v>
      </c>
      <c r="N265" s="10">
        <f>ROUND($J265*1.637*1.75*1,0)</f>
        <v>5729500</v>
      </c>
      <c r="O265" s="5">
        <f t="shared" si="158"/>
        <v>124</v>
      </c>
      <c r="P265" s="9">
        <f>ROUND($J265*1.637*1.75*2.1*1,0)</f>
        <v>12031950</v>
      </c>
      <c r="Q265" s="3">
        <f t="shared" si="159"/>
        <v>126</v>
      </c>
      <c r="R265" s="10">
        <f>ROUND($J265*1.637*1.75*2.1*2.3*1,0)</f>
        <v>27673485</v>
      </c>
      <c r="S265" s="5">
        <f t="shared" si="160"/>
        <v>128</v>
      </c>
      <c r="T265" s="9">
        <f>ROUND($J265*1.637*1.75*2.1*2.3*2.6*1,0)</f>
        <v>71951061</v>
      </c>
      <c r="U265" s="3">
        <f t="shared" si="161"/>
        <v>131</v>
      </c>
      <c r="V265" s="10">
        <f>ROUND($J265*1.637*1.75*2.1*2.3*2.6*3.2*1,0)</f>
        <v>230243395</v>
      </c>
      <c r="W265" s="5">
        <f t="shared" si="162"/>
        <v>135</v>
      </c>
      <c r="X265" s="9">
        <f>ROUND($J265*1.637*1.75*2.1*2.3*2.6*3.2*4.2*1,0)</f>
        <v>967022260</v>
      </c>
      <c r="Y265" s="3">
        <f t="shared" si="163"/>
        <v>137</v>
      </c>
      <c r="Z265" s="10">
        <f>ROUND($J265*1.637*1.75*2.1*2.3*2.6*3.2*4.2*2.4*1,0)</f>
        <v>2320853424</v>
      </c>
      <c r="AA265" s="5">
        <f t="shared" si="164"/>
        <v>139</v>
      </c>
      <c r="AB265" s="9">
        <f>ROUND($J265*1.637*1.75*2.1*2.3*2.6*3.2*4.2*2.4*2.5*1,0)</f>
        <v>5802133559</v>
      </c>
      <c r="AC265" s="3">
        <f t="shared" si="165"/>
        <v>141</v>
      </c>
      <c r="AD265" s="10">
        <f>ROUND($J265*1.637*1.75*2.1*2.3*2.6*3.2*4.2*2.4*2.5*2.8*1,0)</f>
        <v>16245973965</v>
      </c>
      <c r="AE265" s="5">
        <f t="shared" si="166"/>
        <v>144</v>
      </c>
      <c r="AF265" s="9">
        <f>ROUND($J265*1.637*1.75*2.1*2.3*2.6*3.2*4.2*2.4*2.5*2.8*3.2*1,0)</f>
        <v>51987116689</v>
      </c>
      <c r="AG265" s="3">
        <f t="shared" si="167"/>
        <v>147</v>
      </c>
      <c r="AH265" s="10">
        <f>ROUND($J265*1.637*1.75*2.1*2.3*2.6*3.2*4.2*2.4*2.5*2.8*3.2*3.8*1,0)</f>
        <v>197551043418</v>
      </c>
    </row>
    <row r="266" spans="1:34" x14ac:dyDescent="0.3">
      <c r="A266" s="2">
        <v>293</v>
      </c>
      <c r="B266" s="2" t="s">
        <v>429</v>
      </c>
      <c r="C266" s="2" t="s">
        <v>228</v>
      </c>
      <c r="D266" s="2" t="s">
        <v>25</v>
      </c>
      <c r="E266" s="2">
        <v>120</v>
      </c>
      <c r="F266" s="2" t="s">
        <v>258</v>
      </c>
      <c r="G266" s="2" t="s">
        <v>430</v>
      </c>
      <c r="H266" s="2">
        <v>30</v>
      </c>
      <c r="I266" s="3">
        <v>120</v>
      </c>
      <c r="J266" s="4">
        <v>2000000</v>
      </c>
      <c r="K266" s="5">
        <f t="shared" si="156"/>
        <v>121</v>
      </c>
      <c r="L266" s="9">
        <f>ROUND($J266*1.637*0.8,0)</f>
        <v>2619200</v>
      </c>
      <c r="M266" s="3">
        <f t="shared" si="157"/>
        <v>122</v>
      </c>
      <c r="N266" s="10">
        <f>ROUND($J266*1.637*1.75*0.8,0)</f>
        <v>4583600</v>
      </c>
      <c r="O266" s="5">
        <f t="shared" si="158"/>
        <v>124</v>
      </c>
      <c r="P266" s="9">
        <f>ROUND($J266*1.637*1.75*2.1*0.8,0)</f>
        <v>9625560</v>
      </c>
      <c r="Q266" s="3">
        <f t="shared" si="159"/>
        <v>126</v>
      </c>
      <c r="R266" s="10">
        <f>ROUND($J266*1.637*1.75*2.1*2.3*0.542035092435954,0)</f>
        <v>15000000</v>
      </c>
      <c r="S266" s="5">
        <f t="shared" si="160"/>
        <v>128</v>
      </c>
      <c r="T266" s="9">
        <f>ROUND($J266*1.637*1.75*2.1*2.3*2.6*0.544690061623969,0)</f>
        <v>39191028</v>
      </c>
      <c r="U266" s="3">
        <f t="shared" si="161"/>
        <v>131</v>
      </c>
      <c r="V266" s="10">
        <f>ROUND($J266*1.637*1.75*2.1*2.3*2.6*3.2*0.547345030811984,0)</f>
        <v>126022578</v>
      </c>
      <c r="W266" s="5">
        <f t="shared" si="162"/>
        <v>135</v>
      </c>
      <c r="X266" s="9">
        <f>ROUND($J266*1.637*1.75*2.1*2.3*2.6*3.2*4.2*0.55,0)</f>
        <v>531862243</v>
      </c>
      <c r="Y266" s="3">
        <f t="shared" si="163"/>
        <v>137</v>
      </c>
      <c r="Z266" s="10">
        <f>ROUND($J266*1.637*1.75*2.1*2.3*2.6*3.2*4.2*2.4*0.55,0)</f>
        <v>1276469383</v>
      </c>
      <c r="AA266" s="5">
        <f t="shared" si="164"/>
        <v>139</v>
      </c>
      <c r="AB266" s="9">
        <f>ROUND($J266*1.637*1.75*2.1*2.3*2.6*3.2*4.2*2.4*2.5*0.55,0)</f>
        <v>3191173457</v>
      </c>
      <c r="AC266" s="3">
        <f t="shared" si="165"/>
        <v>141</v>
      </c>
      <c r="AD266" s="10">
        <f>ROUND($J266*1.637*1.75*2.1*2.3*2.6*3.2*4.2*2.4*2.5*2.8*0.55,0)</f>
        <v>8935285681</v>
      </c>
      <c r="AE266" s="5">
        <f t="shared" si="166"/>
        <v>144</v>
      </c>
      <c r="AF266" s="9">
        <f>ROUND($J266*1.637*1.75*2.1*2.3*2.6*3.2*4.2*2.4*2.5*2.8*3.2*0.55,0)</f>
        <v>28592914179</v>
      </c>
      <c r="AG266" s="3">
        <f t="shared" si="167"/>
        <v>147</v>
      </c>
      <c r="AH266" s="10">
        <f>ROUND($J266*1.637*1.75*2.1*2.3*2.6*3.2*4.2*2.4*2.5*2.8*3.2*3.8*0.55,0)</f>
        <v>108653073880</v>
      </c>
    </row>
    <row r="267" spans="1:34" x14ac:dyDescent="0.3">
      <c r="A267" s="2">
        <v>272</v>
      </c>
      <c r="B267" s="2" t="s">
        <v>431</v>
      </c>
      <c r="C267" s="2" t="s">
        <v>228</v>
      </c>
      <c r="D267" s="2" t="s">
        <v>79</v>
      </c>
      <c r="E267" s="2">
        <v>120</v>
      </c>
      <c r="F267" s="2" t="s">
        <v>432</v>
      </c>
      <c r="G267" s="2" t="s">
        <v>374</v>
      </c>
      <c r="H267" s="2">
        <v>31</v>
      </c>
      <c r="I267" s="3">
        <v>120</v>
      </c>
      <c r="J267" s="4">
        <v>2000000</v>
      </c>
      <c r="K267" s="5">
        <f t="shared" si="156"/>
        <v>121</v>
      </c>
      <c r="L267" s="9">
        <f>ROUND($J267*1.637*0.8,0)</f>
        <v>2619200</v>
      </c>
      <c r="M267" s="3">
        <f t="shared" si="157"/>
        <v>122</v>
      </c>
      <c r="N267" s="10">
        <f>ROUND($J267*1.637*1.75*0.8,0)</f>
        <v>4583600</v>
      </c>
      <c r="O267" s="5">
        <f t="shared" si="158"/>
        <v>124</v>
      </c>
      <c r="P267" s="9">
        <f>ROUND($J267*1.637*1.75*2.1*0.8,0)</f>
        <v>9625560</v>
      </c>
      <c r="Q267" s="3">
        <f t="shared" si="159"/>
        <v>126</v>
      </c>
      <c r="R267" s="10">
        <f>ROUND($J267*1.637*1.75*2.1*2.3*0.542035092435954,0)</f>
        <v>15000000</v>
      </c>
      <c r="S267" s="5">
        <f t="shared" si="160"/>
        <v>128</v>
      </c>
      <c r="T267" s="9">
        <f>ROUND($J267*1.637*1.75*2.1*2.3*2.6*0.544690061623969,0)</f>
        <v>39191028</v>
      </c>
      <c r="U267" s="3">
        <f t="shared" si="161"/>
        <v>131</v>
      </c>
      <c r="V267" s="10">
        <f>ROUND($J267*1.637*1.75*2.1*2.3*2.6*3.2*0.547345030811984,0)</f>
        <v>126022578</v>
      </c>
      <c r="W267" s="5">
        <f t="shared" si="162"/>
        <v>135</v>
      </c>
      <c r="X267" s="9">
        <f>ROUND($J267*1.637*1.75*2.1*2.3*2.6*3.2*4.2*0.55,0)</f>
        <v>531862243</v>
      </c>
      <c r="Y267" s="3">
        <f t="shared" si="163"/>
        <v>137</v>
      </c>
      <c r="Z267" s="10">
        <f>ROUND($J267*1.637*1.75*2.1*2.3*2.6*3.2*4.2*2.4*0.55,0)</f>
        <v>1276469383</v>
      </c>
      <c r="AA267" s="5">
        <f t="shared" si="164"/>
        <v>139</v>
      </c>
      <c r="AB267" s="9">
        <f>ROUND($J267*1.637*1.75*2.1*2.3*2.6*3.2*4.2*2.4*2.5*0.55,0)</f>
        <v>3191173457</v>
      </c>
      <c r="AC267" s="3">
        <f t="shared" si="165"/>
        <v>141</v>
      </c>
      <c r="AD267" s="10">
        <f>ROUND($J267*1.637*1.75*2.1*2.3*2.6*3.2*4.2*2.4*2.5*2.8*0.55,0)</f>
        <v>8935285681</v>
      </c>
      <c r="AE267" s="5">
        <f t="shared" si="166"/>
        <v>144</v>
      </c>
      <c r="AF267" s="9">
        <f>ROUND($J267*1.637*1.75*2.1*2.3*2.6*3.2*4.2*2.4*2.5*2.8*3.2*0.55,0)</f>
        <v>28592914179</v>
      </c>
      <c r="AG267" s="3">
        <f t="shared" si="167"/>
        <v>147</v>
      </c>
      <c r="AH267" s="10">
        <f>ROUND($J267*1.637*1.75*2.1*2.3*2.6*3.2*4.2*2.4*2.5*2.8*3.2*3.8*0.55,0)</f>
        <v>108653073880</v>
      </c>
    </row>
    <row r="268" spans="1:34" x14ac:dyDescent="0.3">
      <c r="A268" s="2">
        <v>274</v>
      </c>
      <c r="B268" s="2" t="s">
        <v>433</v>
      </c>
      <c r="C268" s="2" t="s">
        <v>228</v>
      </c>
      <c r="D268" s="2" t="s">
        <v>40</v>
      </c>
      <c r="E268" s="2">
        <v>120</v>
      </c>
      <c r="F268" s="2" t="s">
        <v>56</v>
      </c>
      <c r="G268" s="2" t="s">
        <v>434</v>
      </c>
      <c r="H268" s="2">
        <v>31</v>
      </c>
      <c r="I268" s="3">
        <v>120</v>
      </c>
      <c r="J268" s="4">
        <v>2000000</v>
      </c>
      <c r="K268" s="5">
        <f t="shared" si="156"/>
        <v>121</v>
      </c>
      <c r="L268" s="9">
        <f>ROUND($J268*1.637*0.8,0)</f>
        <v>2619200</v>
      </c>
      <c r="M268" s="3">
        <f t="shared" si="157"/>
        <v>122</v>
      </c>
      <c r="N268" s="10">
        <f>ROUND($J268*1.637*1.75*0.8,0)</f>
        <v>4583600</v>
      </c>
      <c r="O268" s="5">
        <f t="shared" si="158"/>
        <v>124</v>
      </c>
      <c r="P268" s="9">
        <f>ROUND($J268*1.637*1.75*2.1*0.8,0)</f>
        <v>9625560</v>
      </c>
      <c r="Q268" s="3">
        <f t="shared" si="159"/>
        <v>126</v>
      </c>
      <c r="R268" s="10">
        <f>ROUND($J268*1.637*1.75*2.1*2.3*0.542035092435954,0)</f>
        <v>15000000</v>
      </c>
      <c r="S268" s="5">
        <f t="shared" si="160"/>
        <v>128</v>
      </c>
      <c r="T268" s="9">
        <f>ROUND($J268*1.637*1.75*2.1*2.3*2.6*0.544690061623969,0)</f>
        <v>39191028</v>
      </c>
      <c r="U268" s="3">
        <f t="shared" si="161"/>
        <v>131</v>
      </c>
      <c r="V268" s="10">
        <f>ROUND($J268*1.637*1.75*2.1*2.3*2.6*3.2*0.547345030811984,0)</f>
        <v>126022578</v>
      </c>
      <c r="W268" s="5">
        <f t="shared" si="162"/>
        <v>135</v>
      </c>
      <c r="X268" s="9">
        <f>ROUND($J268*1.637*1.75*2.1*2.3*2.6*3.2*4.2*0.55,0)</f>
        <v>531862243</v>
      </c>
      <c r="Y268" s="3">
        <f t="shared" si="163"/>
        <v>137</v>
      </c>
      <c r="Z268" s="10">
        <f>ROUND($J268*1.637*1.75*2.1*2.3*2.6*3.2*4.2*2.4*0.55,0)</f>
        <v>1276469383</v>
      </c>
      <c r="AA268" s="5">
        <f t="shared" si="164"/>
        <v>139</v>
      </c>
      <c r="AB268" s="9">
        <f>ROUND($J268*1.637*1.75*2.1*2.3*2.6*3.2*4.2*2.4*2.5*0.55,0)</f>
        <v>3191173457</v>
      </c>
      <c r="AC268" s="3">
        <f t="shared" si="165"/>
        <v>141</v>
      </c>
      <c r="AD268" s="10">
        <f>ROUND($J268*1.637*1.75*2.1*2.3*2.6*3.2*4.2*2.4*2.5*2.8*0.55,0)</f>
        <v>8935285681</v>
      </c>
      <c r="AE268" s="5">
        <f t="shared" si="166"/>
        <v>144</v>
      </c>
      <c r="AF268" s="9">
        <f>ROUND($J268*1.637*1.75*2.1*2.3*2.6*3.2*4.2*2.4*2.5*2.8*3.2*0.55,0)</f>
        <v>28592914179</v>
      </c>
      <c r="AG268" s="3">
        <f t="shared" si="167"/>
        <v>147</v>
      </c>
      <c r="AH268" s="10">
        <f>ROUND($J268*1.637*1.75*2.1*2.3*2.6*3.2*4.2*2.4*2.5*2.8*3.2*3.8*0.55,0)</f>
        <v>108653073880</v>
      </c>
    </row>
    <row r="269" spans="1:34" x14ac:dyDescent="0.3">
      <c r="A269" s="2">
        <v>268</v>
      </c>
      <c r="B269" s="2" t="s">
        <v>435</v>
      </c>
      <c r="C269" s="2" t="s">
        <v>228</v>
      </c>
      <c r="D269" s="2" t="s">
        <v>40</v>
      </c>
      <c r="E269" s="2">
        <v>120</v>
      </c>
      <c r="F269" s="2" t="s">
        <v>410</v>
      </c>
      <c r="G269" s="2" t="s">
        <v>247</v>
      </c>
      <c r="H269" s="2">
        <v>30</v>
      </c>
      <c r="I269" s="3">
        <v>120</v>
      </c>
      <c r="J269" s="4">
        <v>2000000</v>
      </c>
      <c r="K269" s="5">
        <f t="shared" si="156"/>
        <v>121</v>
      </c>
      <c r="L269" s="9">
        <f>ROUND($J269*1.637*0.8,0)</f>
        <v>2619200</v>
      </c>
      <c r="M269" s="3">
        <f t="shared" si="157"/>
        <v>122</v>
      </c>
      <c r="N269" s="10">
        <f>ROUND($J269*1.637*1.75*0.8,0)</f>
        <v>4583600</v>
      </c>
      <c r="O269" s="5">
        <f t="shared" si="158"/>
        <v>124</v>
      </c>
      <c r="P269" s="9">
        <f>ROUND($J269*1.637*1.75*2.1*0.8,0)</f>
        <v>9625560</v>
      </c>
      <c r="Q269" s="3">
        <f t="shared" si="159"/>
        <v>126</v>
      </c>
      <c r="R269" s="10">
        <f>ROUND($J269*1.637*1.75*2.1*2.3*0.542035092435954,0)</f>
        <v>15000000</v>
      </c>
      <c r="S269" s="5">
        <f t="shared" si="160"/>
        <v>128</v>
      </c>
      <c r="T269" s="9">
        <f>ROUND($J269*1.637*1.75*2.1*2.3*2.6*0.544690061623969,0)</f>
        <v>39191028</v>
      </c>
      <c r="U269" s="3">
        <f t="shared" si="161"/>
        <v>131</v>
      </c>
      <c r="V269" s="10">
        <f>ROUND($J269*1.637*1.75*2.1*2.3*2.6*3.2*0.547345030811984,0)</f>
        <v>126022578</v>
      </c>
      <c r="W269" s="5">
        <f t="shared" si="162"/>
        <v>135</v>
      </c>
      <c r="X269" s="9">
        <f>ROUND($J269*1.637*1.75*2.1*2.3*2.6*3.2*4.2*0.55,0)</f>
        <v>531862243</v>
      </c>
      <c r="Y269" s="3">
        <f t="shared" si="163"/>
        <v>137</v>
      </c>
      <c r="Z269" s="10">
        <f>ROUND($J269*1.637*1.75*2.1*2.3*2.6*3.2*4.2*2.4*0.55,0)</f>
        <v>1276469383</v>
      </c>
      <c r="AA269" s="5">
        <f t="shared" si="164"/>
        <v>139</v>
      </c>
      <c r="AB269" s="9">
        <f>ROUND($J269*1.637*1.75*2.1*2.3*2.6*3.2*4.2*2.4*2.5*0.55,0)</f>
        <v>3191173457</v>
      </c>
      <c r="AC269" s="3">
        <f t="shared" si="165"/>
        <v>141</v>
      </c>
      <c r="AD269" s="10">
        <f>ROUND($J269*1.637*1.75*2.1*2.3*2.6*3.2*4.2*2.4*2.5*2.8*0.55,0)</f>
        <v>8935285681</v>
      </c>
      <c r="AE269" s="5">
        <f t="shared" si="166"/>
        <v>144</v>
      </c>
      <c r="AF269" s="9">
        <f>ROUND($J269*1.637*1.75*2.1*2.3*2.6*3.2*4.2*2.4*2.5*2.8*3.2*0.55,0)</f>
        <v>28592914179</v>
      </c>
      <c r="AG269" s="3">
        <f t="shared" si="167"/>
        <v>147</v>
      </c>
      <c r="AH269" s="10">
        <f>ROUND($J269*1.637*1.75*2.1*2.3*2.6*3.2*4.2*2.4*2.5*2.8*3.2*3.8*0.55,0)</f>
        <v>108653073880</v>
      </c>
    </row>
    <row r="270" spans="1:34" x14ac:dyDescent="0.3">
      <c r="A270" s="2">
        <v>273</v>
      </c>
      <c r="B270" s="2" t="s">
        <v>436</v>
      </c>
      <c r="C270" s="2" t="s">
        <v>228</v>
      </c>
      <c r="D270" s="2" t="s">
        <v>40</v>
      </c>
      <c r="E270" s="2">
        <v>120</v>
      </c>
      <c r="F270" s="2" t="s">
        <v>410</v>
      </c>
      <c r="G270" s="2" t="s">
        <v>60</v>
      </c>
      <c r="H270" s="2">
        <v>31</v>
      </c>
      <c r="I270" s="3">
        <v>120</v>
      </c>
      <c r="J270" s="4">
        <v>2000000</v>
      </c>
      <c r="K270" s="5">
        <f t="shared" si="156"/>
        <v>121</v>
      </c>
      <c r="L270" s="9">
        <f>ROUND($J270*1.637*0.8,0)</f>
        <v>2619200</v>
      </c>
      <c r="M270" s="3">
        <f t="shared" si="157"/>
        <v>122</v>
      </c>
      <c r="N270" s="10">
        <f>ROUND($J270*1.637*1.75*0.8,0)</f>
        <v>4583600</v>
      </c>
      <c r="O270" s="5">
        <f t="shared" si="158"/>
        <v>124</v>
      </c>
      <c r="P270" s="9">
        <f>ROUND($J270*1.637*1.75*2.1*0.8,0)</f>
        <v>9625560</v>
      </c>
      <c r="Q270" s="3">
        <f t="shared" si="159"/>
        <v>126</v>
      </c>
      <c r="R270" s="10">
        <f>ROUND($J270*1.637*1.75*2.1*2.3*0.542035092435954,0)</f>
        <v>15000000</v>
      </c>
      <c r="S270" s="5">
        <f t="shared" si="160"/>
        <v>128</v>
      </c>
      <c r="T270" s="9">
        <f>ROUND($J270*1.637*1.75*2.1*2.3*2.6*0.544690061623969,0)</f>
        <v>39191028</v>
      </c>
      <c r="U270" s="3">
        <f t="shared" si="161"/>
        <v>131</v>
      </c>
      <c r="V270" s="10">
        <f>ROUND($J270*1.637*1.75*2.1*2.3*2.6*3.2*0.547345030811984,0)</f>
        <v>126022578</v>
      </c>
      <c r="W270" s="5">
        <f t="shared" si="162"/>
        <v>135</v>
      </c>
      <c r="X270" s="9">
        <f>ROUND($J270*1.637*1.75*2.1*2.3*2.6*3.2*4.2*0.55,0)</f>
        <v>531862243</v>
      </c>
      <c r="Y270" s="3">
        <f t="shared" si="163"/>
        <v>137</v>
      </c>
      <c r="Z270" s="10">
        <f>ROUND($J270*1.637*1.75*2.1*2.3*2.6*3.2*4.2*2.4*0.55,0)</f>
        <v>1276469383</v>
      </c>
      <c r="AA270" s="5">
        <f t="shared" si="164"/>
        <v>139</v>
      </c>
      <c r="AB270" s="9">
        <f>ROUND($J270*1.637*1.75*2.1*2.3*2.6*3.2*4.2*2.4*2.5*0.55,0)</f>
        <v>3191173457</v>
      </c>
      <c r="AC270" s="3">
        <f t="shared" si="165"/>
        <v>141</v>
      </c>
      <c r="AD270" s="10">
        <f>ROUND($J270*1.637*1.75*2.1*2.3*2.6*3.2*4.2*2.4*2.5*2.8*0.55,0)</f>
        <v>8935285681</v>
      </c>
      <c r="AE270" s="5">
        <f t="shared" si="166"/>
        <v>144</v>
      </c>
      <c r="AF270" s="9">
        <f>ROUND($J270*1.637*1.75*2.1*2.3*2.6*3.2*4.2*2.4*2.5*2.8*3.2*0.55,0)</f>
        <v>28592914179</v>
      </c>
      <c r="AG270" s="3">
        <f t="shared" si="167"/>
        <v>147</v>
      </c>
      <c r="AH270" s="10">
        <f>ROUND($J270*1.637*1.75*2.1*2.3*2.6*3.2*4.2*2.4*2.5*2.8*3.2*3.8*0.55,0)</f>
        <v>108653073880</v>
      </c>
    </row>
    <row r="271" spans="1:34" x14ac:dyDescent="0.3">
      <c r="A271" s="2">
        <v>271</v>
      </c>
      <c r="B271" s="2" t="s">
        <v>437</v>
      </c>
      <c r="C271" s="2" t="s">
        <v>228</v>
      </c>
      <c r="D271" s="2" t="s">
        <v>79</v>
      </c>
      <c r="E271" s="2">
        <v>120</v>
      </c>
      <c r="F271" s="2" t="s">
        <v>310</v>
      </c>
      <c r="G271" s="2" t="s">
        <v>438</v>
      </c>
      <c r="H271" s="2">
        <v>31</v>
      </c>
      <c r="I271" s="3">
        <v>120</v>
      </c>
      <c r="J271" s="4">
        <v>2000000</v>
      </c>
      <c r="K271" s="5">
        <f t="shared" si="156"/>
        <v>121</v>
      </c>
      <c r="L271" s="9">
        <f>ROUND($J271*1.637*1,0)</f>
        <v>3274000</v>
      </c>
      <c r="M271" s="3">
        <f t="shared" si="157"/>
        <v>122</v>
      </c>
      <c r="N271" s="10">
        <f>ROUND($J271*1.637*1.75*1,0)</f>
        <v>5729500</v>
      </c>
      <c r="O271" s="5">
        <f t="shared" si="158"/>
        <v>124</v>
      </c>
      <c r="P271" s="9">
        <f>ROUND($J271*1.637*1.75*2.1*1,0)</f>
        <v>12031950</v>
      </c>
      <c r="Q271" s="3">
        <f t="shared" si="159"/>
        <v>126</v>
      </c>
      <c r="R271" s="10">
        <f>ROUND($J271*1.637*1.75*2.1*2.3*1,0)</f>
        <v>27673485</v>
      </c>
      <c r="S271" s="5">
        <f t="shared" si="160"/>
        <v>128</v>
      </c>
      <c r="T271" s="9">
        <f>ROUND($J271*1.637*1.75*2.1*2.3*2.6*1,0)</f>
        <v>71951061</v>
      </c>
      <c r="U271" s="3">
        <f t="shared" si="161"/>
        <v>131</v>
      </c>
      <c r="V271" s="10">
        <f>ROUND($J271*1.637*1.75*2.1*2.3*2.6*3.2*1,0)</f>
        <v>230243395</v>
      </c>
      <c r="W271" s="5">
        <f t="shared" si="162"/>
        <v>135</v>
      </c>
      <c r="X271" s="9">
        <f>ROUND($J271*1.637*1.75*2.1*2.3*2.6*3.2*4.2*1,0)</f>
        <v>967022260</v>
      </c>
      <c r="Y271" s="3">
        <f t="shared" si="163"/>
        <v>137</v>
      </c>
      <c r="Z271" s="10">
        <f>ROUND($J271*1.637*1.75*2.1*2.3*2.6*3.2*4.2*2.4*1,0)</f>
        <v>2320853424</v>
      </c>
      <c r="AA271" s="5">
        <f t="shared" si="164"/>
        <v>139</v>
      </c>
      <c r="AB271" s="9">
        <f>ROUND($J271*1.637*1.75*2.1*2.3*2.6*3.2*4.2*2.4*2.5*1,0)</f>
        <v>5802133559</v>
      </c>
      <c r="AC271" s="3">
        <f t="shared" si="165"/>
        <v>141</v>
      </c>
      <c r="AD271" s="10">
        <f>ROUND($J271*1.637*1.75*2.1*2.3*2.6*3.2*4.2*2.4*2.5*2.8*1,0)</f>
        <v>16245973965</v>
      </c>
      <c r="AE271" s="5">
        <f t="shared" si="166"/>
        <v>144</v>
      </c>
      <c r="AF271" s="9">
        <f>ROUND($J271*1.637*1.75*2.1*2.3*2.6*3.2*4.2*2.4*2.5*2.8*3.2*1,0)</f>
        <v>51987116689</v>
      </c>
      <c r="AG271" s="3">
        <f t="shared" si="167"/>
        <v>147</v>
      </c>
      <c r="AH271" s="10">
        <f>ROUND($J271*1.637*1.75*2.1*2.3*2.6*3.2*4.2*2.4*2.5*2.8*3.2*3.8*1,0)</f>
        <v>197551043418</v>
      </c>
    </row>
    <row r="272" spans="1:34" x14ac:dyDescent="0.3">
      <c r="A272" s="2">
        <v>307</v>
      </c>
      <c r="B272" s="2" t="s">
        <v>439</v>
      </c>
      <c r="C272" s="2" t="s">
        <v>228</v>
      </c>
      <c r="D272" s="2" t="s">
        <v>90</v>
      </c>
      <c r="E272" s="2">
        <v>119</v>
      </c>
      <c r="F272" s="2" t="s">
        <v>42</v>
      </c>
      <c r="G272" s="2" t="s">
        <v>440</v>
      </c>
      <c r="H272" s="2">
        <v>29</v>
      </c>
      <c r="I272" s="3">
        <v>119</v>
      </c>
      <c r="J272" s="6">
        <v>2900000</v>
      </c>
      <c r="K272" s="5">
        <f t="shared" si="156"/>
        <v>120</v>
      </c>
      <c r="L272" s="9">
        <f t="shared" ref="L272:L288" si="168">ROUND($J272*1.637*0.8,0)</f>
        <v>3797840</v>
      </c>
      <c r="M272" s="3">
        <f t="shared" si="157"/>
        <v>121</v>
      </c>
      <c r="N272" s="10">
        <f t="shared" ref="N272:N288" si="169">ROUND($J272*1.637*1.75*0.8,0)</f>
        <v>6646220</v>
      </c>
      <c r="O272" s="5">
        <f t="shared" si="158"/>
        <v>123</v>
      </c>
      <c r="P272" s="9">
        <f t="shared" ref="P272:P288" si="170">ROUND($J272*1.637*1.75*2.1*0.8,0)</f>
        <v>13957062</v>
      </c>
      <c r="Q272" s="3">
        <f t="shared" si="159"/>
        <v>125</v>
      </c>
      <c r="R272" s="10">
        <f t="shared" ref="R272:R288" si="171">ROUND($J272*1.637*1.75*2.1*2.3*0.542035092435954,0)</f>
        <v>21750000</v>
      </c>
      <c r="S272" s="5">
        <f t="shared" si="160"/>
        <v>127</v>
      </c>
      <c r="T272" s="9">
        <f t="shared" ref="T272:T288" si="172">ROUND($J272*1.637*1.75*2.1*2.3*2.6*0.544690061623969,0)</f>
        <v>56826990</v>
      </c>
      <c r="U272" s="3">
        <f t="shared" si="161"/>
        <v>130</v>
      </c>
      <c r="V272" s="10">
        <f t="shared" ref="V272:V288" si="173">ROUND($J272*1.637*1.75*2.1*2.3*2.6*3.2*0.547345030811984,0)</f>
        <v>182732738</v>
      </c>
      <c r="W272" s="5">
        <f t="shared" si="162"/>
        <v>134</v>
      </c>
      <c r="X272" s="9">
        <f t="shared" ref="X272:X288" si="174">ROUND($J272*1.637*1.75*2.1*2.3*2.6*3.2*4.2*0.55,0)</f>
        <v>771200252</v>
      </c>
      <c r="Y272" s="3">
        <f t="shared" si="163"/>
        <v>136</v>
      </c>
      <c r="Z272" s="10">
        <f t="shared" ref="Z272:Z288" si="175">ROUND($J272*1.637*1.75*2.1*2.3*2.6*3.2*4.2*2.4*0.55,0)</f>
        <v>1850880605</v>
      </c>
      <c r="AA272" s="5">
        <f t="shared" si="164"/>
        <v>138</v>
      </c>
      <c r="AB272" s="9">
        <f t="shared" ref="AB272:AB288" si="176">ROUND($J272*1.637*1.75*2.1*2.3*2.6*3.2*4.2*2.4*2.5*0.55,0)</f>
        <v>4627201513</v>
      </c>
      <c r="AC272" s="3">
        <f t="shared" si="165"/>
        <v>140</v>
      </c>
      <c r="AD272" s="10">
        <f t="shared" ref="AD272:AD288" si="177">ROUND($J272*1.637*1.75*2.1*2.3*2.6*3.2*4.2*2.4*2.5*2.8*0.55,0)</f>
        <v>12956164237</v>
      </c>
      <c r="AE272" s="5">
        <f t="shared" si="166"/>
        <v>143</v>
      </c>
      <c r="AF272" s="9">
        <f t="shared" ref="AF272:AF288" si="178">ROUND($J272*1.637*1.75*2.1*2.3*2.6*3.2*4.2*2.4*2.5*2.8*3.2*0.55,0)</f>
        <v>41459725559</v>
      </c>
      <c r="AG272" s="3">
        <f t="shared" si="167"/>
        <v>146</v>
      </c>
      <c r="AH272" s="10">
        <f t="shared" ref="AH272:AH288" si="179">ROUND($J272*1.637*1.75*2.1*2.3*2.6*3.2*4.2*2.4*2.5*2.8*3.2*3.8*0.55,0)</f>
        <v>157546957126</v>
      </c>
    </row>
    <row r="273" spans="1:34" x14ac:dyDescent="0.3">
      <c r="A273" s="2">
        <v>300</v>
      </c>
      <c r="B273" s="2" t="s">
        <v>441</v>
      </c>
      <c r="C273" s="2" t="s">
        <v>228</v>
      </c>
      <c r="D273" s="2" t="s">
        <v>102</v>
      </c>
      <c r="E273" s="2">
        <v>119</v>
      </c>
      <c r="F273" s="2" t="s">
        <v>212</v>
      </c>
      <c r="G273" s="2" t="s">
        <v>415</v>
      </c>
      <c r="H273" s="2">
        <v>29</v>
      </c>
      <c r="I273" s="3">
        <v>119</v>
      </c>
      <c r="J273" s="6">
        <v>2900000</v>
      </c>
      <c r="K273" s="5">
        <f t="shared" si="156"/>
        <v>120</v>
      </c>
      <c r="L273" s="9">
        <f t="shared" si="168"/>
        <v>3797840</v>
      </c>
      <c r="M273" s="3">
        <f t="shared" si="157"/>
        <v>121</v>
      </c>
      <c r="N273" s="10">
        <f t="shared" si="169"/>
        <v>6646220</v>
      </c>
      <c r="O273" s="5">
        <f t="shared" si="158"/>
        <v>123</v>
      </c>
      <c r="P273" s="9">
        <f t="shared" si="170"/>
        <v>13957062</v>
      </c>
      <c r="Q273" s="3">
        <f t="shared" si="159"/>
        <v>125</v>
      </c>
      <c r="R273" s="10">
        <f t="shared" si="171"/>
        <v>21750000</v>
      </c>
      <c r="S273" s="5">
        <f t="shared" si="160"/>
        <v>127</v>
      </c>
      <c r="T273" s="9">
        <f t="shared" si="172"/>
        <v>56826990</v>
      </c>
      <c r="U273" s="3">
        <f t="shared" si="161"/>
        <v>130</v>
      </c>
      <c r="V273" s="10">
        <f t="shared" si="173"/>
        <v>182732738</v>
      </c>
      <c r="W273" s="5">
        <f t="shared" si="162"/>
        <v>134</v>
      </c>
      <c r="X273" s="9">
        <f t="shared" si="174"/>
        <v>771200252</v>
      </c>
      <c r="Y273" s="3">
        <f t="shared" si="163"/>
        <v>136</v>
      </c>
      <c r="Z273" s="10">
        <f t="shared" si="175"/>
        <v>1850880605</v>
      </c>
      <c r="AA273" s="5">
        <f t="shared" si="164"/>
        <v>138</v>
      </c>
      <c r="AB273" s="9">
        <f t="shared" si="176"/>
        <v>4627201513</v>
      </c>
      <c r="AC273" s="3">
        <f t="shared" si="165"/>
        <v>140</v>
      </c>
      <c r="AD273" s="10">
        <f t="shared" si="177"/>
        <v>12956164237</v>
      </c>
      <c r="AE273" s="5">
        <f t="shared" si="166"/>
        <v>143</v>
      </c>
      <c r="AF273" s="9">
        <f t="shared" si="178"/>
        <v>41459725559</v>
      </c>
      <c r="AG273" s="3">
        <f t="shared" si="167"/>
        <v>146</v>
      </c>
      <c r="AH273" s="10">
        <f t="shared" si="179"/>
        <v>157546957126</v>
      </c>
    </row>
    <row r="274" spans="1:34" x14ac:dyDescent="0.3">
      <c r="A274" s="2">
        <v>280</v>
      </c>
      <c r="B274" s="2" t="s">
        <v>442</v>
      </c>
      <c r="C274" s="2" t="s">
        <v>228</v>
      </c>
      <c r="D274" s="2" t="s">
        <v>45</v>
      </c>
      <c r="E274" s="2">
        <v>119</v>
      </c>
      <c r="F274" s="2" t="s">
        <v>223</v>
      </c>
      <c r="G274" s="2" t="s">
        <v>60</v>
      </c>
      <c r="H274" s="2">
        <v>29</v>
      </c>
      <c r="I274" s="3">
        <v>119</v>
      </c>
      <c r="J274" s="6">
        <v>2900000</v>
      </c>
      <c r="K274" s="5">
        <f t="shared" si="156"/>
        <v>120</v>
      </c>
      <c r="L274" s="9">
        <f t="shared" si="168"/>
        <v>3797840</v>
      </c>
      <c r="M274" s="3">
        <f t="shared" si="157"/>
        <v>121</v>
      </c>
      <c r="N274" s="10">
        <f t="shared" si="169"/>
        <v>6646220</v>
      </c>
      <c r="O274" s="5">
        <f t="shared" si="158"/>
        <v>123</v>
      </c>
      <c r="P274" s="9">
        <f t="shared" si="170"/>
        <v>13957062</v>
      </c>
      <c r="Q274" s="3">
        <f t="shared" si="159"/>
        <v>125</v>
      </c>
      <c r="R274" s="10">
        <f t="shared" si="171"/>
        <v>21750000</v>
      </c>
      <c r="S274" s="5">
        <f t="shared" si="160"/>
        <v>127</v>
      </c>
      <c r="T274" s="9">
        <f t="shared" si="172"/>
        <v>56826990</v>
      </c>
      <c r="U274" s="3">
        <f t="shared" si="161"/>
        <v>130</v>
      </c>
      <c r="V274" s="10">
        <f t="shared" si="173"/>
        <v>182732738</v>
      </c>
      <c r="W274" s="5">
        <f t="shared" si="162"/>
        <v>134</v>
      </c>
      <c r="X274" s="9">
        <f t="shared" si="174"/>
        <v>771200252</v>
      </c>
      <c r="Y274" s="3">
        <f t="shared" si="163"/>
        <v>136</v>
      </c>
      <c r="Z274" s="10">
        <f t="shared" si="175"/>
        <v>1850880605</v>
      </c>
      <c r="AA274" s="5">
        <f t="shared" si="164"/>
        <v>138</v>
      </c>
      <c r="AB274" s="9">
        <f t="shared" si="176"/>
        <v>4627201513</v>
      </c>
      <c r="AC274" s="3">
        <f t="shared" si="165"/>
        <v>140</v>
      </c>
      <c r="AD274" s="10">
        <f t="shared" si="177"/>
        <v>12956164237</v>
      </c>
      <c r="AE274" s="5">
        <f t="shared" si="166"/>
        <v>143</v>
      </c>
      <c r="AF274" s="9">
        <f t="shared" si="178"/>
        <v>41459725559</v>
      </c>
      <c r="AG274" s="3">
        <f t="shared" si="167"/>
        <v>146</v>
      </c>
      <c r="AH274" s="10">
        <f t="shared" si="179"/>
        <v>157546957126</v>
      </c>
    </row>
    <row r="275" spans="1:34" x14ac:dyDescent="0.3">
      <c r="A275" s="2">
        <v>314</v>
      </c>
      <c r="B275" s="2" t="s">
        <v>443</v>
      </c>
      <c r="C275" s="2" t="s">
        <v>228</v>
      </c>
      <c r="D275" s="2" t="s">
        <v>33</v>
      </c>
      <c r="E275" s="2">
        <v>119</v>
      </c>
      <c r="F275" s="2" t="s">
        <v>30</v>
      </c>
      <c r="G275" s="2" t="s">
        <v>351</v>
      </c>
      <c r="H275" s="2">
        <v>28</v>
      </c>
      <c r="I275" s="3">
        <v>119</v>
      </c>
      <c r="J275" s="6">
        <v>2900000</v>
      </c>
      <c r="K275" s="5">
        <f t="shared" si="156"/>
        <v>120</v>
      </c>
      <c r="L275" s="9">
        <f t="shared" si="168"/>
        <v>3797840</v>
      </c>
      <c r="M275" s="3">
        <f t="shared" si="157"/>
        <v>121</v>
      </c>
      <c r="N275" s="10">
        <f t="shared" si="169"/>
        <v>6646220</v>
      </c>
      <c r="O275" s="5">
        <f t="shared" si="158"/>
        <v>123</v>
      </c>
      <c r="P275" s="9">
        <f t="shared" si="170"/>
        <v>13957062</v>
      </c>
      <c r="Q275" s="3">
        <f t="shared" si="159"/>
        <v>125</v>
      </c>
      <c r="R275" s="10">
        <f t="shared" si="171"/>
        <v>21750000</v>
      </c>
      <c r="S275" s="5">
        <f t="shared" si="160"/>
        <v>127</v>
      </c>
      <c r="T275" s="9">
        <f t="shared" si="172"/>
        <v>56826990</v>
      </c>
      <c r="U275" s="3">
        <f t="shared" si="161"/>
        <v>130</v>
      </c>
      <c r="V275" s="10">
        <f t="shared" si="173"/>
        <v>182732738</v>
      </c>
      <c r="W275" s="5">
        <f t="shared" si="162"/>
        <v>134</v>
      </c>
      <c r="X275" s="9">
        <f t="shared" si="174"/>
        <v>771200252</v>
      </c>
      <c r="Y275" s="3">
        <f t="shared" si="163"/>
        <v>136</v>
      </c>
      <c r="Z275" s="10">
        <f t="shared" si="175"/>
        <v>1850880605</v>
      </c>
      <c r="AA275" s="5">
        <f t="shared" si="164"/>
        <v>138</v>
      </c>
      <c r="AB275" s="9">
        <f t="shared" si="176"/>
        <v>4627201513</v>
      </c>
      <c r="AC275" s="3">
        <f t="shared" si="165"/>
        <v>140</v>
      </c>
      <c r="AD275" s="10">
        <f t="shared" si="177"/>
        <v>12956164237</v>
      </c>
      <c r="AE275" s="5">
        <f t="shared" si="166"/>
        <v>143</v>
      </c>
      <c r="AF275" s="9">
        <f t="shared" si="178"/>
        <v>41459725559</v>
      </c>
      <c r="AG275" s="3">
        <f t="shared" si="167"/>
        <v>146</v>
      </c>
      <c r="AH275" s="10">
        <f t="shared" si="179"/>
        <v>157546957126</v>
      </c>
    </row>
    <row r="276" spans="1:34" x14ac:dyDescent="0.3">
      <c r="A276" s="2">
        <v>299</v>
      </c>
      <c r="B276" s="2" t="s">
        <v>444</v>
      </c>
      <c r="C276" s="2" t="s">
        <v>228</v>
      </c>
      <c r="D276" s="2" t="s">
        <v>47</v>
      </c>
      <c r="E276" s="2">
        <v>119</v>
      </c>
      <c r="F276" s="2" t="s">
        <v>445</v>
      </c>
      <c r="G276" s="2" t="s">
        <v>446</v>
      </c>
      <c r="H276" s="2">
        <v>27</v>
      </c>
      <c r="I276" s="3">
        <v>119</v>
      </c>
      <c r="J276" s="6">
        <v>2900000</v>
      </c>
      <c r="K276" s="5">
        <f t="shared" si="156"/>
        <v>120</v>
      </c>
      <c r="L276" s="9">
        <f t="shared" si="168"/>
        <v>3797840</v>
      </c>
      <c r="M276" s="3">
        <f t="shared" si="157"/>
        <v>121</v>
      </c>
      <c r="N276" s="10">
        <f t="shared" si="169"/>
        <v>6646220</v>
      </c>
      <c r="O276" s="5">
        <f t="shared" si="158"/>
        <v>123</v>
      </c>
      <c r="P276" s="9">
        <f t="shared" si="170"/>
        <v>13957062</v>
      </c>
      <c r="Q276" s="3">
        <f t="shared" si="159"/>
        <v>125</v>
      </c>
      <c r="R276" s="10">
        <f t="shared" si="171"/>
        <v>21750000</v>
      </c>
      <c r="S276" s="5">
        <f t="shared" si="160"/>
        <v>127</v>
      </c>
      <c r="T276" s="9">
        <f t="shared" si="172"/>
        <v>56826990</v>
      </c>
      <c r="U276" s="3">
        <f t="shared" si="161"/>
        <v>130</v>
      </c>
      <c r="V276" s="10">
        <f t="shared" si="173"/>
        <v>182732738</v>
      </c>
      <c r="W276" s="5">
        <f t="shared" si="162"/>
        <v>134</v>
      </c>
      <c r="X276" s="9">
        <f t="shared" si="174"/>
        <v>771200252</v>
      </c>
      <c r="Y276" s="3">
        <f t="shared" si="163"/>
        <v>136</v>
      </c>
      <c r="Z276" s="10">
        <f t="shared" si="175"/>
        <v>1850880605</v>
      </c>
      <c r="AA276" s="5">
        <f t="shared" si="164"/>
        <v>138</v>
      </c>
      <c r="AB276" s="9">
        <f t="shared" si="176"/>
        <v>4627201513</v>
      </c>
      <c r="AC276" s="3">
        <f t="shared" si="165"/>
        <v>140</v>
      </c>
      <c r="AD276" s="10">
        <f t="shared" si="177"/>
        <v>12956164237</v>
      </c>
      <c r="AE276" s="5">
        <f t="shared" si="166"/>
        <v>143</v>
      </c>
      <c r="AF276" s="9">
        <f t="shared" si="178"/>
        <v>41459725559</v>
      </c>
      <c r="AG276" s="3">
        <f t="shared" si="167"/>
        <v>146</v>
      </c>
      <c r="AH276" s="10">
        <f t="shared" si="179"/>
        <v>157546957126</v>
      </c>
    </row>
    <row r="277" spans="1:34" x14ac:dyDescent="0.3">
      <c r="A277" s="2">
        <v>298</v>
      </c>
      <c r="B277" s="2" t="s">
        <v>447</v>
      </c>
      <c r="C277" s="2" t="s">
        <v>228</v>
      </c>
      <c r="D277" s="2" t="s">
        <v>47</v>
      </c>
      <c r="E277" s="2">
        <v>119</v>
      </c>
      <c r="F277" s="2" t="s">
        <v>34</v>
      </c>
      <c r="G277" s="2" t="s">
        <v>380</v>
      </c>
      <c r="H277" s="2">
        <v>27</v>
      </c>
      <c r="I277" s="3">
        <v>119</v>
      </c>
      <c r="J277" s="6">
        <v>2900000</v>
      </c>
      <c r="K277" s="5">
        <f t="shared" si="156"/>
        <v>120</v>
      </c>
      <c r="L277" s="9">
        <f t="shared" si="168"/>
        <v>3797840</v>
      </c>
      <c r="M277" s="3">
        <f t="shared" si="157"/>
        <v>121</v>
      </c>
      <c r="N277" s="10">
        <f t="shared" si="169"/>
        <v>6646220</v>
      </c>
      <c r="O277" s="5">
        <f t="shared" si="158"/>
        <v>123</v>
      </c>
      <c r="P277" s="9">
        <f t="shared" si="170"/>
        <v>13957062</v>
      </c>
      <c r="Q277" s="3">
        <f t="shared" si="159"/>
        <v>125</v>
      </c>
      <c r="R277" s="10">
        <f t="shared" si="171"/>
        <v>21750000</v>
      </c>
      <c r="S277" s="5">
        <f t="shared" si="160"/>
        <v>127</v>
      </c>
      <c r="T277" s="9">
        <f t="shared" si="172"/>
        <v>56826990</v>
      </c>
      <c r="U277" s="3">
        <f t="shared" si="161"/>
        <v>130</v>
      </c>
      <c r="V277" s="10">
        <f t="shared" si="173"/>
        <v>182732738</v>
      </c>
      <c r="W277" s="5">
        <f t="shared" si="162"/>
        <v>134</v>
      </c>
      <c r="X277" s="9">
        <f t="shared" si="174"/>
        <v>771200252</v>
      </c>
      <c r="Y277" s="3">
        <f t="shared" si="163"/>
        <v>136</v>
      </c>
      <c r="Z277" s="10">
        <f t="shared" si="175"/>
        <v>1850880605</v>
      </c>
      <c r="AA277" s="5">
        <f t="shared" si="164"/>
        <v>138</v>
      </c>
      <c r="AB277" s="9">
        <f t="shared" si="176"/>
        <v>4627201513</v>
      </c>
      <c r="AC277" s="3">
        <f t="shared" si="165"/>
        <v>140</v>
      </c>
      <c r="AD277" s="10">
        <f t="shared" si="177"/>
        <v>12956164237</v>
      </c>
      <c r="AE277" s="5">
        <f t="shared" si="166"/>
        <v>143</v>
      </c>
      <c r="AF277" s="9">
        <f t="shared" si="178"/>
        <v>41459725559</v>
      </c>
      <c r="AG277" s="3">
        <f t="shared" si="167"/>
        <v>146</v>
      </c>
      <c r="AH277" s="10">
        <f t="shared" si="179"/>
        <v>157546957126</v>
      </c>
    </row>
    <row r="278" spans="1:34" x14ac:dyDescent="0.3">
      <c r="A278" s="2">
        <v>297</v>
      </c>
      <c r="B278" s="2" t="s">
        <v>448</v>
      </c>
      <c r="C278" s="2" t="s">
        <v>228</v>
      </c>
      <c r="D278" s="2" t="s">
        <v>47</v>
      </c>
      <c r="E278" s="2">
        <v>119</v>
      </c>
      <c r="F278" s="2" t="s">
        <v>42</v>
      </c>
      <c r="G278" s="2" t="s">
        <v>449</v>
      </c>
      <c r="H278" s="2">
        <v>27</v>
      </c>
      <c r="I278" s="3">
        <v>119</v>
      </c>
      <c r="J278" s="6">
        <v>2900000</v>
      </c>
      <c r="K278" s="5">
        <f t="shared" si="156"/>
        <v>120</v>
      </c>
      <c r="L278" s="9">
        <f t="shared" si="168"/>
        <v>3797840</v>
      </c>
      <c r="M278" s="3">
        <f t="shared" si="157"/>
        <v>121</v>
      </c>
      <c r="N278" s="10">
        <f t="shared" si="169"/>
        <v>6646220</v>
      </c>
      <c r="O278" s="5">
        <f t="shared" si="158"/>
        <v>123</v>
      </c>
      <c r="P278" s="9">
        <f t="shared" si="170"/>
        <v>13957062</v>
      </c>
      <c r="Q278" s="3">
        <f t="shared" si="159"/>
        <v>125</v>
      </c>
      <c r="R278" s="10">
        <f t="shared" si="171"/>
        <v>21750000</v>
      </c>
      <c r="S278" s="5">
        <f t="shared" si="160"/>
        <v>127</v>
      </c>
      <c r="T278" s="9">
        <f t="shared" si="172"/>
        <v>56826990</v>
      </c>
      <c r="U278" s="3">
        <f t="shared" si="161"/>
        <v>130</v>
      </c>
      <c r="V278" s="10">
        <f t="shared" si="173"/>
        <v>182732738</v>
      </c>
      <c r="W278" s="5">
        <f t="shared" si="162"/>
        <v>134</v>
      </c>
      <c r="X278" s="9">
        <f t="shared" si="174"/>
        <v>771200252</v>
      </c>
      <c r="Y278" s="3">
        <f t="shared" si="163"/>
        <v>136</v>
      </c>
      <c r="Z278" s="10">
        <f t="shared" si="175"/>
        <v>1850880605</v>
      </c>
      <c r="AA278" s="5">
        <f t="shared" si="164"/>
        <v>138</v>
      </c>
      <c r="AB278" s="9">
        <f t="shared" si="176"/>
        <v>4627201513</v>
      </c>
      <c r="AC278" s="3">
        <f t="shared" si="165"/>
        <v>140</v>
      </c>
      <c r="AD278" s="10">
        <f t="shared" si="177"/>
        <v>12956164237</v>
      </c>
      <c r="AE278" s="5">
        <f t="shared" si="166"/>
        <v>143</v>
      </c>
      <c r="AF278" s="9">
        <f t="shared" si="178"/>
        <v>41459725559</v>
      </c>
      <c r="AG278" s="3">
        <f t="shared" si="167"/>
        <v>146</v>
      </c>
      <c r="AH278" s="10">
        <f t="shared" si="179"/>
        <v>157546957126</v>
      </c>
    </row>
    <row r="279" spans="1:34" x14ac:dyDescent="0.3">
      <c r="A279" s="2">
        <v>281</v>
      </c>
      <c r="B279" s="2" t="s">
        <v>450</v>
      </c>
      <c r="C279" s="2" t="s">
        <v>228</v>
      </c>
      <c r="D279" s="2" t="s">
        <v>45</v>
      </c>
      <c r="E279" s="2">
        <v>119</v>
      </c>
      <c r="F279" s="2" t="s">
        <v>451</v>
      </c>
      <c r="G279" s="2" t="s">
        <v>452</v>
      </c>
      <c r="H279" s="2">
        <v>30</v>
      </c>
      <c r="I279" s="3">
        <v>119</v>
      </c>
      <c r="J279" s="6">
        <v>2900000</v>
      </c>
      <c r="K279" s="5">
        <f t="shared" si="156"/>
        <v>120</v>
      </c>
      <c r="L279" s="9">
        <f t="shared" si="168"/>
        <v>3797840</v>
      </c>
      <c r="M279" s="3">
        <f t="shared" si="157"/>
        <v>121</v>
      </c>
      <c r="N279" s="10">
        <f t="shared" si="169"/>
        <v>6646220</v>
      </c>
      <c r="O279" s="5">
        <f t="shared" si="158"/>
        <v>123</v>
      </c>
      <c r="P279" s="9">
        <f t="shared" si="170"/>
        <v>13957062</v>
      </c>
      <c r="Q279" s="3">
        <f t="shared" si="159"/>
        <v>125</v>
      </c>
      <c r="R279" s="10">
        <f t="shared" si="171"/>
        <v>21750000</v>
      </c>
      <c r="S279" s="5">
        <f t="shared" si="160"/>
        <v>127</v>
      </c>
      <c r="T279" s="9">
        <f t="shared" si="172"/>
        <v>56826990</v>
      </c>
      <c r="U279" s="3">
        <f t="shared" si="161"/>
        <v>130</v>
      </c>
      <c r="V279" s="10">
        <f t="shared" si="173"/>
        <v>182732738</v>
      </c>
      <c r="W279" s="5">
        <f t="shared" si="162"/>
        <v>134</v>
      </c>
      <c r="X279" s="9">
        <f t="shared" si="174"/>
        <v>771200252</v>
      </c>
      <c r="Y279" s="3">
        <f t="shared" si="163"/>
        <v>136</v>
      </c>
      <c r="Z279" s="10">
        <f t="shared" si="175"/>
        <v>1850880605</v>
      </c>
      <c r="AA279" s="5">
        <f t="shared" si="164"/>
        <v>138</v>
      </c>
      <c r="AB279" s="9">
        <f t="shared" si="176"/>
        <v>4627201513</v>
      </c>
      <c r="AC279" s="3">
        <f t="shared" si="165"/>
        <v>140</v>
      </c>
      <c r="AD279" s="10">
        <f t="shared" si="177"/>
        <v>12956164237</v>
      </c>
      <c r="AE279" s="5">
        <f t="shared" si="166"/>
        <v>143</v>
      </c>
      <c r="AF279" s="9">
        <f t="shared" si="178"/>
        <v>41459725559</v>
      </c>
      <c r="AG279" s="3">
        <f t="shared" si="167"/>
        <v>146</v>
      </c>
      <c r="AH279" s="10">
        <f t="shared" si="179"/>
        <v>157546957126</v>
      </c>
    </row>
    <row r="280" spans="1:34" x14ac:dyDescent="0.3">
      <c r="A280" s="2">
        <v>315</v>
      </c>
      <c r="B280" s="2" t="s">
        <v>453</v>
      </c>
      <c r="C280" s="2" t="s">
        <v>228</v>
      </c>
      <c r="D280" s="2" t="s">
        <v>33</v>
      </c>
      <c r="E280" s="2">
        <v>119</v>
      </c>
      <c r="F280" s="2" t="s">
        <v>225</v>
      </c>
      <c r="G280" s="2" t="s">
        <v>393</v>
      </c>
      <c r="H280" s="2">
        <v>29</v>
      </c>
      <c r="I280" s="3">
        <v>119</v>
      </c>
      <c r="J280" s="6">
        <v>2900000</v>
      </c>
      <c r="K280" s="5">
        <f t="shared" si="156"/>
        <v>120</v>
      </c>
      <c r="L280" s="9">
        <f t="shared" si="168"/>
        <v>3797840</v>
      </c>
      <c r="M280" s="3">
        <f t="shared" si="157"/>
        <v>121</v>
      </c>
      <c r="N280" s="10">
        <f t="shared" si="169"/>
        <v>6646220</v>
      </c>
      <c r="O280" s="5">
        <f t="shared" si="158"/>
        <v>123</v>
      </c>
      <c r="P280" s="9">
        <f t="shared" si="170"/>
        <v>13957062</v>
      </c>
      <c r="Q280" s="3">
        <f t="shared" si="159"/>
        <v>125</v>
      </c>
      <c r="R280" s="10">
        <f t="shared" si="171"/>
        <v>21750000</v>
      </c>
      <c r="S280" s="5">
        <f t="shared" si="160"/>
        <v>127</v>
      </c>
      <c r="T280" s="9">
        <f t="shared" si="172"/>
        <v>56826990</v>
      </c>
      <c r="U280" s="3">
        <f t="shared" si="161"/>
        <v>130</v>
      </c>
      <c r="V280" s="10">
        <f t="shared" si="173"/>
        <v>182732738</v>
      </c>
      <c r="W280" s="5">
        <f t="shared" si="162"/>
        <v>134</v>
      </c>
      <c r="X280" s="9">
        <f t="shared" si="174"/>
        <v>771200252</v>
      </c>
      <c r="Y280" s="3">
        <f t="shared" si="163"/>
        <v>136</v>
      </c>
      <c r="Z280" s="10">
        <f t="shared" si="175"/>
        <v>1850880605</v>
      </c>
      <c r="AA280" s="5">
        <f t="shared" si="164"/>
        <v>138</v>
      </c>
      <c r="AB280" s="9">
        <f t="shared" si="176"/>
        <v>4627201513</v>
      </c>
      <c r="AC280" s="3">
        <f t="shared" si="165"/>
        <v>140</v>
      </c>
      <c r="AD280" s="10">
        <f t="shared" si="177"/>
        <v>12956164237</v>
      </c>
      <c r="AE280" s="5">
        <f t="shared" si="166"/>
        <v>143</v>
      </c>
      <c r="AF280" s="9">
        <f t="shared" si="178"/>
        <v>41459725559</v>
      </c>
      <c r="AG280" s="3">
        <f t="shared" si="167"/>
        <v>146</v>
      </c>
      <c r="AH280" s="10">
        <f t="shared" si="179"/>
        <v>157546957126</v>
      </c>
    </row>
    <row r="281" spans="1:34" x14ac:dyDescent="0.3">
      <c r="A281" s="2">
        <v>282</v>
      </c>
      <c r="B281" s="2" t="s">
        <v>454</v>
      </c>
      <c r="C281" s="2" t="s">
        <v>228</v>
      </c>
      <c r="D281" s="2" t="s">
        <v>45</v>
      </c>
      <c r="E281" s="2">
        <v>119</v>
      </c>
      <c r="F281" s="2" t="s">
        <v>146</v>
      </c>
      <c r="G281" s="2" t="s">
        <v>354</v>
      </c>
      <c r="H281" s="2">
        <v>30</v>
      </c>
      <c r="I281" s="3">
        <v>119</v>
      </c>
      <c r="J281" s="6">
        <v>2900000</v>
      </c>
      <c r="K281" s="5">
        <f t="shared" si="156"/>
        <v>120</v>
      </c>
      <c r="L281" s="9">
        <f t="shared" si="168"/>
        <v>3797840</v>
      </c>
      <c r="M281" s="3">
        <f t="shared" si="157"/>
        <v>121</v>
      </c>
      <c r="N281" s="10">
        <f t="shared" si="169"/>
        <v>6646220</v>
      </c>
      <c r="O281" s="5">
        <f t="shared" si="158"/>
        <v>123</v>
      </c>
      <c r="P281" s="9">
        <f t="shared" si="170"/>
        <v>13957062</v>
      </c>
      <c r="Q281" s="3">
        <f t="shared" si="159"/>
        <v>125</v>
      </c>
      <c r="R281" s="10">
        <f t="shared" si="171"/>
        <v>21750000</v>
      </c>
      <c r="S281" s="5">
        <f t="shared" si="160"/>
        <v>127</v>
      </c>
      <c r="T281" s="9">
        <f t="shared" si="172"/>
        <v>56826990</v>
      </c>
      <c r="U281" s="3">
        <f t="shared" si="161"/>
        <v>130</v>
      </c>
      <c r="V281" s="10">
        <f t="shared" si="173"/>
        <v>182732738</v>
      </c>
      <c r="W281" s="5">
        <f t="shared" si="162"/>
        <v>134</v>
      </c>
      <c r="X281" s="9">
        <f t="shared" si="174"/>
        <v>771200252</v>
      </c>
      <c r="Y281" s="3">
        <f t="shared" si="163"/>
        <v>136</v>
      </c>
      <c r="Z281" s="10">
        <f t="shared" si="175"/>
        <v>1850880605</v>
      </c>
      <c r="AA281" s="5">
        <f t="shared" si="164"/>
        <v>138</v>
      </c>
      <c r="AB281" s="9">
        <f t="shared" si="176"/>
        <v>4627201513</v>
      </c>
      <c r="AC281" s="3">
        <f t="shared" si="165"/>
        <v>140</v>
      </c>
      <c r="AD281" s="10">
        <f t="shared" si="177"/>
        <v>12956164237</v>
      </c>
      <c r="AE281" s="5">
        <f t="shared" si="166"/>
        <v>143</v>
      </c>
      <c r="AF281" s="9">
        <f t="shared" si="178"/>
        <v>41459725559</v>
      </c>
      <c r="AG281" s="3">
        <f t="shared" si="167"/>
        <v>146</v>
      </c>
      <c r="AH281" s="10">
        <f t="shared" si="179"/>
        <v>157546957126</v>
      </c>
    </row>
    <row r="282" spans="1:34" x14ac:dyDescent="0.3">
      <c r="A282" s="2">
        <v>262</v>
      </c>
      <c r="B282" s="2" t="s">
        <v>455</v>
      </c>
      <c r="C282" s="2" t="s">
        <v>228</v>
      </c>
      <c r="D282" s="2" t="s">
        <v>40</v>
      </c>
      <c r="E282" s="2">
        <v>119</v>
      </c>
      <c r="F282" s="2" t="s">
        <v>303</v>
      </c>
      <c r="G282" s="2" t="s">
        <v>456</v>
      </c>
      <c r="H282" s="2">
        <v>29</v>
      </c>
      <c r="I282" s="3">
        <v>119</v>
      </c>
      <c r="J282" s="4">
        <v>1620000</v>
      </c>
      <c r="K282" s="5">
        <f t="shared" si="156"/>
        <v>120</v>
      </c>
      <c r="L282" s="9">
        <f t="shared" si="168"/>
        <v>2121552</v>
      </c>
      <c r="M282" s="3">
        <f t="shared" si="157"/>
        <v>121</v>
      </c>
      <c r="N282" s="10">
        <f t="shared" si="169"/>
        <v>3712716</v>
      </c>
      <c r="O282" s="5">
        <f t="shared" si="158"/>
        <v>123</v>
      </c>
      <c r="P282" s="9">
        <f t="shared" si="170"/>
        <v>7796704</v>
      </c>
      <c r="Q282" s="3">
        <f t="shared" si="159"/>
        <v>125</v>
      </c>
      <c r="R282" s="10">
        <f t="shared" si="171"/>
        <v>12150000</v>
      </c>
      <c r="S282" s="5">
        <f t="shared" si="160"/>
        <v>127</v>
      </c>
      <c r="T282" s="9">
        <f t="shared" si="172"/>
        <v>31744733</v>
      </c>
      <c r="U282" s="3">
        <f t="shared" si="161"/>
        <v>130</v>
      </c>
      <c r="V282" s="10">
        <f t="shared" si="173"/>
        <v>102078288</v>
      </c>
      <c r="W282" s="5">
        <f t="shared" si="162"/>
        <v>134</v>
      </c>
      <c r="X282" s="9">
        <f t="shared" si="174"/>
        <v>430808417</v>
      </c>
      <c r="Y282" s="3">
        <f t="shared" si="163"/>
        <v>136</v>
      </c>
      <c r="Z282" s="10">
        <f t="shared" si="175"/>
        <v>1033940200</v>
      </c>
      <c r="AA282" s="5">
        <f t="shared" si="164"/>
        <v>138</v>
      </c>
      <c r="AB282" s="9">
        <f t="shared" si="176"/>
        <v>2584850501</v>
      </c>
      <c r="AC282" s="3">
        <f t="shared" si="165"/>
        <v>140</v>
      </c>
      <c r="AD282" s="10">
        <f t="shared" si="177"/>
        <v>7237581402</v>
      </c>
      <c r="AE282" s="5">
        <f t="shared" si="166"/>
        <v>143</v>
      </c>
      <c r="AF282" s="9">
        <f t="shared" si="178"/>
        <v>23160260485</v>
      </c>
      <c r="AG282" s="3">
        <f t="shared" si="167"/>
        <v>146</v>
      </c>
      <c r="AH282" s="10">
        <f t="shared" si="179"/>
        <v>88008989843</v>
      </c>
    </row>
    <row r="283" spans="1:34" x14ac:dyDescent="0.3">
      <c r="A283" s="2">
        <v>308</v>
      </c>
      <c r="B283" s="2" t="s">
        <v>457</v>
      </c>
      <c r="C283" s="2" t="s">
        <v>228</v>
      </c>
      <c r="D283" s="2" t="s">
        <v>90</v>
      </c>
      <c r="E283" s="2">
        <v>118</v>
      </c>
      <c r="F283" s="2" t="s">
        <v>458</v>
      </c>
      <c r="G283" s="2" t="s">
        <v>434</v>
      </c>
      <c r="H283" s="2">
        <v>29</v>
      </c>
      <c r="I283" s="3">
        <v>118</v>
      </c>
      <c r="J283" s="4">
        <v>1620000</v>
      </c>
      <c r="K283" s="5">
        <f t="shared" si="156"/>
        <v>119</v>
      </c>
      <c r="L283" s="9">
        <f t="shared" si="168"/>
        <v>2121552</v>
      </c>
      <c r="M283" s="3">
        <f t="shared" si="157"/>
        <v>120</v>
      </c>
      <c r="N283" s="10">
        <f t="shared" si="169"/>
        <v>3712716</v>
      </c>
      <c r="O283" s="5">
        <f t="shared" si="158"/>
        <v>122</v>
      </c>
      <c r="P283" s="9">
        <f t="shared" si="170"/>
        <v>7796704</v>
      </c>
      <c r="Q283" s="3">
        <f t="shared" si="159"/>
        <v>124</v>
      </c>
      <c r="R283" s="10">
        <f t="shared" si="171"/>
        <v>12150000</v>
      </c>
      <c r="S283" s="5">
        <f t="shared" si="160"/>
        <v>126</v>
      </c>
      <c r="T283" s="9">
        <f t="shared" si="172"/>
        <v>31744733</v>
      </c>
      <c r="U283" s="3">
        <f t="shared" si="161"/>
        <v>129</v>
      </c>
      <c r="V283" s="10">
        <f t="shared" si="173"/>
        <v>102078288</v>
      </c>
      <c r="W283" s="5">
        <f t="shared" si="162"/>
        <v>133</v>
      </c>
      <c r="X283" s="9">
        <f t="shared" si="174"/>
        <v>430808417</v>
      </c>
      <c r="Y283" s="3">
        <f t="shared" si="163"/>
        <v>135</v>
      </c>
      <c r="Z283" s="10">
        <f t="shared" si="175"/>
        <v>1033940200</v>
      </c>
      <c r="AA283" s="5">
        <f t="shared" si="164"/>
        <v>137</v>
      </c>
      <c r="AB283" s="9">
        <f t="shared" si="176"/>
        <v>2584850501</v>
      </c>
      <c r="AC283" s="3">
        <f t="shared" si="165"/>
        <v>139</v>
      </c>
      <c r="AD283" s="10">
        <f t="shared" si="177"/>
        <v>7237581402</v>
      </c>
      <c r="AE283" s="5">
        <f t="shared" si="166"/>
        <v>142</v>
      </c>
      <c r="AF283" s="9">
        <f t="shared" si="178"/>
        <v>23160260485</v>
      </c>
      <c r="AG283" s="3">
        <f t="shared" si="167"/>
        <v>145</v>
      </c>
      <c r="AH283" s="10">
        <f t="shared" si="179"/>
        <v>88008989843</v>
      </c>
    </row>
    <row r="284" spans="1:34" x14ac:dyDescent="0.3">
      <c r="A284" s="2">
        <v>279</v>
      </c>
      <c r="B284" s="2" t="s">
        <v>459</v>
      </c>
      <c r="C284" s="2" t="s">
        <v>228</v>
      </c>
      <c r="D284" s="2" t="s">
        <v>45</v>
      </c>
      <c r="E284" s="2">
        <v>118</v>
      </c>
      <c r="F284" s="2" t="s">
        <v>451</v>
      </c>
      <c r="G284" s="2" t="s">
        <v>460</v>
      </c>
      <c r="H284" s="2">
        <v>29</v>
      </c>
      <c r="I284" s="3">
        <v>118</v>
      </c>
      <c r="J284" s="4">
        <v>1620000</v>
      </c>
      <c r="K284" s="5">
        <f t="shared" si="156"/>
        <v>119</v>
      </c>
      <c r="L284" s="9">
        <f t="shared" si="168"/>
        <v>2121552</v>
      </c>
      <c r="M284" s="3">
        <f t="shared" si="157"/>
        <v>120</v>
      </c>
      <c r="N284" s="10">
        <f t="shared" si="169"/>
        <v>3712716</v>
      </c>
      <c r="O284" s="5">
        <f t="shared" si="158"/>
        <v>122</v>
      </c>
      <c r="P284" s="9">
        <f t="shared" si="170"/>
        <v>7796704</v>
      </c>
      <c r="Q284" s="3">
        <f t="shared" si="159"/>
        <v>124</v>
      </c>
      <c r="R284" s="10">
        <f t="shared" si="171"/>
        <v>12150000</v>
      </c>
      <c r="S284" s="5">
        <f t="shared" si="160"/>
        <v>126</v>
      </c>
      <c r="T284" s="9">
        <f t="shared" si="172"/>
        <v>31744733</v>
      </c>
      <c r="U284" s="3">
        <f t="shared" si="161"/>
        <v>129</v>
      </c>
      <c r="V284" s="10">
        <f t="shared" si="173"/>
        <v>102078288</v>
      </c>
      <c r="W284" s="5">
        <f t="shared" si="162"/>
        <v>133</v>
      </c>
      <c r="X284" s="9">
        <f t="shared" si="174"/>
        <v>430808417</v>
      </c>
      <c r="Y284" s="3">
        <f t="shared" si="163"/>
        <v>135</v>
      </c>
      <c r="Z284" s="10">
        <f t="shared" si="175"/>
        <v>1033940200</v>
      </c>
      <c r="AA284" s="5">
        <f t="shared" si="164"/>
        <v>137</v>
      </c>
      <c r="AB284" s="9">
        <f t="shared" si="176"/>
        <v>2584850501</v>
      </c>
      <c r="AC284" s="3">
        <f t="shared" si="165"/>
        <v>139</v>
      </c>
      <c r="AD284" s="10">
        <f t="shared" si="177"/>
        <v>7237581402</v>
      </c>
      <c r="AE284" s="5">
        <f t="shared" si="166"/>
        <v>142</v>
      </c>
      <c r="AF284" s="9">
        <f t="shared" si="178"/>
        <v>23160260485</v>
      </c>
      <c r="AG284" s="3">
        <f t="shared" si="167"/>
        <v>145</v>
      </c>
      <c r="AH284" s="10">
        <f t="shared" si="179"/>
        <v>88008989843</v>
      </c>
    </row>
    <row r="285" spans="1:34" x14ac:dyDescent="0.3">
      <c r="A285" s="2">
        <v>296</v>
      </c>
      <c r="B285" s="2" t="s">
        <v>461</v>
      </c>
      <c r="C285" s="2" t="s">
        <v>228</v>
      </c>
      <c r="D285" s="2" t="s">
        <v>47</v>
      </c>
      <c r="E285" s="2">
        <v>118</v>
      </c>
      <c r="F285" s="2" t="s">
        <v>462</v>
      </c>
      <c r="G285" s="2" t="s">
        <v>270</v>
      </c>
      <c r="H285" s="2">
        <v>26</v>
      </c>
      <c r="I285" s="3">
        <v>118</v>
      </c>
      <c r="J285" s="4">
        <v>1620000</v>
      </c>
      <c r="K285" s="5">
        <f t="shared" si="156"/>
        <v>119</v>
      </c>
      <c r="L285" s="9">
        <f t="shared" si="168"/>
        <v>2121552</v>
      </c>
      <c r="M285" s="3">
        <f t="shared" si="157"/>
        <v>120</v>
      </c>
      <c r="N285" s="10">
        <f t="shared" si="169"/>
        <v>3712716</v>
      </c>
      <c r="O285" s="5">
        <f t="shared" si="158"/>
        <v>122</v>
      </c>
      <c r="P285" s="9">
        <f t="shared" si="170"/>
        <v>7796704</v>
      </c>
      <c r="Q285" s="3">
        <f t="shared" si="159"/>
        <v>124</v>
      </c>
      <c r="R285" s="10">
        <f t="shared" si="171"/>
        <v>12150000</v>
      </c>
      <c r="S285" s="5">
        <f t="shared" si="160"/>
        <v>126</v>
      </c>
      <c r="T285" s="9">
        <f t="shared" si="172"/>
        <v>31744733</v>
      </c>
      <c r="U285" s="3">
        <f t="shared" si="161"/>
        <v>129</v>
      </c>
      <c r="V285" s="10">
        <f t="shared" si="173"/>
        <v>102078288</v>
      </c>
      <c r="W285" s="5">
        <f t="shared" si="162"/>
        <v>133</v>
      </c>
      <c r="X285" s="9">
        <f t="shared" si="174"/>
        <v>430808417</v>
      </c>
      <c r="Y285" s="3">
        <f t="shared" si="163"/>
        <v>135</v>
      </c>
      <c r="Z285" s="10">
        <f t="shared" si="175"/>
        <v>1033940200</v>
      </c>
      <c r="AA285" s="5">
        <f t="shared" si="164"/>
        <v>137</v>
      </c>
      <c r="AB285" s="9">
        <f t="shared" si="176"/>
        <v>2584850501</v>
      </c>
      <c r="AC285" s="3">
        <f t="shared" si="165"/>
        <v>139</v>
      </c>
      <c r="AD285" s="10">
        <f t="shared" si="177"/>
        <v>7237581402</v>
      </c>
      <c r="AE285" s="5">
        <f t="shared" si="166"/>
        <v>142</v>
      </c>
      <c r="AF285" s="9">
        <f t="shared" si="178"/>
        <v>23160260485</v>
      </c>
      <c r="AG285" s="3">
        <f t="shared" si="167"/>
        <v>145</v>
      </c>
      <c r="AH285" s="10">
        <f t="shared" si="179"/>
        <v>88008989843</v>
      </c>
    </row>
    <row r="286" spans="1:34" x14ac:dyDescent="0.3">
      <c r="A286" s="2">
        <v>318</v>
      </c>
      <c r="B286" s="2" t="s">
        <v>463</v>
      </c>
      <c r="C286" s="2" t="s">
        <v>228</v>
      </c>
      <c r="D286" s="2" t="s">
        <v>33</v>
      </c>
      <c r="E286" s="2">
        <v>118</v>
      </c>
      <c r="F286" s="2" t="s">
        <v>223</v>
      </c>
      <c r="G286" s="2" t="s">
        <v>464</v>
      </c>
      <c r="H286" s="2">
        <v>29</v>
      </c>
      <c r="I286" s="3">
        <v>118</v>
      </c>
      <c r="J286" s="4">
        <v>1620000</v>
      </c>
      <c r="K286" s="5">
        <f t="shared" si="156"/>
        <v>119</v>
      </c>
      <c r="L286" s="9">
        <f t="shared" si="168"/>
        <v>2121552</v>
      </c>
      <c r="M286" s="3">
        <f t="shared" si="157"/>
        <v>120</v>
      </c>
      <c r="N286" s="10">
        <f t="shared" si="169"/>
        <v>3712716</v>
      </c>
      <c r="O286" s="5">
        <f t="shared" si="158"/>
        <v>122</v>
      </c>
      <c r="P286" s="9">
        <f t="shared" si="170"/>
        <v>7796704</v>
      </c>
      <c r="Q286" s="3">
        <f t="shared" si="159"/>
        <v>124</v>
      </c>
      <c r="R286" s="10">
        <f t="shared" si="171"/>
        <v>12150000</v>
      </c>
      <c r="S286" s="5">
        <f t="shared" si="160"/>
        <v>126</v>
      </c>
      <c r="T286" s="9">
        <f t="shared" si="172"/>
        <v>31744733</v>
      </c>
      <c r="U286" s="3">
        <f t="shared" si="161"/>
        <v>129</v>
      </c>
      <c r="V286" s="10">
        <f t="shared" si="173"/>
        <v>102078288</v>
      </c>
      <c r="W286" s="5">
        <f t="shared" si="162"/>
        <v>133</v>
      </c>
      <c r="X286" s="9">
        <f t="shared" si="174"/>
        <v>430808417</v>
      </c>
      <c r="Y286" s="3">
        <f t="shared" si="163"/>
        <v>135</v>
      </c>
      <c r="Z286" s="10">
        <f t="shared" si="175"/>
        <v>1033940200</v>
      </c>
      <c r="AA286" s="5">
        <f t="shared" si="164"/>
        <v>137</v>
      </c>
      <c r="AB286" s="9">
        <f t="shared" si="176"/>
        <v>2584850501</v>
      </c>
      <c r="AC286" s="3">
        <f t="shared" si="165"/>
        <v>139</v>
      </c>
      <c r="AD286" s="10">
        <f t="shared" si="177"/>
        <v>7237581402</v>
      </c>
      <c r="AE286" s="5">
        <f t="shared" si="166"/>
        <v>142</v>
      </c>
      <c r="AF286" s="9">
        <f t="shared" si="178"/>
        <v>23160260485</v>
      </c>
      <c r="AG286" s="3">
        <f t="shared" si="167"/>
        <v>145</v>
      </c>
      <c r="AH286" s="10">
        <f t="shared" si="179"/>
        <v>88008989843</v>
      </c>
    </row>
    <row r="287" spans="1:34" x14ac:dyDescent="0.3">
      <c r="A287" s="2">
        <v>295</v>
      </c>
      <c r="B287" s="2" t="s">
        <v>465</v>
      </c>
      <c r="C287" s="2" t="s">
        <v>228</v>
      </c>
      <c r="D287" s="2" t="s">
        <v>47</v>
      </c>
      <c r="E287" s="2">
        <v>118</v>
      </c>
      <c r="F287" s="2" t="s">
        <v>30</v>
      </c>
      <c r="G287" s="2" t="s">
        <v>466</v>
      </c>
      <c r="H287" s="2">
        <v>26</v>
      </c>
      <c r="I287" s="3">
        <v>118</v>
      </c>
      <c r="J287" s="4">
        <v>1620000</v>
      </c>
      <c r="K287" s="5">
        <f t="shared" si="156"/>
        <v>119</v>
      </c>
      <c r="L287" s="9">
        <f t="shared" si="168"/>
        <v>2121552</v>
      </c>
      <c r="M287" s="3">
        <f t="shared" si="157"/>
        <v>120</v>
      </c>
      <c r="N287" s="10">
        <f t="shared" si="169"/>
        <v>3712716</v>
      </c>
      <c r="O287" s="5">
        <f t="shared" si="158"/>
        <v>122</v>
      </c>
      <c r="P287" s="9">
        <f t="shared" si="170"/>
        <v>7796704</v>
      </c>
      <c r="Q287" s="3">
        <f t="shared" si="159"/>
        <v>124</v>
      </c>
      <c r="R287" s="10">
        <f t="shared" si="171"/>
        <v>12150000</v>
      </c>
      <c r="S287" s="5">
        <f t="shared" si="160"/>
        <v>126</v>
      </c>
      <c r="T287" s="9">
        <f t="shared" si="172"/>
        <v>31744733</v>
      </c>
      <c r="U287" s="3">
        <f t="shared" si="161"/>
        <v>129</v>
      </c>
      <c r="V287" s="10">
        <f t="shared" si="173"/>
        <v>102078288</v>
      </c>
      <c r="W287" s="5">
        <f t="shared" si="162"/>
        <v>133</v>
      </c>
      <c r="X287" s="9">
        <f t="shared" si="174"/>
        <v>430808417</v>
      </c>
      <c r="Y287" s="3">
        <f t="shared" si="163"/>
        <v>135</v>
      </c>
      <c r="Z287" s="10">
        <f t="shared" si="175"/>
        <v>1033940200</v>
      </c>
      <c r="AA287" s="5">
        <f t="shared" si="164"/>
        <v>137</v>
      </c>
      <c r="AB287" s="9">
        <f t="shared" si="176"/>
        <v>2584850501</v>
      </c>
      <c r="AC287" s="3">
        <f t="shared" si="165"/>
        <v>139</v>
      </c>
      <c r="AD287" s="10">
        <f t="shared" si="177"/>
        <v>7237581402</v>
      </c>
      <c r="AE287" s="5">
        <f t="shared" si="166"/>
        <v>142</v>
      </c>
      <c r="AF287" s="9">
        <f t="shared" si="178"/>
        <v>23160260485</v>
      </c>
      <c r="AG287" s="3">
        <f t="shared" si="167"/>
        <v>145</v>
      </c>
      <c r="AH287" s="10">
        <f t="shared" si="179"/>
        <v>88008989843</v>
      </c>
    </row>
    <row r="288" spans="1:34" x14ac:dyDescent="0.3">
      <c r="A288" s="2">
        <v>317</v>
      </c>
      <c r="B288" s="2" t="s">
        <v>467</v>
      </c>
      <c r="C288" s="2" t="s">
        <v>228</v>
      </c>
      <c r="D288" s="2" t="s">
        <v>33</v>
      </c>
      <c r="E288" s="2">
        <v>118</v>
      </c>
      <c r="F288" s="2" t="s">
        <v>384</v>
      </c>
      <c r="G288" s="2" t="s">
        <v>452</v>
      </c>
      <c r="H288" s="2">
        <v>29</v>
      </c>
      <c r="I288" s="3">
        <v>118</v>
      </c>
      <c r="J288" s="4">
        <v>1620000</v>
      </c>
      <c r="K288" s="5">
        <f t="shared" si="156"/>
        <v>119</v>
      </c>
      <c r="L288" s="9">
        <f t="shared" si="168"/>
        <v>2121552</v>
      </c>
      <c r="M288" s="3">
        <f t="shared" si="157"/>
        <v>120</v>
      </c>
      <c r="N288" s="10">
        <f t="shared" si="169"/>
        <v>3712716</v>
      </c>
      <c r="O288" s="5">
        <f t="shared" si="158"/>
        <v>122</v>
      </c>
      <c r="P288" s="9">
        <f t="shared" si="170"/>
        <v>7796704</v>
      </c>
      <c r="Q288" s="3">
        <f t="shared" si="159"/>
        <v>124</v>
      </c>
      <c r="R288" s="10">
        <f t="shared" si="171"/>
        <v>12150000</v>
      </c>
      <c r="S288" s="5">
        <f t="shared" si="160"/>
        <v>126</v>
      </c>
      <c r="T288" s="9">
        <f t="shared" si="172"/>
        <v>31744733</v>
      </c>
      <c r="U288" s="3">
        <f t="shared" si="161"/>
        <v>129</v>
      </c>
      <c r="V288" s="10">
        <f t="shared" si="173"/>
        <v>102078288</v>
      </c>
      <c r="W288" s="5">
        <f t="shared" si="162"/>
        <v>133</v>
      </c>
      <c r="X288" s="9">
        <f t="shared" si="174"/>
        <v>430808417</v>
      </c>
      <c r="Y288" s="3">
        <f t="shared" si="163"/>
        <v>135</v>
      </c>
      <c r="Z288" s="10">
        <f t="shared" si="175"/>
        <v>1033940200</v>
      </c>
      <c r="AA288" s="5">
        <f t="shared" si="164"/>
        <v>137</v>
      </c>
      <c r="AB288" s="9">
        <f t="shared" si="176"/>
        <v>2584850501</v>
      </c>
      <c r="AC288" s="3">
        <f t="shared" si="165"/>
        <v>139</v>
      </c>
      <c r="AD288" s="10">
        <f t="shared" si="177"/>
        <v>7237581402</v>
      </c>
      <c r="AE288" s="5">
        <f t="shared" si="166"/>
        <v>142</v>
      </c>
      <c r="AF288" s="9">
        <f t="shared" si="178"/>
        <v>23160260485</v>
      </c>
      <c r="AG288" s="3">
        <f t="shared" si="167"/>
        <v>145</v>
      </c>
      <c r="AH288" s="10">
        <f t="shared" si="179"/>
        <v>88008989843</v>
      </c>
    </row>
    <row r="289" spans="1:34" x14ac:dyDescent="0.3">
      <c r="A289" s="2">
        <v>235</v>
      </c>
      <c r="B289" s="2" t="s">
        <v>251</v>
      </c>
      <c r="C289" s="2" t="s">
        <v>468</v>
      </c>
      <c r="D289" s="2" t="s">
        <v>64</v>
      </c>
      <c r="E289" s="2">
        <v>119</v>
      </c>
      <c r="F289" s="2" t="s">
        <v>59</v>
      </c>
      <c r="G289" s="2" t="s">
        <v>252</v>
      </c>
      <c r="H289" s="2">
        <v>32</v>
      </c>
      <c r="I289" s="3">
        <v>119</v>
      </c>
      <c r="J289" s="4">
        <v>12800000</v>
      </c>
      <c r="K289" s="5">
        <f t="shared" si="156"/>
        <v>120</v>
      </c>
      <c r="L289" s="9">
        <f t="shared" ref="L289:L305" si="180">ROUND($J289*1.637*1,0)</f>
        <v>20953600</v>
      </c>
      <c r="M289" s="3">
        <f t="shared" si="157"/>
        <v>121</v>
      </c>
      <c r="N289" s="10">
        <f t="shared" ref="N289:N305" si="181">ROUND($J289*1.637*1.75*1,0)</f>
        <v>36668800</v>
      </c>
      <c r="O289" s="5">
        <f t="shared" si="158"/>
        <v>123</v>
      </c>
      <c r="P289" s="9">
        <f t="shared" ref="P289:P305" si="182">ROUND($J289*1.637*1.75*2.1*1,0)</f>
        <v>77004480</v>
      </c>
      <c r="Q289" s="3">
        <f t="shared" si="159"/>
        <v>125</v>
      </c>
      <c r="R289" s="10">
        <f>ROUND($J289*1.637*1.75*2.1*2.3*1.25,0)</f>
        <v>221387880</v>
      </c>
      <c r="S289" s="5">
        <f t="shared" si="160"/>
        <v>127</v>
      </c>
      <c r="T289" s="9">
        <f>ROUND($J289*1.637*1.75*2.1*2.3*2.6*1.25,0)</f>
        <v>575608488</v>
      </c>
      <c r="U289" s="3">
        <f t="shared" si="161"/>
        <v>130</v>
      </c>
      <c r="V289" s="10">
        <f>ROUND($J289*1.637*1.75*2.1*2.3*2.6*3.2*1.25,0)</f>
        <v>1841947162</v>
      </c>
      <c r="W289" s="5">
        <f t="shared" si="162"/>
        <v>134</v>
      </c>
      <c r="X289" s="9">
        <f>ROUND($J289*1.637*1.75*2.1*2.3*2.6*3.2*4.2*1.25,0)</f>
        <v>7736178079</v>
      </c>
      <c r="Y289" s="3">
        <f t="shared" si="163"/>
        <v>136</v>
      </c>
      <c r="Z289" s="10">
        <f>ROUND($J289*1.637*1.75*2.1*2.3*2.6*3.2*4.2*2.4*1.25,0)</f>
        <v>18566827389</v>
      </c>
      <c r="AA289" s="5">
        <f t="shared" si="164"/>
        <v>138</v>
      </c>
      <c r="AB289" s="9">
        <f>ROUND($J289*1.637*1.75*2.1*2.3*2.6*3.2*4.2*2.4*2.5*1.25,0)</f>
        <v>46417068472</v>
      </c>
      <c r="AC289" s="3">
        <f t="shared" si="165"/>
        <v>140</v>
      </c>
      <c r="AD289" s="10">
        <f>ROUND($J289*1.637*1.75*2.1*2.3*2.6*3.2*4.2*2.4*2.5*2.8*1.25,0)</f>
        <v>129967791722</v>
      </c>
      <c r="AE289" s="5">
        <f t="shared" si="166"/>
        <v>143</v>
      </c>
      <c r="AF289" s="9">
        <f>ROUND($J289*1.637*1.75*2.1*2.3*2.6*3.2*4.2*2.4*2.5*2.8*3.2*1.25,0)</f>
        <v>415896933512</v>
      </c>
      <c r="AG289" s="3">
        <f t="shared" si="167"/>
        <v>146</v>
      </c>
      <c r="AH289" s="10">
        <f>ROUND($J289*1.637*1.75*2.1*2.3*2.6*3.2*4.2*2.4*2.5*2.8*3.2*3.8*1.25,0)</f>
        <v>1580408347346</v>
      </c>
    </row>
    <row r="290" spans="1:34" x14ac:dyDescent="0.3">
      <c r="A290" s="2">
        <v>234</v>
      </c>
      <c r="B290" s="2" t="s">
        <v>87</v>
      </c>
      <c r="C290" s="2" t="s">
        <v>468</v>
      </c>
      <c r="D290" s="2" t="s">
        <v>40</v>
      </c>
      <c r="E290" s="2">
        <v>118</v>
      </c>
      <c r="F290" s="2" t="s">
        <v>88</v>
      </c>
      <c r="G290" s="2" t="s">
        <v>51</v>
      </c>
      <c r="H290" s="2">
        <v>31</v>
      </c>
      <c r="I290" s="3">
        <v>118</v>
      </c>
      <c r="J290" s="4">
        <v>1010000</v>
      </c>
      <c r="K290" s="5">
        <f t="shared" si="156"/>
        <v>119</v>
      </c>
      <c r="L290" s="9">
        <f t="shared" si="180"/>
        <v>1653370</v>
      </c>
      <c r="M290" s="3">
        <f t="shared" si="157"/>
        <v>120</v>
      </c>
      <c r="N290" s="10">
        <f t="shared" si="181"/>
        <v>2893398</v>
      </c>
      <c r="O290" s="5">
        <f t="shared" si="158"/>
        <v>122</v>
      </c>
      <c r="P290" s="9">
        <f t="shared" si="182"/>
        <v>6076135</v>
      </c>
      <c r="Q290" s="3">
        <f t="shared" si="159"/>
        <v>124</v>
      </c>
      <c r="R290" s="10">
        <f>ROUND($J290*1.637*1.75*2.1*2.3*1.25,0)</f>
        <v>17468887</v>
      </c>
      <c r="S290" s="5">
        <f t="shared" si="160"/>
        <v>126</v>
      </c>
      <c r="T290" s="9">
        <f>ROUND($J290*1.637*1.75*2.1*2.3*2.6*1.25,0)</f>
        <v>45419107</v>
      </c>
      <c r="U290" s="3">
        <f t="shared" si="161"/>
        <v>129</v>
      </c>
      <c r="V290" s="10">
        <f>ROUND($J290*1.637*1.75*2.1*2.3*2.6*3.2*1.25,0)</f>
        <v>145341143</v>
      </c>
      <c r="W290" s="5">
        <f t="shared" si="162"/>
        <v>133</v>
      </c>
      <c r="X290" s="9">
        <f>ROUND($J290*1.637*1.75*2.1*2.3*2.6*3.2*4.2*1.25,0)</f>
        <v>610432802</v>
      </c>
      <c r="Y290" s="3">
        <f t="shared" si="163"/>
        <v>135</v>
      </c>
      <c r="Z290" s="10">
        <f>ROUND($J290*1.637*1.75*2.1*2.3*2.6*3.2*4.2*2.4*1.25,0)</f>
        <v>1465038724</v>
      </c>
      <c r="AA290" s="5">
        <f t="shared" si="164"/>
        <v>137</v>
      </c>
      <c r="AB290" s="9">
        <f>ROUND($J290*1.637*1.75*2.1*2.3*2.6*3.2*4.2*2.4*2.5*1.25,0)</f>
        <v>3662596809</v>
      </c>
      <c r="AC290" s="3">
        <f t="shared" si="165"/>
        <v>139</v>
      </c>
      <c r="AD290" s="10">
        <f>ROUND($J290*1.637*1.75*2.1*2.3*2.6*3.2*4.2*2.4*2.5*2.8*1.25,0)</f>
        <v>10255271066</v>
      </c>
      <c r="AE290" s="5">
        <f t="shared" si="166"/>
        <v>142</v>
      </c>
      <c r="AF290" s="9">
        <f>ROUND($J290*1.637*1.75*2.1*2.3*2.6*3.2*4.2*2.4*2.5*2.8*3.2*1.25,0)</f>
        <v>32816867410</v>
      </c>
      <c r="AG290" s="3">
        <f t="shared" si="167"/>
        <v>145</v>
      </c>
      <c r="AH290" s="10">
        <f>ROUND($J290*1.637*1.75*2.1*2.3*2.6*3.2*4.2*2.4*2.5*2.8*3.2*3.8*1.25,0)</f>
        <v>124704096158</v>
      </c>
    </row>
    <row r="291" spans="1:34" x14ac:dyDescent="0.3">
      <c r="A291" s="2">
        <v>232</v>
      </c>
      <c r="B291" s="2" t="s">
        <v>63</v>
      </c>
      <c r="C291" s="2" t="s">
        <v>468</v>
      </c>
      <c r="D291" s="2" t="s">
        <v>64</v>
      </c>
      <c r="E291" s="2">
        <v>118</v>
      </c>
      <c r="F291" s="2" t="s">
        <v>65</v>
      </c>
      <c r="G291" s="2" t="s">
        <v>57</v>
      </c>
      <c r="H291" s="2">
        <v>30</v>
      </c>
      <c r="I291" s="3">
        <v>118</v>
      </c>
      <c r="J291" s="4">
        <v>990000</v>
      </c>
      <c r="K291" s="5">
        <f t="shared" si="156"/>
        <v>119</v>
      </c>
      <c r="L291" s="9">
        <f t="shared" si="180"/>
        <v>1620630</v>
      </c>
      <c r="M291" s="3">
        <f t="shared" si="157"/>
        <v>120</v>
      </c>
      <c r="N291" s="10">
        <f t="shared" si="181"/>
        <v>2836103</v>
      </c>
      <c r="O291" s="5">
        <f t="shared" si="158"/>
        <v>122</v>
      </c>
      <c r="P291" s="9">
        <f t="shared" si="182"/>
        <v>5955815</v>
      </c>
      <c r="Q291" s="3">
        <f t="shared" si="159"/>
        <v>124</v>
      </c>
      <c r="R291" s="10">
        <f>ROUND($J291*1.637*1.75*2.1*2.3*1.25,0)</f>
        <v>17122969</v>
      </c>
      <c r="S291" s="5">
        <f t="shared" si="160"/>
        <v>126</v>
      </c>
      <c r="T291" s="9">
        <f>ROUND($J291*1.637*1.75*2.1*2.3*2.6*1.25,0)</f>
        <v>44519719</v>
      </c>
      <c r="U291" s="3">
        <f t="shared" si="161"/>
        <v>129</v>
      </c>
      <c r="V291" s="10">
        <f>ROUND($J291*1.637*1.75*2.1*2.3*2.6*3.2*1.25,0)</f>
        <v>142463101</v>
      </c>
      <c r="W291" s="5">
        <f t="shared" si="162"/>
        <v>133</v>
      </c>
      <c r="X291" s="9">
        <f>ROUND($J291*1.637*1.75*2.1*2.3*2.6*3.2*4.2*1.25,0)</f>
        <v>598345023</v>
      </c>
      <c r="Y291" s="3">
        <f t="shared" si="163"/>
        <v>135</v>
      </c>
      <c r="Z291" s="10">
        <f>ROUND($J291*1.637*1.75*2.1*2.3*2.6*3.2*4.2*2.4*1.25,0)</f>
        <v>1436028056</v>
      </c>
      <c r="AA291" s="5">
        <f t="shared" si="164"/>
        <v>137</v>
      </c>
      <c r="AB291" s="9">
        <f>ROUND($J291*1.637*1.75*2.1*2.3*2.6*3.2*4.2*2.4*2.5*1.25,0)</f>
        <v>3590070140</v>
      </c>
      <c r="AC291" s="3">
        <f t="shared" si="165"/>
        <v>139</v>
      </c>
      <c r="AD291" s="10">
        <f>ROUND($J291*1.637*1.75*2.1*2.3*2.6*3.2*4.2*2.4*2.5*2.8*1.25,0)</f>
        <v>10052196391</v>
      </c>
      <c r="AE291" s="5">
        <f t="shared" si="166"/>
        <v>142</v>
      </c>
      <c r="AF291" s="9">
        <f>ROUND($J291*1.637*1.75*2.1*2.3*2.6*3.2*4.2*2.4*2.5*2.8*3.2*1.25,0)</f>
        <v>32167028451</v>
      </c>
      <c r="AG291" s="3">
        <f t="shared" si="167"/>
        <v>145</v>
      </c>
      <c r="AH291" s="10">
        <f>ROUND($J291*1.637*1.75*2.1*2.3*2.6*3.2*4.2*2.4*2.5*2.8*3.2*3.8*1.25,0)</f>
        <v>122234708115</v>
      </c>
    </row>
    <row r="292" spans="1:34" x14ac:dyDescent="0.3">
      <c r="A292" s="2">
        <v>233</v>
      </c>
      <c r="B292" s="2" t="s">
        <v>110</v>
      </c>
      <c r="C292" s="2" t="s">
        <v>468</v>
      </c>
      <c r="D292" s="2" t="s">
        <v>64</v>
      </c>
      <c r="E292" s="2">
        <v>118</v>
      </c>
      <c r="F292" s="2" t="s">
        <v>59</v>
      </c>
      <c r="G292" s="2" t="s">
        <v>72</v>
      </c>
      <c r="H292" s="2">
        <v>31</v>
      </c>
      <c r="I292" s="3">
        <v>118</v>
      </c>
      <c r="J292" s="4">
        <v>1270000</v>
      </c>
      <c r="K292" s="5">
        <f t="shared" si="156"/>
        <v>119</v>
      </c>
      <c r="L292" s="9">
        <f t="shared" si="180"/>
        <v>2078990</v>
      </c>
      <c r="M292" s="3">
        <f t="shared" si="157"/>
        <v>120</v>
      </c>
      <c r="N292" s="10">
        <f t="shared" si="181"/>
        <v>3638233</v>
      </c>
      <c r="O292" s="5">
        <f t="shared" si="158"/>
        <v>122</v>
      </c>
      <c r="P292" s="9">
        <f t="shared" si="182"/>
        <v>7640288</v>
      </c>
      <c r="Q292" s="3">
        <f t="shared" si="159"/>
        <v>124</v>
      </c>
      <c r="R292" s="10">
        <f>ROUND($J292*1.637*1.75*2.1*2.3*1.25,0)</f>
        <v>21965829</v>
      </c>
      <c r="S292" s="5">
        <f t="shared" si="160"/>
        <v>126</v>
      </c>
      <c r="T292" s="9">
        <f>ROUND($J292*1.637*1.75*2.1*2.3*2.6*1.25,0)</f>
        <v>57111155</v>
      </c>
      <c r="U292" s="3">
        <f t="shared" si="161"/>
        <v>129</v>
      </c>
      <c r="V292" s="10">
        <f>ROUND($J292*1.637*1.75*2.1*2.3*2.6*3.2*1.25,0)</f>
        <v>182755695</v>
      </c>
      <c r="W292" s="5">
        <f t="shared" si="162"/>
        <v>133</v>
      </c>
      <c r="X292" s="9">
        <f>ROUND($J292*1.637*1.75*2.1*2.3*2.6*3.2*4.2*1.25,0)</f>
        <v>767573919</v>
      </c>
      <c r="Y292" s="3">
        <f t="shared" si="163"/>
        <v>135</v>
      </c>
      <c r="Z292" s="10">
        <f>ROUND($J292*1.637*1.75*2.1*2.3*2.6*3.2*4.2*2.4*1.25,0)</f>
        <v>1842177405</v>
      </c>
      <c r="AA292" s="5">
        <f t="shared" si="164"/>
        <v>137</v>
      </c>
      <c r="AB292" s="9">
        <f>ROUND($J292*1.637*1.75*2.1*2.3*2.6*3.2*4.2*2.4*2.5*1.25,0)</f>
        <v>4605443512</v>
      </c>
      <c r="AC292" s="3">
        <f t="shared" si="165"/>
        <v>139</v>
      </c>
      <c r="AD292" s="10">
        <f>ROUND($J292*1.637*1.75*2.1*2.3*2.6*3.2*4.2*2.4*2.5*2.8*1.25,0)</f>
        <v>12895241835</v>
      </c>
      <c r="AE292" s="5">
        <f t="shared" si="166"/>
        <v>142</v>
      </c>
      <c r="AF292" s="9">
        <f>ROUND($J292*1.637*1.75*2.1*2.3*2.6*3.2*4.2*2.4*2.5*2.8*3.2*1.25,0)</f>
        <v>41264773872</v>
      </c>
      <c r="AG292" s="3">
        <f t="shared" si="167"/>
        <v>145</v>
      </c>
      <c r="AH292" s="10">
        <f>ROUND($J292*1.637*1.75*2.1*2.3*2.6*3.2*4.2*2.4*2.5*2.8*3.2*3.8*1.25,0)</f>
        <v>156806140713</v>
      </c>
    </row>
    <row r="293" spans="1:34" x14ac:dyDescent="0.3">
      <c r="A293" s="2">
        <v>224</v>
      </c>
      <c r="B293" s="2" t="s">
        <v>469</v>
      </c>
      <c r="C293" s="2" t="s">
        <v>468</v>
      </c>
      <c r="D293" s="2" t="s">
        <v>64</v>
      </c>
      <c r="E293" s="2">
        <v>117</v>
      </c>
      <c r="F293" s="2" t="s">
        <v>56</v>
      </c>
      <c r="G293" s="2" t="s">
        <v>95</v>
      </c>
      <c r="H293" s="2">
        <v>29</v>
      </c>
      <c r="I293" s="3">
        <v>117</v>
      </c>
      <c r="J293" s="4">
        <v>943000</v>
      </c>
      <c r="K293" s="5">
        <f t="shared" si="156"/>
        <v>118</v>
      </c>
      <c r="L293" s="9">
        <f t="shared" si="180"/>
        <v>1543691</v>
      </c>
      <c r="M293" s="3">
        <f t="shared" si="157"/>
        <v>119</v>
      </c>
      <c r="N293" s="10">
        <f t="shared" si="181"/>
        <v>2701459</v>
      </c>
      <c r="O293" s="5">
        <f t="shared" si="158"/>
        <v>121</v>
      </c>
      <c r="P293" s="9">
        <f t="shared" si="182"/>
        <v>5673064</v>
      </c>
      <c r="Q293" s="3">
        <f t="shared" si="159"/>
        <v>123</v>
      </c>
      <c r="R293" s="10">
        <f>ROUND($J293*1.637*1.75*2.1*2.3*1,0)</f>
        <v>13048048</v>
      </c>
      <c r="S293" s="5">
        <f t="shared" si="160"/>
        <v>125</v>
      </c>
      <c r="T293" s="9">
        <f>ROUND($J293*1.637*1.75*2.1*2.3*2.6*1,0)</f>
        <v>33924925</v>
      </c>
      <c r="U293" s="3">
        <f t="shared" si="161"/>
        <v>128</v>
      </c>
      <c r="V293" s="10">
        <f>ROUND($J293*1.637*1.75*2.1*2.3*2.6*3.2*1,0)</f>
        <v>108559761</v>
      </c>
      <c r="W293" s="5">
        <f t="shared" si="162"/>
        <v>132</v>
      </c>
      <c r="X293" s="9">
        <f>ROUND($J293*1.637*1.75*2.1*2.3*2.6*3.2*4.2*1,0)</f>
        <v>455950996</v>
      </c>
      <c r="Y293" s="3">
        <f t="shared" si="163"/>
        <v>134</v>
      </c>
      <c r="Z293" s="10">
        <f>ROUND($J293*1.637*1.75*2.1*2.3*2.6*3.2*4.2*2.4*1,0)</f>
        <v>1094282389</v>
      </c>
      <c r="AA293" s="5">
        <f t="shared" si="164"/>
        <v>136</v>
      </c>
      <c r="AB293" s="9">
        <f>ROUND($J293*1.637*1.75*2.1*2.3*2.6*3.2*4.2*2.4*2.5*1,0)</f>
        <v>2735705973</v>
      </c>
      <c r="AC293" s="3">
        <f t="shared" si="165"/>
        <v>138</v>
      </c>
      <c r="AD293" s="10">
        <f>ROUND($J293*1.637*1.75*2.1*2.3*2.6*3.2*4.2*2.4*2.5*2.8*1,0)</f>
        <v>7659976725</v>
      </c>
      <c r="AE293" s="5">
        <f t="shared" si="166"/>
        <v>141</v>
      </c>
      <c r="AF293" s="9">
        <f>ROUND($J293*1.637*1.75*2.1*2.3*2.6*3.2*4.2*2.4*2.5*2.8*3.2*1,0)</f>
        <v>24511925519</v>
      </c>
      <c r="AG293" s="3">
        <f t="shared" si="167"/>
        <v>144</v>
      </c>
      <c r="AH293" s="10">
        <f>ROUND($J293*1.637*1.75*2.1*2.3*2.6*3.2*4.2*2.4*2.5*2.8*3.2*3.8*1,0)</f>
        <v>93145316972</v>
      </c>
    </row>
    <row r="294" spans="1:34" x14ac:dyDescent="0.3">
      <c r="A294" s="2">
        <v>221</v>
      </c>
      <c r="B294" s="2" t="s">
        <v>92</v>
      </c>
      <c r="C294" s="2" t="s">
        <v>468</v>
      </c>
      <c r="D294" s="2" t="s">
        <v>93</v>
      </c>
      <c r="E294" s="2">
        <v>117</v>
      </c>
      <c r="F294" s="2" t="s">
        <v>56</v>
      </c>
      <c r="G294" s="2" t="s">
        <v>57</v>
      </c>
      <c r="H294" s="2">
        <v>29</v>
      </c>
      <c r="I294" s="3">
        <v>117</v>
      </c>
      <c r="J294" s="4">
        <v>997000</v>
      </c>
      <c r="K294" s="5">
        <f t="shared" si="156"/>
        <v>118</v>
      </c>
      <c r="L294" s="9">
        <f t="shared" si="180"/>
        <v>1632089</v>
      </c>
      <c r="M294" s="3">
        <f t="shared" si="157"/>
        <v>119</v>
      </c>
      <c r="N294" s="10">
        <f t="shared" si="181"/>
        <v>2856156</v>
      </c>
      <c r="O294" s="5">
        <f t="shared" si="158"/>
        <v>121</v>
      </c>
      <c r="P294" s="9">
        <f t="shared" si="182"/>
        <v>5997927</v>
      </c>
      <c r="Q294" s="3">
        <f t="shared" si="159"/>
        <v>123</v>
      </c>
      <c r="R294" s="10">
        <f>ROUND($J294*1.637*1.75*2.1*2.3*1.25,0)</f>
        <v>17244040</v>
      </c>
      <c r="S294" s="5">
        <f t="shared" si="160"/>
        <v>125</v>
      </c>
      <c r="T294" s="9">
        <f>ROUND($J294*1.637*1.75*2.1*2.3*2.6*1.25,0)</f>
        <v>44834505</v>
      </c>
      <c r="U294" s="3">
        <f t="shared" si="161"/>
        <v>128</v>
      </c>
      <c r="V294" s="10">
        <f>ROUND($J294*1.637*1.75*2.1*2.3*2.6*3.2*1.25,0)</f>
        <v>143470416</v>
      </c>
      <c r="W294" s="5">
        <f t="shared" si="162"/>
        <v>132</v>
      </c>
      <c r="X294" s="9">
        <f>ROUND($J294*1.637*1.75*2.1*2.3*2.6*3.2*4.2*1.25,0)</f>
        <v>602575746</v>
      </c>
      <c r="Y294" s="3">
        <f t="shared" si="163"/>
        <v>134</v>
      </c>
      <c r="Z294" s="10">
        <f>ROUND($J294*1.637*1.75*2.1*2.3*2.6*3.2*4.2*2.4*1.25,0)</f>
        <v>1446181790</v>
      </c>
      <c r="AA294" s="5">
        <f t="shared" si="164"/>
        <v>136</v>
      </c>
      <c r="AB294" s="9">
        <f>ROUND($J294*1.637*1.75*2.1*2.3*2.6*3.2*4.2*2.4*2.5*1.25,0)</f>
        <v>3615454474</v>
      </c>
      <c r="AC294" s="3">
        <f t="shared" si="165"/>
        <v>138</v>
      </c>
      <c r="AD294" s="10">
        <f>ROUND($J294*1.637*1.75*2.1*2.3*2.6*3.2*4.2*2.4*2.5*2.8*1.25,0)</f>
        <v>10123272527</v>
      </c>
      <c r="AE294" s="5">
        <f t="shared" si="166"/>
        <v>141</v>
      </c>
      <c r="AF294" s="9">
        <f>ROUND($J294*1.637*1.75*2.1*2.3*2.6*3.2*4.2*2.4*2.5*2.8*3.2*1.25,0)</f>
        <v>32394472087</v>
      </c>
      <c r="AG294" s="3">
        <f t="shared" si="167"/>
        <v>144</v>
      </c>
      <c r="AH294" s="10">
        <f>ROUND($J294*1.637*1.75*2.1*2.3*2.6*3.2*4.2*2.4*2.5*2.8*3.2*3.8*1.25,0)</f>
        <v>123098993930</v>
      </c>
    </row>
    <row r="295" spans="1:34" x14ac:dyDescent="0.3">
      <c r="A295" s="2">
        <v>227</v>
      </c>
      <c r="B295" s="2" t="s">
        <v>470</v>
      </c>
      <c r="C295" s="2" t="s">
        <v>468</v>
      </c>
      <c r="D295" s="2" t="s">
        <v>40</v>
      </c>
      <c r="E295" s="2">
        <v>117</v>
      </c>
      <c r="F295" s="2" t="s">
        <v>258</v>
      </c>
      <c r="G295" s="2" t="s">
        <v>206</v>
      </c>
      <c r="H295" s="2">
        <v>30</v>
      </c>
      <c r="I295" s="3">
        <v>117</v>
      </c>
      <c r="J295" s="4">
        <v>966000</v>
      </c>
      <c r="K295" s="5">
        <f t="shared" si="156"/>
        <v>118</v>
      </c>
      <c r="L295" s="9">
        <f t="shared" si="180"/>
        <v>1581342</v>
      </c>
      <c r="M295" s="3">
        <f t="shared" si="157"/>
        <v>119</v>
      </c>
      <c r="N295" s="10">
        <f t="shared" si="181"/>
        <v>2767349</v>
      </c>
      <c r="O295" s="5">
        <f t="shared" si="158"/>
        <v>121</v>
      </c>
      <c r="P295" s="9">
        <f t="shared" si="182"/>
        <v>5811432</v>
      </c>
      <c r="Q295" s="3">
        <f t="shared" si="159"/>
        <v>123</v>
      </c>
      <c r="R295" s="10">
        <f>ROUND($J295*1.637*1.75*2.1*2.3*1.25,0)</f>
        <v>16707867</v>
      </c>
      <c r="S295" s="5">
        <f t="shared" si="160"/>
        <v>125</v>
      </c>
      <c r="T295" s="9">
        <f>ROUND($J295*1.637*1.75*2.1*2.3*2.6*1.25,0)</f>
        <v>43440453</v>
      </c>
      <c r="U295" s="3">
        <f t="shared" si="161"/>
        <v>128</v>
      </c>
      <c r="V295" s="10">
        <f>ROUND($J295*1.637*1.75*2.1*2.3*2.6*3.2*1.25,0)</f>
        <v>139009450</v>
      </c>
      <c r="W295" s="5">
        <f t="shared" si="162"/>
        <v>132</v>
      </c>
      <c r="X295" s="9">
        <f>ROUND($J295*1.637*1.75*2.1*2.3*2.6*3.2*4.2*1.25,0)</f>
        <v>583839689</v>
      </c>
      <c r="Y295" s="3">
        <f t="shared" si="163"/>
        <v>134</v>
      </c>
      <c r="Z295" s="10">
        <f>ROUND($J295*1.637*1.75*2.1*2.3*2.6*3.2*4.2*2.4*1.25,0)</f>
        <v>1401215255</v>
      </c>
      <c r="AA295" s="5">
        <f t="shared" si="164"/>
        <v>136</v>
      </c>
      <c r="AB295" s="9">
        <f>ROUND($J295*1.637*1.75*2.1*2.3*2.6*3.2*4.2*2.4*2.5*1.25,0)</f>
        <v>3503038136</v>
      </c>
      <c r="AC295" s="3">
        <f t="shared" si="165"/>
        <v>138</v>
      </c>
      <c r="AD295" s="10">
        <f>ROUND($J295*1.637*1.75*2.1*2.3*2.6*3.2*4.2*2.4*2.5*2.8*1.25,0)</f>
        <v>9808506782</v>
      </c>
      <c r="AE295" s="5">
        <f t="shared" si="166"/>
        <v>141</v>
      </c>
      <c r="AF295" s="9">
        <f>ROUND($J295*1.637*1.75*2.1*2.3*2.6*3.2*4.2*2.4*2.5*2.8*3.2*1.25,0)</f>
        <v>31387221701</v>
      </c>
      <c r="AG295" s="3">
        <f t="shared" si="167"/>
        <v>144</v>
      </c>
      <c r="AH295" s="10">
        <f>ROUND($J295*1.637*1.75*2.1*2.3*2.6*3.2*4.2*2.4*2.5*2.8*3.2*3.8*1.25,0)</f>
        <v>119271442464</v>
      </c>
    </row>
    <row r="296" spans="1:34" x14ac:dyDescent="0.3">
      <c r="A296" s="2">
        <v>230</v>
      </c>
      <c r="B296" s="2" t="s">
        <v>471</v>
      </c>
      <c r="C296" s="2" t="s">
        <v>468</v>
      </c>
      <c r="D296" s="2" t="s">
        <v>29</v>
      </c>
      <c r="E296" s="2">
        <v>117</v>
      </c>
      <c r="F296" s="2" t="s">
        <v>71</v>
      </c>
      <c r="G296" s="2" t="s">
        <v>38</v>
      </c>
      <c r="H296" s="2">
        <v>30</v>
      </c>
      <c r="I296" s="3">
        <v>117</v>
      </c>
      <c r="J296" s="4">
        <v>964000</v>
      </c>
      <c r="K296" s="5">
        <f t="shared" si="156"/>
        <v>118</v>
      </c>
      <c r="L296" s="9">
        <f t="shared" si="180"/>
        <v>1578068</v>
      </c>
      <c r="M296" s="3">
        <f t="shared" si="157"/>
        <v>119</v>
      </c>
      <c r="N296" s="10">
        <f t="shared" si="181"/>
        <v>2761619</v>
      </c>
      <c r="O296" s="5">
        <f t="shared" si="158"/>
        <v>121</v>
      </c>
      <c r="P296" s="9">
        <f t="shared" si="182"/>
        <v>5799400</v>
      </c>
      <c r="Q296" s="3">
        <f t="shared" si="159"/>
        <v>123</v>
      </c>
      <c r="R296" s="10">
        <f>ROUND($J296*1.637*1.75*2.1*2.3*1,0)</f>
        <v>13338620</v>
      </c>
      <c r="S296" s="5">
        <f t="shared" si="160"/>
        <v>125</v>
      </c>
      <c r="T296" s="9">
        <f>ROUND($J296*1.637*1.75*2.1*2.3*2.6*1,0)</f>
        <v>34680411</v>
      </c>
      <c r="U296" s="3">
        <f t="shared" si="161"/>
        <v>128</v>
      </c>
      <c r="V296" s="10">
        <f>ROUND($J296*1.637*1.75*2.1*2.3*2.6*3.2*1,0)</f>
        <v>110977316</v>
      </c>
      <c r="W296" s="5">
        <f t="shared" si="162"/>
        <v>132</v>
      </c>
      <c r="X296" s="9">
        <f>ROUND($J296*1.637*1.75*2.1*2.3*2.6*3.2*4.2*1,0)</f>
        <v>466104729</v>
      </c>
      <c r="Y296" s="3">
        <f t="shared" si="163"/>
        <v>134</v>
      </c>
      <c r="Z296" s="10">
        <f>ROUND($J296*1.637*1.75*2.1*2.3*2.6*3.2*4.2*2.4*1,0)</f>
        <v>1118651350</v>
      </c>
      <c r="AA296" s="5">
        <f t="shared" si="164"/>
        <v>136</v>
      </c>
      <c r="AB296" s="9">
        <f>ROUND($J296*1.637*1.75*2.1*2.3*2.6*3.2*4.2*2.4*2.5*1,0)</f>
        <v>2796628375</v>
      </c>
      <c r="AC296" s="3">
        <f t="shared" si="165"/>
        <v>138</v>
      </c>
      <c r="AD296" s="10">
        <f>ROUND($J296*1.637*1.75*2.1*2.3*2.6*3.2*4.2*2.4*2.5*2.8*1,0)</f>
        <v>7830559451</v>
      </c>
      <c r="AE296" s="5">
        <f t="shared" si="166"/>
        <v>141</v>
      </c>
      <c r="AF296" s="9">
        <f>ROUND($J296*1.637*1.75*2.1*2.3*2.6*3.2*4.2*2.4*2.5*2.8*3.2*1,0)</f>
        <v>25057790244</v>
      </c>
      <c r="AG296" s="3">
        <f t="shared" si="167"/>
        <v>144</v>
      </c>
      <c r="AH296" s="10">
        <f>ROUND($J296*1.637*1.75*2.1*2.3*2.6*3.2*4.2*2.4*2.5*2.8*3.2*3.8*1,0)</f>
        <v>95219602928</v>
      </c>
    </row>
    <row r="297" spans="1:34" x14ac:dyDescent="0.3">
      <c r="A297" s="2">
        <v>229</v>
      </c>
      <c r="B297" s="2" t="s">
        <v>99</v>
      </c>
      <c r="C297" s="2" t="s">
        <v>468</v>
      </c>
      <c r="D297" s="2" t="s">
        <v>29</v>
      </c>
      <c r="E297" s="2">
        <v>117</v>
      </c>
      <c r="F297" s="2" t="s">
        <v>54</v>
      </c>
      <c r="G297" s="2" t="s">
        <v>57</v>
      </c>
      <c r="H297" s="2">
        <v>30</v>
      </c>
      <c r="I297" s="3">
        <v>117</v>
      </c>
      <c r="J297" s="4">
        <v>752000</v>
      </c>
      <c r="K297" s="5">
        <f t="shared" si="156"/>
        <v>118</v>
      </c>
      <c r="L297" s="9">
        <f t="shared" si="180"/>
        <v>1231024</v>
      </c>
      <c r="M297" s="3">
        <f t="shared" si="157"/>
        <v>119</v>
      </c>
      <c r="N297" s="10">
        <f t="shared" si="181"/>
        <v>2154292</v>
      </c>
      <c r="O297" s="5">
        <f t="shared" si="158"/>
        <v>121</v>
      </c>
      <c r="P297" s="9">
        <f t="shared" si="182"/>
        <v>4524013</v>
      </c>
      <c r="Q297" s="3">
        <f t="shared" si="159"/>
        <v>123</v>
      </c>
      <c r="R297" s="10">
        <f>ROUND($J297*1.637*1.75*2.1*2.3*1.25,0)</f>
        <v>13006538</v>
      </c>
      <c r="S297" s="5">
        <f t="shared" si="160"/>
        <v>125</v>
      </c>
      <c r="T297" s="9">
        <f>ROUND($J297*1.637*1.75*2.1*2.3*2.6*1.25,0)</f>
        <v>33816999</v>
      </c>
      <c r="U297" s="3">
        <f t="shared" si="161"/>
        <v>128</v>
      </c>
      <c r="V297" s="10">
        <f>ROUND($J297*1.637*1.75*2.1*2.3*2.6*3.2*1.25,0)</f>
        <v>108214396</v>
      </c>
      <c r="W297" s="5">
        <f t="shared" si="162"/>
        <v>132</v>
      </c>
      <c r="X297" s="9">
        <f>ROUND($J297*1.637*1.75*2.1*2.3*2.6*3.2*4.2*1.25,0)</f>
        <v>454500462</v>
      </c>
      <c r="Y297" s="3">
        <f t="shared" si="163"/>
        <v>134</v>
      </c>
      <c r="Z297" s="10">
        <f>ROUND($J297*1.637*1.75*2.1*2.3*2.6*3.2*4.2*2.4*1.25,0)</f>
        <v>1090801109</v>
      </c>
      <c r="AA297" s="5">
        <f t="shared" si="164"/>
        <v>136</v>
      </c>
      <c r="AB297" s="9">
        <f>ROUND($J297*1.637*1.75*2.1*2.3*2.6*3.2*4.2*2.4*2.5*1.25,0)</f>
        <v>2727002773</v>
      </c>
      <c r="AC297" s="3">
        <f t="shared" si="165"/>
        <v>138</v>
      </c>
      <c r="AD297" s="10">
        <f>ROUND($J297*1.637*1.75*2.1*2.3*2.6*3.2*4.2*2.4*2.5*2.8*1.25,0)</f>
        <v>7635607764</v>
      </c>
      <c r="AE297" s="5">
        <f t="shared" si="166"/>
        <v>141</v>
      </c>
      <c r="AF297" s="9">
        <f>ROUND($J297*1.637*1.75*2.1*2.3*2.6*3.2*4.2*2.4*2.5*2.8*3.2*1.25,0)</f>
        <v>24433944844</v>
      </c>
      <c r="AG297" s="3">
        <f t="shared" si="167"/>
        <v>144</v>
      </c>
      <c r="AH297" s="10">
        <f>ROUND($J297*1.637*1.75*2.1*2.3*2.6*3.2*4.2*2.4*2.5*2.8*3.2*3.8*1.25,0)</f>
        <v>92848990407</v>
      </c>
    </row>
    <row r="298" spans="1:34" x14ac:dyDescent="0.3">
      <c r="A298" s="2">
        <v>228</v>
      </c>
      <c r="B298" s="2" t="s">
        <v>161</v>
      </c>
      <c r="C298" s="2" t="s">
        <v>468</v>
      </c>
      <c r="D298" s="2" t="s">
        <v>79</v>
      </c>
      <c r="E298" s="2">
        <v>117</v>
      </c>
      <c r="F298" s="2" t="s">
        <v>54</v>
      </c>
      <c r="G298" s="2" t="s">
        <v>35</v>
      </c>
      <c r="H298" s="2">
        <v>30</v>
      </c>
      <c r="I298" s="3">
        <v>117</v>
      </c>
      <c r="J298" s="4">
        <v>971000</v>
      </c>
      <c r="K298" s="5">
        <f t="shared" si="156"/>
        <v>118</v>
      </c>
      <c r="L298" s="9">
        <f t="shared" si="180"/>
        <v>1589527</v>
      </c>
      <c r="M298" s="3">
        <f t="shared" si="157"/>
        <v>119</v>
      </c>
      <c r="N298" s="10">
        <f t="shared" si="181"/>
        <v>2781672</v>
      </c>
      <c r="O298" s="5">
        <f t="shared" si="158"/>
        <v>121</v>
      </c>
      <c r="P298" s="9">
        <f t="shared" si="182"/>
        <v>5841512</v>
      </c>
      <c r="Q298" s="3">
        <f t="shared" si="159"/>
        <v>123</v>
      </c>
      <c r="R298" s="10">
        <f>ROUND($J298*1.637*1.75*2.1*2.3*1,0)</f>
        <v>13435477</v>
      </c>
      <c r="S298" s="5">
        <f t="shared" si="160"/>
        <v>125</v>
      </c>
      <c r="T298" s="9">
        <f>ROUND($J298*1.637*1.75*2.1*2.3*2.6*1,0)</f>
        <v>34932240</v>
      </c>
      <c r="U298" s="3">
        <f t="shared" si="161"/>
        <v>128</v>
      </c>
      <c r="V298" s="10">
        <f>ROUND($J298*1.637*1.75*2.1*2.3*2.6*3.2*1,0)</f>
        <v>111783168</v>
      </c>
      <c r="W298" s="5">
        <f t="shared" si="162"/>
        <v>132</v>
      </c>
      <c r="X298" s="9">
        <f>ROUND($J298*1.637*1.75*2.1*2.3*2.6*3.2*4.2*1,0)</f>
        <v>469489307</v>
      </c>
      <c r="Y298" s="3">
        <f t="shared" si="163"/>
        <v>134</v>
      </c>
      <c r="Z298" s="10">
        <f>ROUND($J298*1.637*1.75*2.1*2.3*2.6*3.2*4.2*2.4*1,0)</f>
        <v>1126774337</v>
      </c>
      <c r="AA298" s="5">
        <f t="shared" si="164"/>
        <v>136</v>
      </c>
      <c r="AB298" s="9">
        <f>ROUND($J298*1.637*1.75*2.1*2.3*2.6*3.2*4.2*2.4*2.5*1,0)</f>
        <v>2816935843</v>
      </c>
      <c r="AC298" s="3">
        <f t="shared" si="165"/>
        <v>138</v>
      </c>
      <c r="AD298" s="10">
        <f>ROUND($J298*1.637*1.75*2.1*2.3*2.6*3.2*4.2*2.4*2.5*2.8*1,0)</f>
        <v>7887420360</v>
      </c>
      <c r="AE298" s="5">
        <f t="shared" si="166"/>
        <v>141</v>
      </c>
      <c r="AF298" s="9">
        <f>ROUND($J298*1.637*1.75*2.1*2.3*2.6*3.2*4.2*2.4*2.5*2.8*3.2*1,0)</f>
        <v>25239745153</v>
      </c>
      <c r="AG298" s="3">
        <f t="shared" si="167"/>
        <v>144</v>
      </c>
      <c r="AH298" s="10">
        <f>ROUND($J298*1.637*1.75*2.1*2.3*2.6*3.2*4.2*2.4*2.5*2.8*3.2*3.8*1,0)</f>
        <v>95911031580</v>
      </c>
    </row>
    <row r="299" spans="1:34" x14ac:dyDescent="0.3">
      <c r="A299" s="2">
        <v>231</v>
      </c>
      <c r="B299" s="2" t="s">
        <v>347</v>
      </c>
      <c r="C299" s="2" t="s">
        <v>468</v>
      </c>
      <c r="D299" s="2" t="s">
        <v>79</v>
      </c>
      <c r="E299" s="2">
        <v>117</v>
      </c>
      <c r="F299" s="2" t="s">
        <v>123</v>
      </c>
      <c r="G299" s="2" t="s">
        <v>472</v>
      </c>
      <c r="H299" s="2">
        <v>30</v>
      </c>
      <c r="I299" s="3">
        <v>117</v>
      </c>
      <c r="J299" s="4">
        <v>797000</v>
      </c>
      <c r="K299" s="5">
        <f t="shared" si="156"/>
        <v>118</v>
      </c>
      <c r="L299" s="9">
        <f t="shared" si="180"/>
        <v>1304689</v>
      </c>
      <c r="M299" s="3">
        <f t="shared" si="157"/>
        <v>119</v>
      </c>
      <c r="N299" s="10">
        <f t="shared" si="181"/>
        <v>2283206</v>
      </c>
      <c r="O299" s="5">
        <f t="shared" si="158"/>
        <v>121</v>
      </c>
      <c r="P299" s="9">
        <f t="shared" si="182"/>
        <v>4794732</v>
      </c>
      <c r="Q299" s="3">
        <f t="shared" si="159"/>
        <v>123</v>
      </c>
      <c r="R299" s="10">
        <f>ROUND($J299*1.637*1.75*2.1*2.3*1.25,0)</f>
        <v>13784855</v>
      </c>
      <c r="S299" s="5">
        <f t="shared" si="160"/>
        <v>125</v>
      </c>
      <c r="T299" s="9">
        <f>ROUND($J299*1.637*1.75*2.1*2.3*2.6*1.25,0)</f>
        <v>35840622</v>
      </c>
      <c r="U299" s="3">
        <f t="shared" si="161"/>
        <v>128</v>
      </c>
      <c r="V299" s="10">
        <f>ROUND($J299*1.637*1.75*2.1*2.3*2.6*3.2*1.25,0)</f>
        <v>114689991</v>
      </c>
      <c r="W299" s="5">
        <f t="shared" si="162"/>
        <v>132</v>
      </c>
      <c r="X299" s="9">
        <f>ROUND($J299*1.637*1.75*2.1*2.3*2.6*3.2*4.2*1.25,0)</f>
        <v>481697963</v>
      </c>
      <c r="Y299" s="3">
        <f t="shared" si="163"/>
        <v>134</v>
      </c>
      <c r="Z299" s="10">
        <f>ROUND($J299*1.637*1.75*2.1*2.3*2.6*3.2*4.2*2.4*1.25,0)</f>
        <v>1156075112</v>
      </c>
      <c r="AA299" s="5">
        <f t="shared" si="164"/>
        <v>136</v>
      </c>
      <c r="AB299" s="9">
        <f>ROUND($J299*1.637*1.75*2.1*2.3*2.6*3.2*4.2*2.4*2.5*1.25,0)</f>
        <v>2890187779</v>
      </c>
      <c r="AC299" s="3">
        <f t="shared" si="165"/>
        <v>138</v>
      </c>
      <c r="AD299" s="10">
        <f>ROUND($J299*1.637*1.75*2.1*2.3*2.6*3.2*4.2*2.4*2.5*2.8*1.25,0)</f>
        <v>8092525781</v>
      </c>
      <c r="AE299" s="5">
        <f t="shared" si="166"/>
        <v>141</v>
      </c>
      <c r="AF299" s="9">
        <f>ROUND($J299*1.637*1.75*2.1*2.3*2.6*3.2*4.2*2.4*2.5*2.8*3.2*1.25,0)</f>
        <v>25896082501</v>
      </c>
      <c r="AG299" s="3">
        <f t="shared" si="167"/>
        <v>144</v>
      </c>
      <c r="AH299" s="10">
        <f>ROUND($J299*1.637*1.75*2.1*2.3*2.6*3.2*4.2*2.4*2.5*2.8*3.2*3.8*1.25,0)</f>
        <v>98405113503</v>
      </c>
    </row>
    <row r="300" spans="1:34" x14ac:dyDescent="0.3">
      <c r="A300" s="2">
        <v>212</v>
      </c>
      <c r="B300" s="2" t="s">
        <v>73</v>
      </c>
      <c r="C300" s="2" t="s">
        <v>468</v>
      </c>
      <c r="D300" s="2" t="s">
        <v>64</v>
      </c>
      <c r="E300" s="2">
        <v>117</v>
      </c>
      <c r="F300" s="2" t="s">
        <v>30</v>
      </c>
      <c r="G300" s="2" t="s">
        <v>69</v>
      </c>
      <c r="H300" s="2">
        <v>30</v>
      </c>
      <c r="I300" s="3">
        <v>117</v>
      </c>
      <c r="J300" s="4">
        <v>992000</v>
      </c>
      <c r="K300" s="5">
        <f t="shared" si="156"/>
        <v>118</v>
      </c>
      <c r="L300" s="9">
        <f t="shared" si="180"/>
        <v>1623904</v>
      </c>
      <c r="M300" s="3">
        <f t="shared" si="157"/>
        <v>119</v>
      </c>
      <c r="N300" s="10">
        <f t="shared" si="181"/>
        <v>2841832</v>
      </c>
      <c r="O300" s="5">
        <f t="shared" si="158"/>
        <v>121</v>
      </c>
      <c r="P300" s="9">
        <f t="shared" si="182"/>
        <v>5967847</v>
      </c>
      <c r="Q300" s="3">
        <f t="shared" si="159"/>
        <v>123</v>
      </c>
      <c r="R300" s="10">
        <f>ROUND($J300*1.637*1.75*2.1*2.3*1.25,0)</f>
        <v>17157561</v>
      </c>
      <c r="S300" s="5">
        <f t="shared" si="160"/>
        <v>125</v>
      </c>
      <c r="T300" s="9">
        <f>ROUND($J300*1.637*1.75*2.1*2.3*2.6*1.25,0)</f>
        <v>44609658</v>
      </c>
      <c r="U300" s="3">
        <f t="shared" si="161"/>
        <v>128</v>
      </c>
      <c r="V300" s="10">
        <f>ROUND($J300*1.637*1.75*2.1*2.3*2.6*3.2*1.25,0)</f>
        <v>142750905</v>
      </c>
      <c r="W300" s="5">
        <f t="shared" si="162"/>
        <v>132</v>
      </c>
      <c r="X300" s="9">
        <f>ROUND($J300*1.637*1.75*2.1*2.3*2.6*3.2*4.2*1.25,0)</f>
        <v>599553801</v>
      </c>
      <c r="Y300" s="3">
        <f t="shared" si="163"/>
        <v>134</v>
      </c>
      <c r="Z300" s="10">
        <f>ROUND($J300*1.637*1.75*2.1*2.3*2.6*3.2*4.2*2.4*1.25,0)</f>
        <v>1438929123</v>
      </c>
      <c r="AA300" s="5">
        <f t="shared" si="164"/>
        <v>136</v>
      </c>
      <c r="AB300" s="9">
        <f>ROUND($J300*1.637*1.75*2.1*2.3*2.6*3.2*4.2*2.4*2.5*1.25,0)</f>
        <v>3597322807</v>
      </c>
      <c r="AC300" s="3">
        <f t="shared" si="165"/>
        <v>138</v>
      </c>
      <c r="AD300" s="10">
        <f>ROUND($J300*1.637*1.75*2.1*2.3*2.6*3.2*4.2*2.4*2.5*2.8*1.25,0)</f>
        <v>10072503858</v>
      </c>
      <c r="AE300" s="5">
        <f t="shared" si="166"/>
        <v>141</v>
      </c>
      <c r="AF300" s="9">
        <f>ROUND($J300*1.637*1.75*2.1*2.3*2.6*3.2*4.2*2.4*2.5*2.8*3.2*1.25,0)</f>
        <v>32232012347</v>
      </c>
      <c r="AG300" s="3">
        <f t="shared" si="167"/>
        <v>144</v>
      </c>
      <c r="AH300" s="10">
        <f>ROUND($J300*1.637*1.75*2.1*2.3*2.6*3.2*4.2*2.4*2.5*2.8*3.2*3.8*1.25,0)</f>
        <v>122481646919</v>
      </c>
    </row>
    <row r="301" spans="1:34" x14ac:dyDescent="0.3">
      <c r="A301" s="2">
        <v>225</v>
      </c>
      <c r="B301" s="2" t="s">
        <v>135</v>
      </c>
      <c r="C301" s="2" t="s">
        <v>468</v>
      </c>
      <c r="D301" s="2" t="s">
        <v>29</v>
      </c>
      <c r="E301" s="2">
        <v>117</v>
      </c>
      <c r="F301" s="2" t="s">
        <v>136</v>
      </c>
      <c r="G301" s="2" t="s">
        <v>133</v>
      </c>
      <c r="H301" s="2">
        <v>29</v>
      </c>
      <c r="I301" s="3">
        <v>117</v>
      </c>
      <c r="J301" s="4">
        <v>990000</v>
      </c>
      <c r="K301" s="5">
        <f t="shared" si="156"/>
        <v>118</v>
      </c>
      <c r="L301" s="9">
        <f t="shared" si="180"/>
        <v>1620630</v>
      </c>
      <c r="M301" s="3">
        <f t="shared" si="157"/>
        <v>119</v>
      </c>
      <c r="N301" s="10">
        <f t="shared" si="181"/>
        <v>2836103</v>
      </c>
      <c r="O301" s="5">
        <f t="shared" si="158"/>
        <v>121</v>
      </c>
      <c r="P301" s="9">
        <f t="shared" si="182"/>
        <v>5955815</v>
      </c>
      <c r="Q301" s="3">
        <f t="shared" si="159"/>
        <v>123</v>
      </c>
      <c r="R301" s="10">
        <f>ROUND($J301*1.637*1.75*2.1*2.3*1,0)</f>
        <v>13698375</v>
      </c>
      <c r="S301" s="5">
        <f t="shared" si="160"/>
        <v>125</v>
      </c>
      <c r="T301" s="9">
        <f>ROUND($J301*1.637*1.75*2.1*2.3*2.6*1,0)</f>
        <v>35615775</v>
      </c>
      <c r="U301" s="3">
        <f t="shared" si="161"/>
        <v>128</v>
      </c>
      <c r="V301" s="10">
        <f>ROUND($J301*1.637*1.75*2.1*2.3*2.6*3.2*1,0)</f>
        <v>113970481</v>
      </c>
      <c r="W301" s="5">
        <f t="shared" si="162"/>
        <v>132</v>
      </c>
      <c r="X301" s="9">
        <f>ROUND($J301*1.637*1.75*2.1*2.3*2.6*3.2*4.2*1,0)</f>
        <v>478676019</v>
      </c>
      <c r="Y301" s="3">
        <f t="shared" si="163"/>
        <v>134</v>
      </c>
      <c r="Z301" s="10">
        <f>ROUND($J301*1.637*1.75*2.1*2.3*2.6*3.2*4.2*2.4*1,0)</f>
        <v>1148822445</v>
      </c>
      <c r="AA301" s="5">
        <f t="shared" si="164"/>
        <v>136</v>
      </c>
      <c r="AB301" s="9">
        <f>ROUND($J301*1.637*1.75*2.1*2.3*2.6*3.2*4.2*2.4*2.5*1,0)</f>
        <v>2872056112</v>
      </c>
      <c r="AC301" s="3">
        <f t="shared" si="165"/>
        <v>138</v>
      </c>
      <c r="AD301" s="10">
        <f>ROUND($J301*1.637*1.75*2.1*2.3*2.6*3.2*4.2*2.4*2.5*2.8*1,0)</f>
        <v>8041757113</v>
      </c>
      <c r="AE301" s="5">
        <f t="shared" si="166"/>
        <v>141</v>
      </c>
      <c r="AF301" s="9">
        <f>ROUND($J301*1.637*1.75*2.1*2.3*2.6*3.2*4.2*2.4*2.5*2.8*3.2*1,0)</f>
        <v>25733622761</v>
      </c>
      <c r="AG301" s="3">
        <f t="shared" si="167"/>
        <v>144</v>
      </c>
      <c r="AH301" s="10">
        <f>ROUND($J301*1.637*1.75*2.1*2.3*2.6*3.2*4.2*2.4*2.5*2.8*3.2*3.8*1,0)</f>
        <v>97787766492</v>
      </c>
    </row>
    <row r="302" spans="1:34" x14ac:dyDescent="0.3">
      <c r="A302" s="2">
        <v>220</v>
      </c>
      <c r="B302" s="2" t="s">
        <v>473</v>
      </c>
      <c r="C302" s="2" t="s">
        <v>468</v>
      </c>
      <c r="D302" s="2" t="s">
        <v>102</v>
      </c>
      <c r="E302" s="2">
        <v>117</v>
      </c>
      <c r="F302" s="2" t="s">
        <v>54</v>
      </c>
      <c r="G302" s="2" t="s">
        <v>474</v>
      </c>
      <c r="H302" s="2">
        <v>28</v>
      </c>
      <c r="I302" s="3">
        <v>117</v>
      </c>
      <c r="J302" s="4">
        <v>1005000</v>
      </c>
      <c r="K302" s="5">
        <f t="shared" si="156"/>
        <v>118</v>
      </c>
      <c r="L302" s="9">
        <f t="shared" si="180"/>
        <v>1645185</v>
      </c>
      <c r="M302" s="3">
        <f t="shared" si="157"/>
        <v>119</v>
      </c>
      <c r="N302" s="10">
        <f t="shared" si="181"/>
        <v>2879074</v>
      </c>
      <c r="O302" s="5">
        <f t="shared" si="158"/>
        <v>121</v>
      </c>
      <c r="P302" s="9">
        <f t="shared" si="182"/>
        <v>6046055</v>
      </c>
      <c r="Q302" s="3">
        <f t="shared" si="159"/>
        <v>123</v>
      </c>
      <c r="R302" s="10">
        <f>ROUND($J302*1.637*1.75*2.1*2.3*1,0)</f>
        <v>13905926</v>
      </c>
      <c r="S302" s="5">
        <f t="shared" si="160"/>
        <v>125</v>
      </c>
      <c r="T302" s="9">
        <f>ROUND($J302*1.637*1.75*2.1*2.3*2.6*1,0)</f>
        <v>36155408</v>
      </c>
      <c r="U302" s="3">
        <f t="shared" si="161"/>
        <v>128</v>
      </c>
      <c r="V302" s="10">
        <f>ROUND($J302*1.637*1.75*2.1*2.3*2.6*3.2*1,0)</f>
        <v>115697306</v>
      </c>
      <c r="W302" s="5">
        <f t="shared" si="162"/>
        <v>132</v>
      </c>
      <c r="X302" s="9">
        <f>ROUND($J302*1.637*1.75*2.1*2.3*2.6*3.2*4.2*1,0)</f>
        <v>485928686</v>
      </c>
      <c r="Y302" s="3">
        <f t="shared" si="163"/>
        <v>134</v>
      </c>
      <c r="Z302" s="10">
        <f>ROUND($J302*1.637*1.75*2.1*2.3*2.6*3.2*4.2*2.4*1,0)</f>
        <v>1166228845</v>
      </c>
      <c r="AA302" s="5">
        <f t="shared" si="164"/>
        <v>136</v>
      </c>
      <c r="AB302" s="9">
        <f>ROUND($J302*1.637*1.75*2.1*2.3*2.6*3.2*4.2*2.4*2.5*1,0)</f>
        <v>2915572113</v>
      </c>
      <c r="AC302" s="3">
        <f t="shared" si="165"/>
        <v>138</v>
      </c>
      <c r="AD302" s="10">
        <f>ROUND($J302*1.637*1.75*2.1*2.3*2.6*3.2*4.2*2.4*2.5*2.8*1,0)</f>
        <v>8163601918</v>
      </c>
      <c r="AE302" s="5">
        <f t="shared" si="166"/>
        <v>141</v>
      </c>
      <c r="AF302" s="9">
        <f>ROUND($J302*1.637*1.75*2.1*2.3*2.6*3.2*4.2*2.4*2.5*2.8*3.2*1,0)</f>
        <v>26123526136</v>
      </c>
      <c r="AG302" s="3">
        <f t="shared" si="167"/>
        <v>144</v>
      </c>
      <c r="AH302" s="10">
        <f>ROUND($J302*1.637*1.75*2.1*2.3*2.6*3.2*4.2*2.4*2.5*2.8*3.2*3.8*1,0)</f>
        <v>99269399318</v>
      </c>
    </row>
    <row r="303" spans="1:34" x14ac:dyDescent="0.3">
      <c r="A303" s="2">
        <v>222</v>
      </c>
      <c r="B303" s="2" t="s">
        <v>475</v>
      </c>
      <c r="C303" s="2" t="s">
        <v>468</v>
      </c>
      <c r="D303" s="2" t="s">
        <v>25</v>
      </c>
      <c r="E303" s="2">
        <v>117</v>
      </c>
      <c r="F303" s="2" t="s">
        <v>123</v>
      </c>
      <c r="G303" s="2" t="s">
        <v>57</v>
      </c>
      <c r="H303" s="2">
        <v>29</v>
      </c>
      <c r="I303" s="3">
        <v>117</v>
      </c>
      <c r="J303" s="4">
        <v>992000</v>
      </c>
      <c r="K303" s="5">
        <f t="shared" si="156"/>
        <v>118</v>
      </c>
      <c r="L303" s="9">
        <f t="shared" si="180"/>
        <v>1623904</v>
      </c>
      <c r="M303" s="3">
        <f t="shared" si="157"/>
        <v>119</v>
      </c>
      <c r="N303" s="10">
        <f t="shared" si="181"/>
        <v>2841832</v>
      </c>
      <c r="O303" s="5">
        <f t="shared" si="158"/>
        <v>121</v>
      </c>
      <c r="P303" s="9">
        <f t="shared" si="182"/>
        <v>5967847</v>
      </c>
      <c r="Q303" s="3">
        <f t="shared" si="159"/>
        <v>123</v>
      </c>
      <c r="R303" s="10">
        <f>ROUND($J303*1.637*1.75*2.1*2.3*1,0)</f>
        <v>13726049</v>
      </c>
      <c r="S303" s="5">
        <f t="shared" si="160"/>
        <v>125</v>
      </c>
      <c r="T303" s="9">
        <f>ROUND($J303*1.637*1.75*2.1*2.3*2.6*1,0)</f>
        <v>35687726</v>
      </c>
      <c r="U303" s="3">
        <f t="shared" si="161"/>
        <v>128</v>
      </c>
      <c r="V303" s="10">
        <f>ROUND($J303*1.637*1.75*2.1*2.3*2.6*3.2*1,0)</f>
        <v>114200724</v>
      </c>
      <c r="W303" s="5">
        <f t="shared" si="162"/>
        <v>132</v>
      </c>
      <c r="X303" s="9">
        <f>ROUND($J303*1.637*1.75*2.1*2.3*2.6*3.2*4.2*1,0)</f>
        <v>479643041</v>
      </c>
      <c r="Y303" s="3">
        <f t="shared" si="163"/>
        <v>134</v>
      </c>
      <c r="Z303" s="10">
        <f>ROUND($J303*1.637*1.75*2.1*2.3*2.6*3.2*4.2*2.4*1,0)</f>
        <v>1151143298</v>
      </c>
      <c r="AA303" s="5">
        <f t="shared" si="164"/>
        <v>136</v>
      </c>
      <c r="AB303" s="9">
        <f>ROUND($J303*1.637*1.75*2.1*2.3*2.6*3.2*4.2*2.4*2.5*1,0)</f>
        <v>2877858245</v>
      </c>
      <c r="AC303" s="3">
        <f t="shared" si="165"/>
        <v>138</v>
      </c>
      <c r="AD303" s="10">
        <f>ROUND($J303*1.637*1.75*2.1*2.3*2.6*3.2*4.2*2.4*2.5*2.8*1,0)</f>
        <v>8058003087</v>
      </c>
      <c r="AE303" s="5">
        <f t="shared" si="166"/>
        <v>141</v>
      </c>
      <c r="AF303" s="9">
        <f>ROUND($J303*1.637*1.75*2.1*2.3*2.6*3.2*4.2*2.4*2.5*2.8*3.2*1,0)</f>
        <v>25785609878</v>
      </c>
      <c r="AG303" s="3">
        <f t="shared" si="167"/>
        <v>144</v>
      </c>
      <c r="AH303" s="10">
        <f>ROUND($J303*1.637*1.75*2.1*2.3*2.6*3.2*4.2*2.4*2.5*2.8*3.2*3.8*1,0)</f>
        <v>97985317535</v>
      </c>
    </row>
    <row r="304" spans="1:34" x14ac:dyDescent="0.3">
      <c r="A304" s="2">
        <v>226</v>
      </c>
      <c r="B304" s="2" t="s">
        <v>207</v>
      </c>
      <c r="C304" s="2" t="s">
        <v>468</v>
      </c>
      <c r="D304" s="2" t="s">
        <v>165</v>
      </c>
      <c r="E304" s="2">
        <v>117</v>
      </c>
      <c r="F304" s="2" t="s">
        <v>54</v>
      </c>
      <c r="G304" s="2" t="s">
        <v>95</v>
      </c>
      <c r="H304" s="2">
        <v>30</v>
      </c>
      <c r="I304" s="3">
        <v>117</v>
      </c>
      <c r="J304" s="4">
        <v>990000</v>
      </c>
      <c r="K304" s="5">
        <f t="shared" si="156"/>
        <v>118</v>
      </c>
      <c r="L304" s="9">
        <f t="shared" si="180"/>
        <v>1620630</v>
      </c>
      <c r="M304" s="3">
        <f t="shared" si="157"/>
        <v>119</v>
      </c>
      <c r="N304" s="10">
        <f t="shared" si="181"/>
        <v>2836103</v>
      </c>
      <c r="O304" s="5">
        <f t="shared" si="158"/>
        <v>121</v>
      </c>
      <c r="P304" s="9">
        <f t="shared" si="182"/>
        <v>5955815</v>
      </c>
      <c r="Q304" s="3">
        <f t="shared" si="159"/>
        <v>123</v>
      </c>
      <c r="R304" s="10">
        <f>ROUND($J304*1.637*1.75*2.1*2.3*1,0)</f>
        <v>13698375</v>
      </c>
      <c r="S304" s="5">
        <f t="shared" si="160"/>
        <v>125</v>
      </c>
      <c r="T304" s="9">
        <f>ROUND($J304*1.637*1.75*2.1*2.3*2.6*1,0)</f>
        <v>35615775</v>
      </c>
      <c r="U304" s="3">
        <f t="shared" si="161"/>
        <v>128</v>
      </c>
      <c r="V304" s="10">
        <f>ROUND($J304*1.637*1.75*2.1*2.3*2.6*3.2*1,0)</f>
        <v>113970481</v>
      </c>
      <c r="W304" s="5">
        <f t="shared" si="162"/>
        <v>132</v>
      </c>
      <c r="X304" s="9">
        <f>ROUND($J304*1.637*1.75*2.1*2.3*2.6*3.2*4.2*1,0)</f>
        <v>478676019</v>
      </c>
      <c r="Y304" s="3">
        <f t="shared" si="163"/>
        <v>134</v>
      </c>
      <c r="Z304" s="10">
        <f>ROUND($J304*1.637*1.75*2.1*2.3*2.6*3.2*4.2*2.4*1,0)</f>
        <v>1148822445</v>
      </c>
      <c r="AA304" s="5">
        <f t="shared" si="164"/>
        <v>136</v>
      </c>
      <c r="AB304" s="9">
        <f>ROUND($J304*1.637*1.75*2.1*2.3*2.6*3.2*4.2*2.4*2.5*1,0)</f>
        <v>2872056112</v>
      </c>
      <c r="AC304" s="3">
        <f t="shared" si="165"/>
        <v>138</v>
      </c>
      <c r="AD304" s="10">
        <f>ROUND($J304*1.637*1.75*2.1*2.3*2.6*3.2*4.2*2.4*2.5*2.8*1,0)</f>
        <v>8041757113</v>
      </c>
      <c r="AE304" s="5">
        <f t="shared" si="166"/>
        <v>141</v>
      </c>
      <c r="AF304" s="9">
        <f>ROUND($J304*1.637*1.75*2.1*2.3*2.6*3.2*4.2*2.4*2.5*2.8*3.2*1,0)</f>
        <v>25733622761</v>
      </c>
      <c r="AG304" s="3">
        <f t="shared" si="167"/>
        <v>144</v>
      </c>
      <c r="AH304" s="10">
        <f>ROUND($J304*1.637*1.75*2.1*2.3*2.6*3.2*4.2*2.4*2.5*2.8*3.2*3.8*1,0)</f>
        <v>97787766492</v>
      </c>
    </row>
    <row r="305" spans="1:34" x14ac:dyDescent="0.3">
      <c r="A305" s="2">
        <v>223</v>
      </c>
      <c r="B305" s="2" t="s">
        <v>152</v>
      </c>
      <c r="C305" s="2" t="s">
        <v>468</v>
      </c>
      <c r="D305" s="2" t="s">
        <v>40</v>
      </c>
      <c r="E305" s="2">
        <v>117</v>
      </c>
      <c r="F305" s="2" t="s">
        <v>71</v>
      </c>
      <c r="G305" s="2" t="s">
        <v>38</v>
      </c>
      <c r="H305" s="2">
        <v>29</v>
      </c>
      <c r="I305" s="3">
        <v>117</v>
      </c>
      <c r="J305" s="4">
        <v>989000</v>
      </c>
      <c r="K305" s="5">
        <f t="shared" si="156"/>
        <v>118</v>
      </c>
      <c r="L305" s="9">
        <f t="shared" si="180"/>
        <v>1618993</v>
      </c>
      <c r="M305" s="3">
        <f t="shared" si="157"/>
        <v>119</v>
      </c>
      <c r="N305" s="10">
        <f t="shared" si="181"/>
        <v>2833238</v>
      </c>
      <c r="O305" s="5">
        <f t="shared" si="158"/>
        <v>121</v>
      </c>
      <c r="P305" s="9">
        <f t="shared" si="182"/>
        <v>5949799</v>
      </c>
      <c r="Q305" s="3">
        <f t="shared" si="159"/>
        <v>123</v>
      </c>
      <c r="R305" s="10">
        <f>ROUND($J305*1.637*1.75*2.1*2.3*1.25,0)</f>
        <v>17105673</v>
      </c>
      <c r="S305" s="5">
        <f t="shared" si="160"/>
        <v>125</v>
      </c>
      <c r="T305" s="9">
        <f>ROUND($J305*1.637*1.75*2.1*2.3*2.6*1.25,0)</f>
        <v>44474750</v>
      </c>
      <c r="U305" s="3">
        <f t="shared" si="161"/>
        <v>128</v>
      </c>
      <c r="V305" s="10">
        <f>ROUND($J305*1.637*1.75*2.1*2.3*2.6*3.2*1.25,0)</f>
        <v>142319199</v>
      </c>
      <c r="W305" s="5">
        <f t="shared" si="162"/>
        <v>132</v>
      </c>
      <c r="X305" s="9">
        <f>ROUND($J305*1.637*1.75*2.1*2.3*2.6*3.2*4.2*1.25,0)</f>
        <v>597740634</v>
      </c>
      <c r="Y305" s="3">
        <f t="shared" si="163"/>
        <v>134</v>
      </c>
      <c r="Z305" s="10">
        <f>ROUND($J305*1.637*1.75*2.1*2.3*2.6*3.2*4.2*2.4*1.25,0)</f>
        <v>1434577522</v>
      </c>
      <c r="AA305" s="5">
        <f t="shared" si="164"/>
        <v>136</v>
      </c>
      <c r="AB305" s="9">
        <f>ROUND($J305*1.637*1.75*2.1*2.3*2.6*3.2*4.2*2.4*2.5*1.25,0)</f>
        <v>3586443806</v>
      </c>
      <c r="AC305" s="3">
        <f t="shared" si="165"/>
        <v>138</v>
      </c>
      <c r="AD305" s="10">
        <f>ROUND($J305*1.637*1.75*2.1*2.3*2.6*3.2*4.2*2.4*2.5*2.8*1.25,0)</f>
        <v>10042042657</v>
      </c>
      <c r="AE305" s="5">
        <f t="shared" si="166"/>
        <v>141</v>
      </c>
      <c r="AF305" s="9">
        <f>ROUND($J305*1.637*1.75*2.1*2.3*2.6*3.2*4.2*2.4*2.5*2.8*3.2*1.25,0)</f>
        <v>32134536503</v>
      </c>
      <c r="AG305" s="3">
        <f t="shared" si="167"/>
        <v>144</v>
      </c>
      <c r="AH305" s="10">
        <f>ROUND($J305*1.637*1.75*2.1*2.3*2.6*3.2*4.2*2.4*2.5*2.8*3.2*3.8*1.25,0)</f>
        <v>122111238713</v>
      </c>
    </row>
    <row r="306" spans="1:34" x14ac:dyDescent="0.3">
      <c r="A306" s="2">
        <v>219</v>
      </c>
      <c r="B306" s="2" t="s">
        <v>191</v>
      </c>
      <c r="C306" s="2" t="s">
        <v>468</v>
      </c>
      <c r="D306" s="2" t="s">
        <v>40</v>
      </c>
      <c r="E306" s="2">
        <v>116</v>
      </c>
      <c r="F306" s="2" t="s">
        <v>120</v>
      </c>
      <c r="G306" s="2" t="s">
        <v>476</v>
      </c>
      <c r="H306" s="2">
        <v>29</v>
      </c>
      <c r="I306" s="3">
        <v>116</v>
      </c>
      <c r="J306" s="4">
        <v>684000</v>
      </c>
      <c r="K306" s="5">
        <f t="shared" si="156"/>
        <v>117</v>
      </c>
      <c r="L306" s="9">
        <f>ROUND($J306*1.637*0.8,0)</f>
        <v>895766</v>
      </c>
      <c r="M306" s="3">
        <f t="shared" si="157"/>
        <v>118</v>
      </c>
      <c r="N306" s="10">
        <f>ROUND($J306*1.637*1.75*0.8,0)</f>
        <v>1567591</v>
      </c>
      <c r="O306" s="5">
        <f t="shared" si="158"/>
        <v>120</v>
      </c>
      <c r="P306" s="9">
        <f>ROUND($J306*1.637*1.75*2.1*0.8,0)</f>
        <v>3291942</v>
      </c>
      <c r="Q306" s="3">
        <f t="shared" si="159"/>
        <v>122</v>
      </c>
      <c r="R306" s="10">
        <f>ROUND($J306*1.637*1.75*2.1*2.3*0.542035092435954,0)</f>
        <v>5130000</v>
      </c>
      <c r="S306" s="5">
        <f t="shared" si="160"/>
        <v>124</v>
      </c>
      <c r="T306" s="9">
        <f>ROUND($J306*1.637*1.75*2.1*2.3*2.6*0.544690061623969,0)</f>
        <v>13403332</v>
      </c>
      <c r="U306" s="3">
        <f t="shared" si="161"/>
        <v>127</v>
      </c>
      <c r="V306" s="10">
        <f>ROUND($J306*1.637*1.75*2.1*2.3*2.6*3.2*0.547345030811984,0)</f>
        <v>43099722</v>
      </c>
      <c r="W306" s="5">
        <f t="shared" si="162"/>
        <v>131</v>
      </c>
      <c r="X306" s="9">
        <f>ROUND($J306*1.637*1.75*2.1*2.3*2.6*3.2*4.2*0.55,0)</f>
        <v>181896887</v>
      </c>
      <c r="Y306" s="3">
        <f t="shared" si="163"/>
        <v>133</v>
      </c>
      <c r="Z306" s="10">
        <f>ROUND($J306*1.637*1.75*2.1*2.3*2.6*3.2*4.2*2.4*0.55,0)</f>
        <v>436552529</v>
      </c>
      <c r="AA306" s="5">
        <f t="shared" si="164"/>
        <v>135</v>
      </c>
      <c r="AB306" s="9">
        <f>ROUND($J306*1.637*1.75*2.1*2.3*2.6*3.2*4.2*2.4*2.5*0.55,0)</f>
        <v>1091381322</v>
      </c>
      <c r="AC306" s="3">
        <f t="shared" si="165"/>
        <v>137</v>
      </c>
      <c r="AD306" s="10">
        <f>ROUND($J306*1.637*1.75*2.1*2.3*2.6*3.2*4.2*2.4*2.5*2.8*0.55,0)</f>
        <v>3055867703</v>
      </c>
      <c r="AE306" s="5">
        <f t="shared" si="166"/>
        <v>140</v>
      </c>
      <c r="AF306" s="9">
        <f>ROUND($J306*1.637*1.75*2.1*2.3*2.6*3.2*4.2*2.4*2.5*2.8*3.2*0.55,0)</f>
        <v>9778776649</v>
      </c>
      <c r="AG306" s="3">
        <f t="shared" si="167"/>
        <v>143</v>
      </c>
      <c r="AH306" s="10">
        <f>ROUND($J306*1.637*1.75*2.1*2.3*2.6*3.2*4.2*2.4*2.5*2.8*3.2*3.8*0.55,0)</f>
        <v>37159351267</v>
      </c>
    </row>
    <row r="307" spans="1:34" x14ac:dyDescent="0.3">
      <c r="A307" s="2">
        <v>217</v>
      </c>
      <c r="B307" s="2" t="s">
        <v>236</v>
      </c>
      <c r="C307" s="2" t="s">
        <v>468</v>
      </c>
      <c r="D307" s="2" t="s">
        <v>79</v>
      </c>
      <c r="E307" s="2">
        <v>116</v>
      </c>
      <c r="F307" s="2" t="s">
        <v>237</v>
      </c>
      <c r="G307" s="2" t="s">
        <v>35</v>
      </c>
      <c r="H307" s="2">
        <v>28</v>
      </c>
      <c r="I307" s="3">
        <v>116</v>
      </c>
      <c r="J307" s="4">
        <v>741000</v>
      </c>
      <c r="K307" s="5">
        <f t="shared" si="156"/>
        <v>117</v>
      </c>
      <c r="L307" s="9">
        <f>ROUND($J307*1.637*1,0)</f>
        <v>1213017</v>
      </c>
      <c r="M307" s="3">
        <f t="shared" si="157"/>
        <v>118</v>
      </c>
      <c r="N307" s="10">
        <f>ROUND($J307*1.637*1.75*1,0)</f>
        <v>2122780</v>
      </c>
      <c r="O307" s="5">
        <f t="shared" si="158"/>
        <v>120</v>
      </c>
      <c r="P307" s="9">
        <f>ROUND($J307*1.637*1.75*2.1*1,0)</f>
        <v>4457837</v>
      </c>
      <c r="Q307" s="3">
        <f t="shared" si="159"/>
        <v>122</v>
      </c>
      <c r="R307" s="10">
        <f>ROUND($J307*1.637*1.75*2.1*2.3*1,0)</f>
        <v>10253026</v>
      </c>
      <c r="S307" s="5">
        <f t="shared" si="160"/>
        <v>124</v>
      </c>
      <c r="T307" s="9">
        <f>ROUND($J307*1.637*1.75*2.1*2.3*2.6*1,0)</f>
        <v>26657868</v>
      </c>
      <c r="U307" s="3">
        <f t="shared" si="161"/>
        <v>127</v>
      </c>
      <c r="V307" s="10">
        <f>ROUND($J307*1.637*1.75*2.1*2.3*2.6*3.2*1,0)</f>
        <v>85305178</v>
      </c>
      <c r="W307" s="5">
        <f t="shared" si="162"/>
        <v>131</v>
      </c>
      <c r="X307" s="9">
        <f>ROUND($J307*1.637*1.75*2.1*2.3*2.6*3.2*4.2*1,0)</f>
        <v>358281747</v>
      </c>
      <c r="Y307" s="3">
        <f t="shared" si="163"/>
        <v>133</v>
      </c>
      <c r="Z307" s="10">
        <f>ROUND($J307*1.637*1.75*2.1*2.3*2.6*3.2*4.2*2.4*1,0)</f>
        <v>859876193</v>
      </c>
      <c r="AA307" s="5">
        <f t="shared" si="164"/>
        <v>135</v>
      </c>
      <c r="AB307" s="9">
        <f>ROUND($J307*1.637*1.75*2.1*2.3*2.6*3.2*4.2*2.4*2.5*1,0)</f>
        <v>2149690484</v>
      </c>
      <c r="AC307" s="3">
        <f t="shared" si="165"/>
        <v>137</v>
      </c>
      <c r="AD307" s="10">
        <f>ROUND($J307*1.637*1.75*2.1*2.3*2.6*3.2*4.2*2.4*2.5*2.8*1,0)</f>
        <v>6019133354</v>
      </c>
      <c r="AE307" s="5">
        <f t="shared" si="166"/>
        <v>140</v>
      </c>
      <c r="AF307" s="9">
        <f>ROUND($J307*1.637*1.75*2.1*2.3*2.6*3.2*4.2*2.4*2.5*2.8*3.2*1,0)</f>
        <v>19261226733</v>
      </c>
      <c r="AG307" s="3">
        <f t="shared" si="167"/>
        <v>143</v>
      </c>
      <c r="AH307" s="10">
        <f>ROUND($J307*1.637*1.75*2.1*2.3*2.6*3.2*4.2*2.4*2.5*2.8*3.2*3.8*1,0)</f>
        <v>73192661586</v>
      </c>
    </row>
    <row r="308" spans="1:34" x14ac:dyDescent="0.3">
      <c r="A308" s="2">
        <v>216</v>
      </c>
      <c r="B308" s="2" t="s">
        <v>477</v>
      </c>
      <c r="C308" s="2" t="s">
        <v>468</v>
      </c>
      <c r="D308" s="2" t="s">
        <v>102</v>
      </c>
      <c r="E308" s="2">
        <v>116</v>
      </c>
      <c r="F308" s="2" t="s">
        <v>30</v>
      </c>
      <c r="G308" s="2" t="s">
        <v>98</v>
      </c>
      <c r="H308" s="2">
        <v>28</v>
      </c>
      <c r="I308" s="3">
        <v>116</v>
      </c>
      <c r="J308" s="4">
        <v>828000</v>
      </c>
      <c r="K308" s="5">
        <f t="shared" si="156"/>
        <v>117</v>
      </c>
      <c r="L308" s="9">
        <f>ROUND($J308*1.637*1,0)</f>
        <v>1355436</v>
      </c>
      <c r="M308" s="3">
        <f t="shared" si="157"/>
        <v>118</v>
      </c>
      <c r="N308" s="10">
        <f>ROUND($J308*1.637*1.75*1,0)</f>
        <v>2372013</v>
      </c>
      <c r="O308" s="5">
        <f t="shared" si="158"/>
        <v>120</v>
      </c>
      <c r="P308" s="9">
        <f>ROUND($J308*1.637*1.75*2.1*1,0)</f>
        <v>4981227</v>
      </c>
      <c r="Q308" s="3">
        <f t="shared" si="159"/>
        <v>122</v>
      </c>
      <c r="R308" s="10">
        <f>ROUND($J308*1.637*1.75*2.1*2.3*1,0)</f>
        <v>11456823</v>
      </c>
      <c r="S308" s="5">
        <f t="shared" si="160"/>
        <v>124</v>
      </c>
      <c r="T308" s="9">
        <f>ROUND($J308*1.637*1.75*2.1*2.3*2.6*1,0)</f>
        <v>29787739</v>
      </c>
      <c r="U308" s="3">
        <f t="shared" si="161"/>
        <v>127</v>
      </c>
      <c r="V308" s="10">
        <f>ROUND($J308*1.637*1.75*2.1*2.3*2.6*3.2*1,0)</f>
        <v>95320766</v>
      </c>
      <c r="W308" s="5">
        <f t="shared" si="162"/>
        <v>131</v>
      </c>
      <c r="X308" s="9">
        <f>ROUND($J308*1.637*1.75*2.1*2.3*2.6*3.2*4.2*1,0)</f>
        <v>400347216</v>
      </c>
      <c r="Y308" s="3">
        <f t="shared" si="163"/>
        <v>133</v>
      </c>
      <c r="Z308" s="10">
        <f>ROUND($J308*1.637*1.75*2.1*2.3*2.6*3.2*4.2*2.4*1,0)</f>
        <v>960833317</v>
      </c>
      <c r="AA308" s="5">
        <f t="shared" si="164"/>
        <v>135</v>
      </c>
      <c r="AB308" s="9">
        <f>ROUND($J308*1.637*1.75*2.1*2.3*2.6*3.2*4.2*2.4*2.5*1,0)</f>
        <v>2402083293</v>
      </c>
      <c r="AC308" s="3">
        <f t="shared" si="165"/>
        <v>137</v>
      </c>
      <c r="AD308" s="10">
        <f>ROUND($J308*1.637*1.75*2.1*2.3*2.6*3.2*4.2*2.4*2.5*2.8*1,0)</f>
        <v>6725833222</v>
      </c>
      <c r="AE308" s="5">
        <f t="shared" si="166"/>
        <v>140</v>
      </c>
      <c r="AF308" s="9">
        <f>ROUND($J308*1.637*1.75*2.1*2.3*2.6*3.2*4.2*2.4*2.5*2.8*3.2*1,0)</f>
        <v>21522666309</v>
      </c>
      <c r="AG308" s="3">
        <f t="shared" si="167"/>
        <v>143</v>
      </c>
      <c r="AH308" s="10">
        <f>ROUND($J308*1.637*1.75*2.1*2.3*2.6*3.2*4.2*2.4*2.5*2.8*3.2*3.8*1,0)</f>
        <v>81786131975</v>
      </c>
    </row>
    <row r="309" spans="1:34" x14ac:dyDescent="0.3">
      <c r="A309" s="2">
        <v>218</v>
      </c>
      <c r="B309" s="2" t="s">
        <v>478</v>
      </c>
      <c r="C309" s="2" t="s">
        <v>468</v>
      </c>
      <c r="D309" s="2" t="s">
        <v>25</v>
      </c>
      <c r="E309" s="2">
        <v>116</v>
      </c>
      <c r="F309" s="2" t="s">
        <v>379</v>
      </c>
      <c r="G309" s="2" t="s">
        <v>95</v>
      </c>
      <c r="H309" s="2">
        <v>29</v>
      </c>
      <c r="I309" s="3">
        <v>116</v>
      </c>
      <c r="J309" s="4">
        <v>848000</v>
      </c>
      <c r="K309" s="5">
        <f t="shared" si="156"/>
        <v>117</v>
      </c>
      <c r="L309" s="9">
        <f>ROUND($J309*1.637*0.8,0)</f>
        <v>1110541</v>
      </c>
      <c r="M309" s="3">
        <f t="shared" si="157"/>
        <v>118</v>
      </c>
      <c r="N309" s="10">
        <f>ROUND($J309*1.637*1.75*0.8,0)</f>
        <v>1943446</v>
      </c>
      <c r="O309" s="5">
        <f t="shared" si="158"/>
        <v>120</v>
      </c>
      <c r="P309" s="9">
        <f>ROUND($J309*1.637*1.75*2.1*0.8,0)</f>
        <v>4081237</v>
      </c>
      <c r="Q309" s="3">
        <f t="shared" si="159"/>
        <v>122</v>
      </c>
      <c r="R309" s="10">
        <f>ROUND($J309*1.637*1.75*2.1*2.3*0.542035092435954,0)</f>
        <v>6360000</v>
      </c>
      <c r="S309" s="5">
        <f t="shared" si="160"/>
        <v>124</v>
      </c>
      <c r="T309" s="9">
        <f>ROUND($J309*1.637*1.75*2.1*2.3*2.6*0.544690061623969,0)</f>
        <v>16616996</v>
      </c>
      <c r="U309" s="3">
        <f t="shared" si="161"/>
        <v>127</v>
      </c>
      <c r="V309" s="10">
        <f>ROUND($J309*1.637*1.75*2.1*2.3*2.6*3.2*0.547345030811984,0)</f>
        <v>53433573</v>
      </c>
      <c r="W309" s="5">
        <f t="shared" si="162"/>
        <v>131</v>
      </c>
      <c r="X309" s="9">
        <f>ROUND($J309*1.637*1.75*2.1*2.3*2.6*3.2*4.2*0.55,0)</f>
        <v>225509591</v>
      </c>
      <c r="Y309" s="3">
        <f t="shared" si="163"/>
        <v>133</v>
      </c>
      <c r="Z309" s="10">
        <f>ROUND($J309*1.637*1.75*2.1*2.3*2.6*3.2*4.2*2.4*0.55,0)</f>
        <v>541223018</v>
      </c>
      <c r="AA309" s="5">
        <f t="shared" si="164"/>
        <v>135</v>
      </c>
      <c r="AB309" s="9">
        <f>ROUND($J309*1.637*1.75*2.1*2.3*2.6*3.2*4.2*2.4*2.5*0.55,0)</f>
        <v>1353057546</v>
      </c>
      <c r="AC309" s="3">
        <f t="shared" si="165"/>
        <v>137</v>
      </c>
      <c r="AD309" s="10">
        <f>ROUND($J309*1.637*1.75*2.1*2.3*2.6*3.2*4.2*2.4*2.5*2.8*0.55,0)</f>
        <v>3788561129</v>
      </c>
      <c r="AE309" s="5">
        <f t="shared" si="166"/>
        <v>140</v>
      </c>
      <c r="AF309" s="9">
        <f>ROUND($J309*1.637*1.75*2.1*2.3*2.6*3.2*4.2*2.4*2.5*2.8*3.2*0.55,0)</f>
        <v>12123395612</v>
      </c>
      <c r="AG309" s="3">
        <f t="shared" si="167"/>
        <v>143</v>
      </c>
      <c r="AH309" s="10">
        <f>ROUND($J309*1.637*1.75*2.1*2.3*2.6*3.2*4.2*2.4*2.5*2.8*3.2*3.8*0.55,0)</f>
        <v>46068903325</v>
      </c>
    </row>
    <row r="310" spans="1:34" x14ac:dyDescent="0.3">
      <c r="A310" s="2">
        <v>213</v>
      </c>
      <c r="B310" s="2" t="s">
        <v>224</v>
      </c>
      <c r="C310" s="2" t="s">
        <v>468</v>
      </c>
      <c r="D310" s="2" t="s">
        <v>25</v>
      </c>
      <c r="E310" s="2">
        <v>115</v>
      </c>
      <c r="F310" s="2" t="s">
        <v>225</v>
      </c>
      <c r="G310" s="2" t="s">
        <v>226</v>
      </c>
      <c r="H310" s="2">
        <v>28</v>
      </c>
      <c r="I310" s="3">
        <v>115</v>
      </c>
      <c r="J310" s="4">
        <v>893000</v>
      </c>
      <c r="K310" s="5">
        <f t="shared" si="156"/>
        <v>116</v>
      </c>
      <c r="L310" s="9">
        <f>ROUND($J310*1.637*0.8,0)</f>
        <v>1169473</v>
      </c>
      <c r="M310" s="3">
        <f t="shared" si="157"/>
        <v>117</v>
      </c>
      <c r="N310" s="10">
        <f>ROUND($J310*1.637*1.75*0.8,0)</f>
        <v>2046577</v>
      </c>
      <c r="O310" s="5">
        <f t="shared" si="158"/>
        <v>119</v>
      </c>
      <c r="P310" s="9">
        <f>ROUND($J310*1.637*1.75*2.1*0.8,0)</f>
        <v>4297813</v>
      </c>
      <c r="Q310" s="3">
        <f t="shared" si="159"/>
        <v>121</v>
      </c>
      <c r="R310" s="10">
        <f>ROUND($J310*1.637*1.75*2.1*2.3*0.542035092435954,0)</f>
        <v>6697500</v>
      </c>
      <c r="S310" s="5">
        <f t="shared" si="160"/>
        <v>123</v>
      </c>
      <c r="T310" s="9">
        <f>ROUND($J310*1.637*1.75*2.1*2.3*2.6*0.544690061623969,0)</f>
        <v>17498794</v>
      </c>
      <c r="U310" s="3">
        <f t="shared" si="161"/>
        <v>126</v>
      </c>
      <c r="V310" s="10">
        <f>ROUND($J310*1.637*1.75*2.1*2.3*2.6*3.2*0.547345030811984,0)</f>
        <v>56269081</v>
      </c>
      <c r="W310" s="5">
        <f t="shared" si="162"/>
        <v>130</v>
      </c>
      <c r="X310" s="9">
        <f>ROUND($J310*1.637*1.75*2.1*2.3*2.6*3.2*4.2*0.55,0)</f>
        <v>237476491</v>
      </c>
      <c r="Y310" s="3">
        <f t="shared" si="163"/>
        <v>132</v>
      </c>
      <c r="Z310" s="10">
        <f>ROUND($J310*1.637*1.75*2.1*2.3*2.6*3.2*4.2*2.4*0.55,0)</f>
        <v>569943580</v>
      </c>
      <c r="AA310" s="5">
        <f t="shared" si="164"/>
        <v>134</v>
      </c>
      <c r="AB310" s="9">
        <f>ROUND($J310*1.637*1.75*2.1*2.3*2.6*3.2*4.2*2.4*2.5*0.55,0)</f>
        <v>1424858949</v>
      </c>
      <c r="AC310" s="3">
        <f t="shared" si="165"/>
        <v>136</v>
      </c>
      <c r="AD310" s="10">
        <f>ROUND($J310*1.637*1.75*2.1*2.3*2.6*3.2*4.2*2.4*2.5*2.8*0.55,0)</f>
        <v>3989605057</v>
      </c>
      <c r="AE310" s="5">
        <f t="shared" si="166"/>
        <v>139</v>
      </c>
      <c r="AF310" s="9">
        <f>ROUND($J310*1.637*1.75*2.1*2.3*2.6*3.2*4.2*2.4*2.5*2.8*3.2*0.55,0)</f>
        <v>12766736181</v>
      </c>
      <c r="AG310" s="3">
        <f t="shared" si="167"/>
        <v>142</v>
      </c>
      <c r="AH310" s="10">
        <f>ROUND($J310*1.637*1.75*2.1*2.3*2.6*3.2*4.2*2.4*2.5*2.8*3.2*3.8*0.55,0)</f>
        <v>48513597487</v>
      </c>
    </row>
    <row r="311" spans="1:34" x14ac:dyDescent="0.3">
      <c r="A311" s="2">
        <v>215</v>
      </c>
      <c r="B311" s="2" t="s">
        <v>479</v>
      </c>
      <c r="C311" s="2" t="s">
        <v>468</v>
      </c>
      <c r="D311" s="2" t="s">
        <v>79</v>
      </c>
      <c r="E311" s="2">
        <v>115</v>
      </c>
      <c r="F311" s="2" t="s">
        <v>59</v>
      </c>
      <c r="G311" s="2" t="s">
        <v>98</v>
      </c>
      <c r="H311" s="2">
        <v>28</v>
      </c>
      <c r="I311" s="3">
        <v>115</v>
      </c>
      <c r="J311" s="4">
        <v>765000</v>
      </c>
      <c r="K311" s="5">
        <f t="shared" si="156"/>
        <v>116</v>
      </c>
      <c r="L311" s="9">
        <f>ROUND($J311*1.637*1,0)</f>
        <v>1252305</v>
      </c>
      <c r="M311" s="3">
        <f t="shared" si="157"/>
        <v>117</v>
      </c>
      <c r="N311" s="10">
        <f>ROUND($J311*1.637*1.75*1,0)</f>
        <v>2191534</v>
      </c>
      <c r="O311" s="5">
        <f t="shared" si="158"/>
        <v>119</v>
      </c>
      <c r="P311" s="9">
        <f>ROUND($J311*1.637*1.75*2.1*1,0)</f>
        <v>4602221</v>
      </c>
      <c r="Q311" s="3">
        <f t="shared" si="159"/>
        <v>121</v>
      </c>
      <c r="R311" s="10">
        <f>ROUND($J311*1.637*1.75*2.1*2.3*1,0)</f>
        <v>10585108</v>
      </c>
      <c r="S311" s="5">
        <f t="shared" si="160"/>
        <v>123</v>
      </c>
      <c r="T311" s="9">
        <f>ROUND($J311*1.637*1.75*2.1*2.3*2.6*1,0)</f>
        <v>27521281</v>
      </c>
      <c r="U311" s="3">
        <f t="shared" si="161"/>
        <v>126</v>
      </c>
      <c r="V311" s="10">
        <f>ROUND($J311*1.637*1.75*2.1*2.3*2.6*3.2*1,0)</f>
        <v>88068099</v>
      </c>
      <c r="W311" s="5">
        <f t="shared" si="162"/>
        <v>130</v>
      </c>
      <c r="X311" s="9">
        <f>ROUND($J311*1.637*1.75*2.1*2.3*2.6*3.2*4.2*1,0)</f>
        <v>369886014</v>
      </c>
      <c r="Y311" s="3">
        <f t="shared" si="163"/>
        <v>132</v>
      </c>
      <c r="Z311" s="10">
        <f>ROUND($J311*1.637*1.75*2.1*2.3*2.6*3.2*4.2*2.4*1,0)</f>
        <v>887726435</v>
      </c>
      <c r="AA311" s="5">
        <f t="shared" si="164"/>
        <v>134</v>
      </c>
      <c r="AB311" s="9">
        <f>ROUND($J311*1.637*1.75*2.1*2.3*2.6*3.2*4.2*2.4*2.5*1,0)</f>
        <v>2219316086</v>
      </c>
      <c r="AC311" s="3">
        <f t="shared" si="165"/>
        <v>136</v>
      </c>
      <c r="AD311" s="10">
        <f>ROUND($J311*1.637*1.75*2.1*2.3*2.6*3.2*4.2*2.4*2.5*2.8*1,0)</f>
        <v>6214085042</v>
      </c>
      <c r="AE311" s="5">
        <f t="shared" si="166"/>
        <v>139</v>
      </c>
      <c r="AF311" s="9">
        <f>ROUND($J311*1.637*1.75*2.1*2.3*2.6*3.2*4.2*2.4*2.5*2.8*3.2*1,0)</f>
        <v>19885072134</v>
      </c>
      <c r="AG311" s="3">
        <f t="shared" si="167"/>
        <v>142</v>
      </c>
      <c r="AH311" s="10">
        <f>ROUND($J311*1.637*1.75*2.1*2.3*2.6*3.2*4.2*2.4*2.5*2.8*3.2*3.8*1,0)</f>
        <v>75563274107</v>
      </c>
    </row>
    <row r="312" spans="1:34" x14ac:dyDescent="0.3">
      <c r="A312" s="2">
        <v>214</v>
      </c>
      <c r="B312" s="2" t="s">
        <v>480</v>
      </c>
      <c r="C312" s="2" t="s">
        <v>468</v>
      </c>
      <c r="D312" s="2" t="s">
        <v>64</v>
      </c>
      <c r="E312" s="2">
        <v>115</v>
      </c>
      <c r="F312" s="2" t="s">
        <v>481</v>
      </c>
      <c r="G312" s="2" t="s">
        <v>351</v>
      </c>
      <c r="H312" s="2">
        <v>28</v>
      </c>
      <c r="I312" s="3">
        <v>115</v>
      </c>
      <c r="J312" s="4">
        <v>689000</v>
      </c>
      <c r="K312" s="5">
        <f t="shared" si="156"/>
        <v>116</v>
      </c>
      <c r="L312" s="9">
        <f>ROUND($J312*1.637*0.8,0)</f>
        <v>902314</v>
      </c>
      <c r="M312" s="3">
        <f t="shared" si="157"/>
        <v>117</v>
      </c>
      <c r="N312" s="10">
        <f>ROUND($J312*1.637*1.75*0.8,0)</f>
        <v>1579050</v>
      </c>
      <c r="O312" s="5">
        <f t="shared" si="158"/>
        <v>119</v>
      </c>
      <c r="P312" s="9">
        <f>ROUND($J312*1.637*1.75*2.1*0.8,0)</f>
        <v>3316005</v>
      </c>
      <c r="Q312" s="3">
        <f t="shared" si="159"/>
        <v>121</v>
      </c>
      <c r="R312" s="10">
        <f>ROUND($J312*1.637*1.75*2.1*2.3*0.542035092435954,0)</f>
        <v>5167500</v>
      </c>
      <c r="S312" s="5">
        <f t="shared" si="160"/>
        <v>123</v>
      </c>
      <c r="T312" s="9">
        <f>ROUND($J312*1.637*1.75*2.1*2.3*2.6*0.544690061623969,0)</f>
        <v>13501309</v>
      </c>
      <c r="U312" s="3">
        <f t="shared" si="161"/>
        <v>126</v>
      </c>
      <c r="V312" s="10">
        <f>ROUND($J312*1.637*1.75*2.1*2.3*2.6*3.2*0.547345030811984,0)</f>
        <v>43414778</v>
      </c>
      <c r="W312" s="5">
        <f t="shared" si="162"/>
        <v>130</v>
      </c>
      <c r="X312" s="9">
        <f>ROUND($J312*1.637*1.75*2.1*2.3*2.6*3.2*4.2*0.55,0)</f>
        <v>183226543</v>
      </c>
      <c r="Y312" s="3">
        <f t="shared" si="163"/>
        <v>132</v>
      </c>
      <c r="Z312" s="10">
        <f>ROUND($J312*1.637*1.75*2.1*2.3*2.6*3.2*4.2*2.4*0.55,0)</f>
        <v>439743702</v>
      </c>
      <c r="AA312" s="5">
        <f t="shared" si="164"/>
        <v>134</v>
      </c>
      <c r="AB312" s="9">
        <f>ROUND($J312*1.637*1.75*2.1*2.3*2.6*3.2*4.2*2.4*2.5*0.55,0)</f>
        <v>1099359256</v>
      </c>
      <c r="AC312" s="3">
        <f t="shared" si="165"/>
        <v>136</v>
      </c>
      <c r="AD312" s="10">
        <f>ROUND($J312*1.637*1.75*2.1*2.3*2.6*3.2*4.2*2.4*2.5*2.8*0.55,0)</f>
        <v>3078205917</v>
      </c>
      <c r="AE312" s="5">
        <f t="shared" si="166"/>
        <v>139</v>
      </c>
      <c r="AF312" s="9">
        <f>ROUND($J312*1.637*1.75*2.1*2.3*2.6*3.2*4.2*2.4*2.5*2.8*3.2*0.55,0)</f>
        <v>9850258935</v>
      </c>
      <c r="AG312" s="3">
        <f t="shared" si="167"/>
        <v>142</v>
      </c>
      <c r="AH312" s="10">
        <f>ROUND($J312*1.637*1.75*2.1*2.3*2.6*3.2*4.2*2.4*2.5*2.8*3.2*3.8*0.55,0)</f>
        <v>37430983952</v>
      </c>
    </row>
  </sheetData>
  <autoFilter ref="A1:AH312" xr:uid="{00000000-0001-0000-0000-000000000000}"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</autoFilter>
  <mergeCells count="21">
    <mergeCell ref="I1:J1"/>
    <mergeCell ref="K1:L1"/>
    <mergeCell ref="M1:N1"/>
    <mergeCell ref="O1:P1"/>
    <mergeCell ref="Q1:R1"/>
    <mergeCell ref="AC1:AD1"/>
    <mergeCell ref="AE1:AF1"/>
    <mergeCell ref="AG1:AH1"/>
    <mergeCell ref="A1:A2"/>
    <mergeCell ref="B1:B2"/>
    <mergeCell ref="C1:C2"/>
    <mergeCell ref="D1:D2"/>
    <mergeCell ref="E1:E2"/>
    <mergeCell ref="F1:F2"/>
    <mergeCell ref="G1:G2"/>
    <mergeCell ref="H1:H2"/>
    <mergeCell ref="S1:T1"/>
    <mergeCell ref="U1:V1"/>
    <mergeCell ref="W1:X1"/>
    <mergeCell ref="Y1:Z1"/>
    <mergeCell ref="AA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1"/>
  <sheetViews>
    <sheetView workbookViewId="0"/>
  </sheetViews>
  <sheetFormatPr defaultRowHeight="14.4" x14ac:dyDescent="0.3"/>
  <cols>
    <col min="1" max="1" width="130" customWidth="1"/>
  </cols>
  <sheetData>
    <row r="1" spans="1:5" ht="15.6" x14ac:dyDescent="0.3">
      <c r="A1" s="7" t="s">
        <v>482</v>
      </c>
      <c r="C1" s="11" t="s">
        <v>0</v>
      </c>
      <c r="D1" s="11" t="s">
        <v>483</v>
      </c>
      <c r="E1" s="11" t="s">
        <v>484</v>
      </c>
    </row>
    <row r="2" spans="1:5" x14ac:dyDescent="0.3">
      <c r="A2" t="s">
        <v>485</v>
      </c>
      <c r="C2" s="12">
        <v>1</v>
      </c>
      <c r="D2" s="12">
        <v>1</v>
      </c>
      <c r="E2" s="12"/>
    </row>
    <row r="3" spans="1:5" x14ac:dyDescent="0.3">
      <c r="A3" s="8" t="s">
        <v>486</v>
      </c>
      <c r="C3" s="12">
        <v>31</v>
      </c>
      <c r="D3" s="12">
        <v>1</v>
      </c>
      <c r="E3" s="12"/>
    </row>
    <row r="4" spans="1:5" x14ac:dyDescent="0.3">
      <c r="A4" s="8" t="s">
        <v>487</v>
      </c>
      <c r="C4" s="12">
        <v>32</v>
      </c>
      <c r="D4" s="12">
        <v>1</v>
      </c>
      <c r="E4" s="12"/>
    </row>
    <row r="5" spans="1:5" x14ac:dyDescent="0.3">
      <c r="A5" s="8" t="s">
        <v>488</v>
      </c>
      <c r="C5" s="12">
        <v>33</v>
      </c>
      <c r="D5" s="12">
        <v>1</v>
      </c>
      <c r="E5" s="12"/>
    </row>
    <row r="6" spans="1:5" x14ac:dyDescent="0.3">
      <c r="A6" s="8" t="s">
        <v>489</v>
      </c>
      <c r="C6" s="12">
        <v>5</v>
      </c>
      <c r="D6" s="12">
        <v>1</v>
      </c>
      <c r="E6" s="12"/>
    </row>
    <row r="7" spans="1:5" x14ac:dyDescent="0.3">
      <c r="A7" s="8" t="s">
        <v>490</v>
      </c>
      <c r="C7" s="12">
        <v>34</v>
      </c>
      <c r="D7" s="12">
        <v>1</v>
      </c>
      <c r="E7" s="12"/>
    </row>
    <row r="8" spans="1:5" x14ac:dyDescent="0.3">
      <c r="A8" s="8" t="s">
        <v>491</v>
      </c>
      <c r="C8" s="12">
        <v>35</v>
      </c>
      <c r="D8" s="12">
        <v>1</v>
      </c>
      <c r="E8" s="12"/>
    </row>
    <row r="9" spans="1:5" x14ac:dyDescent="0.3">
      <c r="A9" s="8" t="s">
        <v>492</v>
      </c>
      <c r="C9" s="12">
        <v>36</v>
      </c>
      <c r="D9" s="12">
        <v>1</v>
      </c>
      <c r="E9" s="12"/>
    </row>
    <row r="10" spans="1:5" x14ac:dyDescent="0.3">
      <c r="A10" s="8" t="s">
        <v>493</v>
      </c>
      <c r="C10" s="12">
        <v>37</v>
      </c>
      <c r="D10" s="12">
        <v>1</v>
      </c>
      <c r="E10" s="12"/>
    </row>
    <row r="11" spans="1:5" x14ac:dyDescent="0.3">
      <c r="A11" t="s">
        <v>494</v>
      </c>
      <c r="C11" s="12">
        <v>3</v>
      </c>
      <c r="D11" s="12">
        <v>1</v>
      </c>
      <c r="E11" s="12"/>
    </row>
    <row r="12" spans="1:5" x14ac:dyDescent="0.3">
      <c r="C12" s="12">
        <v>4</v>
      </c>
      <c r="D12" s="12">
        <v>1</v>
      </c>
      <c r="E12" s="12"/>
    </row>
    <row r="13" spans="1:5" x14ac:dyDescent="0.3">
      <c r="C13" s="12">
        <v>8</v>
      </c>
      <c r="D13" s="12">
        <v>1</v>
      </c>
      <c r="E13" s="12"/>
    </row>
    <row r="14" spans="1:5" x14ac:dyDescent="0.3">
      <c r="C14" s="12">
        <v>38</v>
      </c>
      <c r="D14" s="12">
        <v>1</v>
      </c>
      <c r="E14" s="12"/>
    </row>
    <row r="15" spans="1:5" x14ac:dyDescent="0.3">
      <c r="C15" s="12">
        <v>39</v>
      </c>
      <c r="D15" s="12">
        <v>1</v>
      </c>
      <c r="E15" s="12"/>
    </row>
    <row r="16" spans="1:5" x14ac:dyDescent="0.3">
      <c r="C16" s="12">
        <v>40</v>
      </c>
      <c r="D16" s="12">
        <v>1</v>
      </c>
      <c r="E16" s="12"/>
    </row>
    <row r="17" spans="3:5" x14ac:dyDescent="0.3">
      <c r="C17" s="12">
        <v>41</v>
      </c>
      <c r="D17" s="12">
        <v>2</v>
      </c>
      <c r="E17" s="12"/>
    </row>
    <row r="18" spans="3:5" x14ac:dyDescent="0.3">
      <c r="C18" s="12">
        <v>42</v>
      </c>
      <c r="D18" s="12">
        <v>2</v>
      </c>
      <c r="E18" s="12"/>
    </row>
    <row r="19" spans="3:5" x14ac:dyDescent="0.3">
      <c r="C19" s="12">
        <v>6</v>
      </c>
      <c r="D19" s="12">
        <v>1</v>
      </c>
      <c r="E19" s="12"/>
    </row>
    <row r="20" spans="3:5" x14ac:dyDescent="0.3">
      <c r="C20" s="12">
        <v>43</v>
      </c>
      <c r="D20" s="12">
        <v>2</v>
      </c>
      <c r="E20" s="12"/>
    </row>
    <row r="21" spans="3:5" x14ac:dyDescent="0.3">
      <c r="C21" s="12">
        <v>44</v>
      </c>
      <c r="D21" s="12">
        <v>2</v>
      </c>
      <c r="E21" s="12"/>
    </row>
    <row r="22" spans="3:5" x14ac:dyDescent="0.3">
      <c r="C22" s="12">
        <v>45</v>
      </c>
      <c r="D22" s="12">
        <v>2</v>
      </c>
      <c r="E22" s="12"/>
    </row>
    <row r="23" spans="3:5" x14ac:dyDescent="0.3">
      <c r="C23" s="12">
        <v>46</v>
      </c>
      <c r="D23" s="12">
        <v>3</v>
      </c>
      <c r="E23" s="12" t="s">
        <v>495</v>
      </c>
    </row>
    <row r="24" spans="3:5" x14ac:dyDescent="0.3">
      <c r="C24" s="12">
        <v>47</v>
      </c>
      <c r="D24" s="12">
        <v>2</v>
      </c>
      <c r="E24" s="12"/>
    </row>
    <row r="25" spans="3:5" x14ac:dyDescent="0.3">
      <c r="C25" s="12">
        <v>48</v>
      </c>
      <c r="D25" s="12">
        <v>3</v>
      </c>
      <c r="E25" s="12" t="s">
        <v>495</v>
      </c>
    </row>
    <row r="26" spans="3:5" x14ac:dyDescent="0.3">
      <c r="C26" s="12">
        <v>49</v>
      </c>
      <c r="D26" s="12">
        <v>1</v>
      </c>
      <c r="E26" s="12"/>
    </row>
    <row r="27" spans="3:5" x14ac:dyDescent="0.3">
      <c r="C27" s="12">
        <v>50</v>
      </c>
      <c r="D27" s="12">
        <v>1</v>
      </c>
      <c r="E27" s="12"/>
    </row>
    <row r="28" spans="3:5" x14ac:dyDescent="0.3">
      <c r="C28" s="12">
        <v>51</v>
      </c>
      <c r="D28" s="12">
        <v>1</v>
      </c>
      <c r="E28" s="12"/>
    </row>
    <row r="29" spans="3:5" x14ac:dyDescent="0.3">
      <c r="C29" s="12">
        <v>52</v>
      </c>
      <c r="D29" s="12">
        <v>1</v>
      </c>
      <c r="E29" s="12"/>
    </row>
    <row r="30" spans="3:5" x14ac:dyDescent="0.3">
      <c r="C30" s="12">
        <v>53</v>
      </c>
      <c r="D30" s="12">
        <v>2</v>
      </c>
      <c r="E30" s="12"/>
    </row>
    <row r="31" spans="3:5" x14ac:dyDescent="0.3">
      <c r="C31" s="12">
        <v>54</v>
      </c>
      <c r="D31" s="12">
        <v>1</v>
      </c>
      <c r="E31" s="12"/>
    </row>
    <row r="32" spans="3:5" x14ac:dyDescent="0.3">
      <c r="C32" s="12">
        <v>55</v>
      </c>
      <c r="D32" s="12">
        <v>1</v>
      </c>
      <c r="E32" s="12"/>
    </row>
    <row r="33" spans="3:5" x14ac:dyDescent="0.3">
      <c r="C33" s="12">
        <v>56</v>
      </c>
      <c r="D33" s="12">
        <v>2</v>
      </c>
      <c r="E33" s="12"/>
    </row>
    <row r="34" spans="3:5" x14ac:dyDescent="0.3">
      <c r="C34" s="12">
        <v>57</v>
      </c>
      <c r="D34" s="12">
        <v>2</v>
      </c>
      <c r="E34" s="12"/>
    </row>
    <row r="35" spans="3:5" x14ac:dyDescent="0.3">
      <c r="C35" s="12">
        <v>58</v>
      </c>
      <c r="D35" s="12">
        <v>1</v>
      </c>
      <c r="E35" s="12"/>
    </row>
    <row r="36" spans="3:5" x14ac:dyDescent="0.3">
      <c r="C36" s="12">
        <v>59</v>
      </c>
      <c r="D36" s="12">
        <v>2</v>
      </c>
      <c r="E36" s="12"/>
    </row>
    <row r="37" spans="3:5" x14ac:dyDescent="0.3">
      <c r="C37" s="12">
        <v>60</v>
      </c>
      <c r="D37" s="12">
        <v>1</v>
      </c>
      <c r="E37" s="12"/>
    </row>
    <row r="38" spans="3:5" x14ac:dyDescent="0.3">
      <c r="C38" s="12">
        <v>61</v>
      </c>
      <c r="D38" s="12">
        <v>1</v>
      </c>
      <c r="E38" s="12"/>
    </row>
    <row r="39" spans="3:5" x14ac:dyDescent="0.3">
      <c r="C39" s="12">
        <v>62</v>
      </c>
      <c r="D39" s="12">
        <v>2</v>
      </c>
      <c r="E39" s="12"/>
    </row>
    <row r="40" spans="3:5" x14ac:dyDescent="0.3">
      <c r="C40" s="12">
        <v>63</v>
      </c>
      <c r="D40" s="12">
        <v>3</v>
      </c>
      <c r="E40" s="12" t="s">
        <v>495</v>
      </c>
    </row>
    <row r="41" spans="3:5" x14ac:dyDescent="0.3">
      <c r="C41" s="12">
        <v>64</v>
      </c>
      <c r="D41" s="12">
        <v>1</v>
      </c>
      <c r="E41" s="12"/>
    </row>
    <row r="42" spans="3:5" x14ac:dyDescent="0.3">
      <c r="C42" s="12">
        <v>65</v>
      </c>
      <c r="D42" s="12">
        <v>1</v>
      </c>
      <c r="E42" s="12"/>
    </row>
    <row r="43" spans="3:5" x14ac:dyDescent="0.3">
      <c r="C43" s="12">
        <v>66</v>
      </c>
      <c r="D43" s="12">
        <v>1</v>
      </c>
      <c r="E43" s="12"/>
    </row>
    <row r="44" spans="3:5" x14ac:dyDescent="0.3">
      <c r="C44" s="12">
        <v>67</v>
      </c>
      <c r="D44" s="12">
        <v>1</v>
      </c>
      <c r="E44" s="12"/>
    </row>
    <row r="45" spans="3:5" x14ac:dyDescent="0.3">
      <c r="C45" s="12">
        <v>68</v>
      </c>
      <c r="D45" s="12">
        <v>1</v>
      </c>
      <c r="E45" s="12"/>
    </row>
    <row r="46" spans="3:5" x14ac:dyDescent="0.3">
      <c r="C46" s="12">
        <v>9</v>
      </c>
      <c r="D46" s="12">
        <v>2</v>
      </c>
      <c r="E46" s="12"/>
    </row>
    <row r="47" spans="3:5" x14ac:dyDescent="0.3">
      <c r="C47" s="12">
        <v>10</v>
      </c>
      <c r="D47" s="12">
        <v>3</v>
      </c>
      <c r="E47" s="12" t="s">
        <v>495</v>
      </c>
    </row>
    <row r="48" spans="3:5" x14ac:dyDescent="0.3">
      <c r="C48" s="12">
        <v>69</v>
      </c>
      <c r="D48" s="12">
        <v>1</v>
      </c>
      <c r="E48" s="12"/>
    </row>
    <row r="49" spans="3:5" x14ac:dyDescent="0.3">
      <c r="C49" s="12">
        <v>70</v>
      </c>
      <c r="D49" s="12">
        <v>2</v>
      </c>
      <c r="E49" s="12"/>
    </row>
    <row r="50" spans="3:5" x14ac:dyDescent="0.3">
      <c r="C50" s="12">
        <v>71</v>
      </c>
      <c r="D50" s="12">
        <v>2</v>
      </c>
      <c r="E50" s="12"/>
    </row>
    <row r="51" spans="3:5" x14ac:dyDescent="0.3">
      <c r="C51" s="12">
        <v>72</v>
      </c>
      <c r="D51" s="12">
        <v>1</v>
      </c>
      <c r="E51" s="12"/>
    </row>
    <row r="52" spans="3:5" x14ac:dyDescent="0.3">
      <c r="C52" s="12">
        <v>73</v>
      </c>
      <c r="D52" s="12">
        <v>1</v>
      </c>
      <c r="E52" s="12"/>
    </row>
    <row r="53" spans="3:5" x14ac:dyDescent="0.3">
      <c r="C53" s="12">
        <v>74</v>
      </c>
      <c r="D53" s="12">
        <v>2</v>
      </c>
      <c r="E53" s="12"/>
    </row>
    <row r="54" spans="3:5" x14ac:dyDescent="0.3">
      <c r="C54" s="12">
        <v>75</v>
      </c>
      <c r="D54" s="12">
        <v>2</v>
      </c>
      <c r="E54" s="12"/>
    </row>
    <row r="55" spans="3:5" x14ac:dyDescent="0.3">
      <c r="C55" s="12">
        <v>76</v>
      </c>
      <c r="D55" s="12">
        <v>2</v>
      </c>
      <c r="E55" s="12"/>
    </row>
    <row r="56" spans="3:5" x14ac:dyDescent="0.3">
      <c r="C56" s="12">
        <v>77</v>
      </c>
      <c r="D56" s="12">
        <v>3</v>
      </c>
      <c r="E56" s="12" t="s">
        <v>495</v>
      </c>
    </row>
    <row r="57" spans="3:5" x14ac:dyDescent="0.3">
      <c r="C57" s="12">
        <v>78</v>
      </c>
      <c r="D57" s="12">
        <v>2</v>
      </c>
      <c r="E57" s="12"/>
    </row>
    <row r="58" spans="3:5" x14ac:dyDescent="0.3">
      <c r="C58" s="12">
        <v>79</v>
      </c>
      <c r="D58" s="12">
        <v>2</v>
      </c>
      <c r="E58" s="12"/>
    </row>
    <row r="59" spans="3:5" x14ac:dyDescent="0.3">
      <c r="C59" s="12">
        <v>80</v>
      </c>
      <c r="D59" s="12">
        <v>3</v>
      </c>
      <c r="E59" s="12" t="s">
        <v>495</v>
      </c>
    </row>
    <row r="60" spans="3:5" x14ac:dyDescent="0.3">
      <c r="C60" s="12">
        <v>81</v>
      </c>
      <c r="D60" s="12">
        <v>2</v>
      </c>
      <c r="E60" s="12"/>
    </row>
    <row r="61" spans="3:5" x14ac:dyDescent="0.3">
      <c r="C61" s="12">
        <v>82</v>
      </c>
      <c r="D61" s="12">
        <v>2</v>
      </c>
      <c r="E61" s="12"/>
    </row>
    <row r="62" spans="3:5" x14ac:dyDescent="0.3">
      <c r="C62" s="12">
        <v>83</v>
      </c>
      <c r="D62" s="12">
        <v>1</v>
      </c>
      <c r="E62" s="12"/>
    </row>
    <row r="63" spans="3:5" x14ac:dyDescent="0.3">
      <c r="C63" s="12">
        <v>84</v>
      </c>
      <c r="D63" s="12">
        <v>1</v>
      </c>
      <c r="E63" s="12"/>
    </row>
    <row r="64" spans="3:5" x14ac:dyDescent="0.3">
      <c r="C64" s="12">
        <v>85</v>
      </c>
      <c r="D64" s="12">
        <v>1</v>
      </c>
      <c r="E64" s="12"/>
    </row>
    <row r="65" spans="3:5" x14ac:dyDescent="0.3">
      <c r="C65" s="12">
        <v>86</v>
      </c>
      <c r="D65" s="12">
        <v>3</v>
      </c>
      <c r="E65" s="12" t="s">
        <v>495</v>
      </c>
    </row>
    <row r="66" spans="3:5" x14ac:dyDescent="0.3">
      <c r="C66" s="12">
        <v>87</v>
      </c>
      <c r="D66" s="12">
        <v>2</v>
      </c>
      <c r="E66" s="12"/>
    </row>
    <row r="67" spans="3:5" x14ac:dyDescent="0.3">
      <c r="C67" s="12">
        <v>88</v>
      </c>
      <c r="D67" s="12">
        <v>1</v>
      </c>
      <c r="E67" s="12"/>
    </row>
    <row r="68" spans="3:5" x14ac:dyDescent="0.3">
      <c r="C68" s="12">
        <v>89</v>
      </c>
      <c r="D68" s="12">
        <v>2</v>
      </c>
      <c r="E68" s="12"/>
    </row>
    <row r="69" spans="3:5" x14ac:dyDescent="0.3">
      <c r="C69" s="12">
        <v>90</v>
      </c>
      <c r="D69" s="12">
        <v>2</v>
      </c>
      <c r="E69" s="12"/>
    </row>
    <row r="70" spans="3:5" x14ac:dyDescent="0.3">
      <c r="C70" s="12">
        <v>91</v>
      </c>
      <c r="D70" s="12">
        <v>2</v>
      </c>
      <c r="E70" s="12"/>
    </row>
    <row r="71" spans="3:5" x14ac:dyDescent="0.3">
      <c r="C71" s="12">
        <v>92</v>
      </c>
      <c r="D71" s="12">
        <v>3</v>
      </c>
      <c r="E71" s="12" t="s">
        <v>495</v>
      </c>
    </row>
    <row r="72" spans="3:5" x14ac:dyDescent="0.3">
      <c r="C72" s="12">
        <v>93</v>
      </c>
      <c r="D72" s="12">
        <v>2</v>
      </c>
      <c r="E72" s="12"/>
    </row>
    <row r="73" spans="3:5" x14ac:dyDescent="0.3">
      <c r="C73" s="12">
        <v>94</v>
      </c>
      <c r="D73" s="12">
        <v>3</v>
      </c>
      <c r="E73" s="12" t="s">
        <v>495</v>
      </c>
    </row>
    <row r="74" spans="3:5" x14ac:dyDescent="0.3">
      <c r="C74" s="12">
        <v>95</v>
      </c>
      <c r="D74" s="12">
        <v>2</v>
      </c>
      <c r="E74" s="12"/>
    </row>
    <row r="75" spans="3:5" x14ac:dyDescent="0.3">
      <c r="C75" s="12">
        <v>96</v>
      </c>
      <c r="D75" s="12">
        <v>2</v>
      </c>
      <c r="E75" s="12"/>
    </row>
    <row r="76" spans="3:5" x14ac:dyDescent="0.3">
      <c r="C76" s="12">
        <v>97</v>
      </c>
      <c r="D76" s="12">
        <v>1</v>
      </c>
      <c r="E76" s="12"/>
    </row>
    <row r="77" spans="3:5" x14ac:dyDescent="0.3">
      <c r="C77" s="12">
        <v>98</v>
      </c>
      <c r="D77" s="12">
        <v>2</v>
      </c>
      <c r="E77" s="12"/>
    </row>
    <row r="78" spans="3:5" x14ac:dyDescent="0.3">
      <c r="C78" s="12">
        <v>99</v>
      </c>
      <c r="D78" s="12">
        <v>2</v>
      </c>
      <c r="E78" s="12"/>
    </row>
    <row r="79" spans="3:5" x14ac:dyDescent="0.3">
      <c r="C79" s="12">
        <v>100</v>
      </c>
      <c r="D79" s="12">
        <v>1</v>
      </c>
      <c r="E79" s="12"/>
    </row>
    <row r="80" spans="3:5" x14ac:dyDescent="0.3">
      <c r="C80" s="12">
        <v>101</v>
      </c>
      <c r="D80" s="12">
        <v>3</v>
      </c>
      <c r="E80" s="12" t="s">
        <v>495</v>
      </c>
    </row>
    <row r="81" spans="3:5" x14ac:dyDescent="0.3">
      <c r="C81" s="12">
        <v>102</v>
      </c>
      <c r="D81" s="12">
        <v>2</v>
      </c>
      <c r="E81" s="12"/>
    </row>
    <row r="82" spans="3:5" x14ac:dyDescent="0.3">
      <c r="C82" s="12">
        <v>103</v>
      </c>
      <c r="D82" s="12">
        <v>3</v>
      </c>
      <c r="E82" s="12" t="s">
        <v>495</v>
      </c>
    </row>
    <row r="83" spans="3:5" x14ac:dyDescent="0.3">
      <c r="C83" s="12">
        <v>104</v>
      </c>
      <c r="D83" s="12">
        <v>1</v>
      </c>
      <c r="E83" s="12"/>
    </row>
    <row r="84" spans="3:5" x14ac:dyDescent="0.3">
      <c r="C84" s="12">
        <v>105</v>
      </c>
      <c r="D84" s="12">
        <v>3</v>
      </c>
      <c r="E84" s="12" t="s">
        <v>495</v>
      </c>
    </row>
    <row r="85" spans="3:5" x14ac:dyDescent="0.3">
      <c r="C85" s="12">
        <v>106</v>
      </c>
      <c r="D85" s="12">
        <v>3</v>
      </c>
      <c r="E85" s="12" t="s">
        <v>495</v>
      </c>
    </row>
    <row r="86" spans="3:5" x14ac:dyDescent="0.3">
      <c r="C86" s="12">
        <v>107</v>
      </c>
      <c r="D86" s="12">
        <v>2</v>
      </c>
      <c r="E86" s="12"/>
    </row>
    <row r="87" spans="3:5" x14ac:dyDescent="0.3">
      <c r="C87" s="12">
        <v>108</v>
      </c>
      <c r="D87" s="12">
        <v>1</v>
      </c>
      <c r="E87" s="12"/>
    </row>
    <row r="88" spans="3:5" x14ac:dyDescent="0.3">
      <c r="C88" s="12">
        <v>109</v>
      </c>
      <c r="D88" s="12">
        <v>2</v>
      </c>
      <c r="E88" s="12"/>
    </row>
    <row r="89" spans="3:5" x14ac:dyDescent="0.3">
      <c r="C89" s="12">
        <v>110</v>
      </c>
      <c r="D89" s="12">
        <v>2</v>
      </c>
      <c r="E89" s="12"/>
    </row>
    <row r="90" spans="3:5" x14ac:dyDescent="0.3">
      <c r="C90" s="12">
        <v>111</v>
      </c>
      <c r="D90" s="12">
        <v>2</v>
      </c>
      <c r="E90" s="12"/>
    </row>
    <row r="91" spans="3:5" x14ac:dyDescent="0.3">
      <c r="C91" s="12">
        <v>112</v>
      </c>
      <c r="D91" s="12">
        <v>2</v>
      </c>
      <c r="E91" s="12"/>
    </row>
    <row r="92" spans="3:5" x14ac:dyDescent="0.3">
      <c r="C92" s="12">
        <v>113</v>
      </c>
      <c r="D92" s="12">
        <v>1</v>
      </c>
      <c r="E92" s="12"/>
    </row>
    <row r="93" spans="3:5" x14ac:dyDescent="0.3">
      <c r="C93" s="12">
        <v>114</v>
      </c>
      <c r="D93" s="12">
        <v>3</v>
      </c>
      <c r="E93" s="12" t="s">
        <v>495</v>
      </c>
    </row>
    <row r="94" spans="3:5" x14ac:dyDescent="0.3">
      <c r="C94" s="12">
        <v>115</v>
      </c>
      <c r="D94" s="12">
        <v>1</v>
      </c>
      <c r="E94" s="12"/>
    </row>
    <row r="95" spans="3:5" x14ac:dyDescent="0.3">
      <c r="C95" s="12">
        <v>116</v>
      </c>
      <c r="D95" s="12">
        <v>2</v>
      </c>
      <c r="E95" s="12"/>
    </row>
    <row r="96" spans="3:5" x14ac:dyDescent="0.3">
      <c r="C96" s="12">
        <v>117</v>
      </c>
      <c r="D96" s="12">
        <v>2</v>
      </c>
      <c r="E96" s="12"/>
    </row>
    <row r="97" spans="3:5" x14ac:dyDescent="0.3">
      <c r="C97" s="12">
        <v>118</v>
      </c>
      <c r="D97" s="12">
        <v>2</v>
      </c>
      <c r="E97" s="12"/>
    </row>
    <row r="98" spans="3:5" x14ac:dyDescent="0.3">
      <c r="C98" s="12">
        <v>119</v>
      </c>
      <c r="D98" s="12">
        <v>2</v>
      </c>
      <c r="E98" s="12"/>
    </row>
    <row r="99" spans="3:5" x14ac:dyDescent="0.3">
      <c r="C99" s="12">
        <v>120</v>
      </c>
      <c r="D99" s="12">
        <v>2</v>
      </c>
      <c r="E99" s="12"/>
    </row>
    <row r="100" spans="3:5" x14ac:dyDescent="0.3">
      <c r="C100" s="12">
        <v>121</v>
      </c>
      <c r="D100" s="12">
        <v>2</v>
      </c>
      <c r="E100" s="12"/>
    </row>
    <row r="101" spans="3:5" x14ac:dyDescent="0.3">
      <c r="C101" s="12">
        <v>122</v>
      </c>
      <c r="D101" s="12">
        <v>3</v>
      </c>
      <c r="E101" s="12" t="s">
        <v>495</v>
      </c>
    </row>
    <row r="102" spans="3:5" x14ac:dyDescent="0.3">
      <c r="C102" s="12">
        <v>236</v>
      </c>
      <c r="D102" s="12">
        <v>1</v>
      </c>
      <c r="E102" s="12"/>
    </row>
    <row r="103" spans="3:5" x14ac:dyDescent="0.3">
      <c r="C103" s="12">
        <v>237</v>
      </c>
      <c r="D103" s="12">
        <v>2</v>
      </c>
      <c r="E103" s="12"/>
    </row>
    <row r="104" spans="3:5" x14ac:dyDescent="0.3">
      <c r="C104" s="12">
        <v>238</v>
      </c>
      <c r="D104" s="12">
        <v>2</v>
      </c>
      <c r="E104" s="12"/>
    </row>
    <row r="105" spans="3:5" x14ac:dyDescent="0.3">
      <c r="C105" s="12">
        <v>239</v>
      </c>
      <c r="D105" s="12">
        <v>3</v>
      </c>
      <c r="E105" s="12" t="s">
        <v>495</v>
      </c>
    </row>
    <row r="106" spans="3:5" x14ac:dyDescent="0.3">
      <c r="C106" s="12">
        <v>240</v>
      </c>
      <c r="D106" s="12">
        <v>2</v>
      </c>
      <c r="E106" s="12"/>
    </row>
    <row r="107" spans="3:5" x14ac:dyDescent="0.3">
      <c r="C107" s="12">
        <v>241</v>
      </c>
      <c r="D107" s="12">
        <v>2</v>
      </c>
      <c r="E107" s="12"/>
    </row>
    <row r="108" spans="3:5" x14ac:dyDescent="0.3">
      <c r="C108" s="12">
        <v>242</v>
      </c>
      <c r="D108" s="12">
        <v>2</v>
      </c>
      <c r="E108" s="12"/>
    </row>
    <row r="109" spans="3:5" x14ac:dyDescent="0.3">
      <c r="C109" s="12">
        <v>243</v>
      </c>
      <c r="D109" s="12">
        <v>3</v>
      </c>
      <c r="E109" s="12" t="s">
        <v>495</v>
      </c>
    </row>
    <row r="110" spans="3:5" x14ac:dyDescent="0.3">
      <c r="C110" s="12">
        <v>244</v>
      </c>
      <c r="D110" s="12">
        <v>2</v>
      </c>
      <c r="E110" s="12"/>
    </row>
    <row r="111" spans="3:5" x14ac:dyDescent="0.3">
      <c r="C111" s="12">
        <v>245</v>
      </c>
      <c r="D111" s="12">
        <v>3</v>
      </c>
      <c r="E111" s="12" t="s">
        <v>495</v>
      </c>
    </row>
    <row r="112" spans="3:5" x14ac:dyDescent="0.3">
      <c r="C112" s="12">
        <v>246</v>
      </c>
      <c r="D112" s="12">
        <v>2</v>
      </c>
      <c r="E112" s="12"/>
    </row>
    <row r="113" spans="3:5" x14ac:dyDescent="0.3">
      <c r="C113" s="12">
        <v>247</v>
      </c>
      <c r="D113" s="12">
        <v>3</v>
      </c>
      <c r="E113" s="12" t="s">
        <v>495</v>
      </c>
    </row>
    <row r="114" spans="3:5" x14ac:dyDescent="0.3">
      <c r="C114" s="12">
        <v>248</v>
      </c>
      <c r="D114" s="12">
        <v>3</v>
      </c>
      <c r="E114" s="12" t="s">
        <v>495</v>
      </c>
    </row>
    <row r="115" spans="3:5" x14ac:dyDescent="0.3">
      <c r="C115" s="12">
        <v>249</v>
      </c>
      <c r="D115" s="12">
        <v>3</v>
      </c>
      <c r="E115" s="12" t="s">
        <v>495</v>
      </c>
    </row>
    <row r="116" spans="3:5" x14ac:dyDescent="0.3">
      <c r="C116" s="12">
        <v>250</v>
      </c>
      <c r="D116" s="12">
        <v>3</v>
      </c>
      <c r="E116" s="12" t="s">
        <v>495</v>
      </c>
    </row>
    <row r="117" spans="3:5" x14ac:dyDescent="0.3">
      <c r="C117" s="12">
        <v>251</v>
      </c>
      <c r="D117" s="12">
        <v>3</v>
      </c>
      <c r="E117" s="12" t="s">
        <v>495</v>
      </c>
    </row>
    <row r="118" spans="3:5" x14ac:dyDescent="0.3">
      <c r="C118" s="12">
        <v>252</v>
      </c>
      <c r="D118" s="12">
        <v>3</v>
      </c>
      <c r="E118" s="12" t="s">
        <v>495</v>
      </c>
    </row>
    <row r="119" spans="3:5" x14ac:dyDescent="0.3">
      <c r="C119" s="12">
        <v>253</v>
      </c>
      <c r="D119" s="12">
        <v>3</v>
      </c>
      <c r="E119" s="12" t="s">
        <v>495</v>
      </c>
    </row>
    <row r="120" spans="3:5" x14ac:dyDescent="0.3">
      <c r="C120" s="12">
        <v>254</v>
      </c>
      <c r="D120" s="12">
        <v>3</v>
      </c>
      <c r="E120" s="12" t="s">
        <v>495</v>
      </c>
    </row>
    <row r="121" spans="3:5" x14ac:dyDescent="0.3">
      <c r="C121" s="12">
        <v>255</v>
      </c>
      <c r="D121" s="12">
        <v>3</v>
      </c>
      <c r="E121" s="12" t="s">
        <v>495</v>
      </c>
    </row>
    <row r="122" spans="3:5" x14ac:dyDescent="0.3">
      <c r="C122" s="12">
        <v>256</v>
      </c>
      <c r="D122" s="12">
        <v>3</v>
      </c>
      <c r="E122" s="12" t="s">
        <v>495</v>
      </c>
    </row>
    <row r="123" spans="3:5" x14ac:dyDescent="0.3">
      <c r="C123" s="12">
        <v>257</v>
      </c>
      <c r="D123" s="12">
        <v>3</v>
      </c>
      <c r="E123" s="12" t="s">
        <v>495</v>
      </c>
    </row>
    <row r="124" spans="3:5" x14ac:dyDescent="0.3">
      <c r="C124" s="12">
        <v>258</v>
      </c>
      <c r="D124" s="12">
        <v>3</v>
      </c>
      <c r="E124" s="12" t="s">
        <v>495</v>
      </c>
    </row>
    <row r="125" spans="3:5" x14ac:dyDescent="0.3">
      <c r="C125" s="12">
        <v>259</v>
      </c>
      <c r="D125" s="12">
        <v>3</v>
      </c>
      <c r="E125" s="12" t="s">
        <v>495</v>
      </c>
    </row>
    <row r="126" spans="3:5" x14ac:dyDescent="0.3">
      <c r="C126" s="12">
        <v>260</v>
      </c>
      <c r="D126" s="12">
        <v>3</v>
      </c>
      <c r="E126" s="12" t="s">
        <v>495</v>
      </c>
    </row>
    <row r="127" spans="3:5" x14ac:dyDescent="0.3">
      <c r="C127" s="12">
        <v>261</v>
      </c>
      <c r="D127" s="12">
        <v>3</v>
      </c>
      <c r="E127" s="12" t="s">
        <v>495</v>
      </c>
    </row>
    <row r="128" spans="3:5" x14ac:dyDescent="0.3">
      <c r="C128" s="12">
        <v>13</v>
      </c>
      <c r="D128" s="12">
        <v>1</v>
      </c>
      <c r="E128" s="12"/>
    </row>
    <row r="129" spans="3:5" x14ac:dyDescent="0.3">
      <c r="C129" s="12">
        <v>11</v>
      </c>
      <c r="D129" s="12">
        <v>1</v>
      </c>
      <c r="E129" s="12"/>
    </row>
    <row r="130" spans="3:5" x14ac:dyDescent="0.3">
      <c r="C130" s="12">
        <v>14</v>
      </c>
      <c r="D130" s="12">
        <v>1</v>
      </c>
      <c r="E130" s="12"/>
    </row>
    <row r="131" spans="3:5" x14ac:dyDescent="0.3">
      <c r="C131" s="12">
        <v>15</v>
      </c>
      <c r="D131" s="12">
        <v>1</v>
      </c>
      <c r="E131" s="12"/>
    </row>
    <row r="132" spans="3:5" x14ac:dyDescent="0.3">
      <c r="C132" s="12">
        <v>12</v>
      </c>
      <c r="D132" s="12">
        <v>1</v>
      </c>
      <c r="E132" s="12"/>
    </row>
    <row r="133" spans="3:5" x14ac:dyDescent="0.3">
      <c r="C133" s="12">
        <v>16</v>
      </c>
      <c r="D133" s="12">
        <v>1</v>
      </c>
      <c r="E133" s="12"/>
    </row>
    <row r="134" spans="3:5" x14ac:dyDescent="0.3">
      <c r="C134" s="12">
        <v>17</v>
      </c>
      <c r="D134" s="12">
        <v>2</v>
      </c>
      <c r="E134" s="12"/>
    </row>
    <row r="135" spans="3:5" x14ac:dyDescent="0.3">
      <c r="C135" s="12">
        <v>18</v>
      </c>
      <c r="D135" s="12">
        <v>1</v>
      </c>
      <c r="E135" s="12"/>
    </row>
    <row r="136" spans="3:5" x14ac:dyDescent="0.3">
      <c r="C136" s="12">
        <v>123</v>
      </c>
      <c r="D136" s="12">
        <v>1</v>
      </c>
      <c r="E136" s="12"/>
    </row>
    <row r="137" spans="3:5" x14ac:dyDescent="0.3">
      <c r="C137" s="12">
        <v>20</v>
      </c>
      <c r="D137" s="12">
        <v>1</v>
      </c>
      <c r="E137" s="12"/>
    </row>
    <row r="138" spans="3:5" x14ac:dyDescent="0.3">
      <c r="C138" s="12">
        <v>124</v>
      </c>
      <c r="D138" s="12">
        <v>2</v>
      </c>
      <c r="E138" s="12"/>
    </row>
    <row r="139" spans="3:5" x14ac:dyDescent="0.3">
      <c r="C139" s="12">
        <v>19</v>
      </c>
      <c r="D139" s="12">
        <v>1</v>
      </c>
      <c r="E139" s="12"/>
    </row>
    <row r="140" spans="3:5" x14ac:dyDescent="0.3">
      <c r="C140" s="12">
        <v>125</v>
      </c>
      <c r="D140" s="12">
        <v>2</v>
      </c>
      <c r="E140" s="12"/>
    </row>
    <row r="141" spans="3:5" x14ac:dyDescent="0.3">
      <c r="C141" s="12">
        <v>126</v>
      </c>
      <c r="D141" s="12">
        <v>2</v>
      </c>
      <c r="E141" s="12"/>
    </row>
    <row r="142" spans="3:5" x14ac:dyDescent="0.3">
      <c r="C142" s="12">
        <v>127</v>
      </c>
      <c r="D142" s="12">
        <v>1</v>
      </c>
      <c r="E142" s="12"/>
    </row>
    <row r="143" spans="3:5" x14ac:dyDescent="0.3">
      <c r="C143" s="12">
        <v>128</v>
      </c>
      <c r="D143" s="12">
        <v>2</v>
      </c>
      <c r="E143" s="12"/>
    </row>
    <row r="144" spans="3:5" x14ac:dyDescent="0.3">
      <c r="C144" s="12">
        <v>129</v>
      </c>
      <c r="D144" s="12">
        <v>1</v>
      </c>
      <c r="E144" s="12"/>
    </row>
    <row r="145" spans="3:5" x14ac:dyDescent="0.3">
      <c r="C145" s="12">
        <v>130</v>
      </c>
      <c r="D145" s="12">
        <v>1</v>
      </c>
      <c r="E145" s="12"/>
    </row>
    <row r="146" spans="3:5" x14ac:dyDescent="0.3">
      <c r="C146" s="12">
        <v>131</v>
      </c>
      <c r="D146" s="12">
        <v>1</v>
      </c>
      <c r="E146" s="12"/>
    </row>
    <row r="147" spans="3:5" x14ac:dyDescent="0.3">
      <c r="C147" s="12">
        <v>132</v>
      </c>
      <c r="D147" s="12">
        <v>2</v>
      </c>
      <c r="E147" s="12"/>
    </row>
    <row r="148" spans="3:5" x14ac:dyDescent="0.3">
      <c r="C148" s="12">
        <v>133</v>
      </c>
      <c r="D148" s="12">
        <v>1</v>
      </c>
      <c r="E148" s="12"/>
    </row>
    <row r="149" spans="3:5" x14ac:dyDescent="0.3">
      <c r="C149" s="12">
        <v>134</v>
      </c>
      <c r="D149" s="12">
        <v>2</v>
      </c>
      <c r="E149" s="12"/>
    </row>
    <row r="150" spans="3:5" x14ac:dyDescent="0.3">
      <c r="C150" s="12">
        <v>135</v>
      </c>
      <c r="D150" s="12">
        <v>2</v>
      </c>
      <c r="E150" s="12"/>
    </row>
    <row r="151" spans="3:5" x14ac:dyDescent="0.3">
      <c r="C151" s="12">
        <v>136</v>
      </c>
      <c r="D151" s="12">
        <v>3</v>
      </c>
      <c r="E151" s="12" t="s">
        <v>495</v>
      </c>
    </row>
    <row r="152" spans="3:5" x14ac:dyDescent="0.3">
      <c r="C152" s="12">
        <v>137</v>
      </c>
      <c r="D152" s="12">
        <v>1</v>
      </c>
      <c r="E152" s="12"/>
    </row>
    <row r="153" spans="3:5" x14ac:dyDescent="0.3">
      <c r="C153" s="12">
        <v>138</v>
      </c>
      <c r="D153" s="12">
        <v>1</v>
      </c>
      <c r="E153" s="12"/>
    </row>
    <row r="154" spans="3:5" x14ac:dyDescent="0.3">
      <c r="C154" s="12">
        <v>139</v>
      </c>
      <c r="D154" s="12">
        <v>3</v>
      </c>
      <c r="E154" s="12" t="s">
        <v>495</v>
      </c>
    </row>
    <row r="155" spans="3:5" x14ac:dyDescent="0.3">
      <c r="C155" s="12">
        <v>140</v>
      </c>
      <c r="D155" s="12">
        <v>2</v>
      </c>
      <c r="E155" s="12"/>
    </row>
    <row r="156" spans="3:5" x14ac:dyDescent="0.3">
      <c r="C156" s="12">
        <v>141</v>
      </c>
      <c r="D156" s="12">
        <v>1</v>
      </c>
      <c r="E156" s="12"/>
    </row>
    <row r="157" spans="3:5" x14ac:dyDescent="0.3">
      <c r="C157" s="12">
        <v>142</v>
      </c>
      <c r="D157" s="12">
        <v>2</v>
      </c>
      <c r="E157" s="12"/>
    </row>
    <row r="158" spans="3:5" x14ac:dyDescent="0.3">
      <c r="C158" s="12">
        <v>143</v>
      </c>
      <c r="D158" s="12">
        <v>2</v>
      </c>
      <c r="E158" s="12"/>
    </row>
    <row r="159" spans="3:5" x14ac:dyDescent="0.3">
      <c r="C159" s="12">
        <v>144</v>
      </c>
      <c r="D159" s="12">
        <v>1</v>
      </c>
      <c r="E159" s="12"/>
    </row>
    <row r="160" spans="3:5" x14ac:dyDescent="0.3">
      <c r="C160" s="12">
        <v>145</v>
      </c>
      <c r="D160" s="12">
        <v>2</v>
      </c>
      <c r="E160" s="12"/>
    </row>
    <row r="161" spans="3:5" x14ac:dyDescent="0.3">
      <c r="C161" s="12">
        <v>146</v>
      </c>
      <c r="D161" s="12">
        <v>1</v>
      </c>
      <c r="E161" s="12"/>
    </row>
    <row r="162" spans="3:5" x14ac:dyDescent="0.3">
      <c r="C162" s="12">
        <v>147</v>
      </c>
      <c r="D162" s="12">
        <v>3</v>
      </c>
      <c r="E162" s="12" t="s">
        <v>495</v>
      </c>
    </row>
    <row r="163" spans="3:5" x14ac:dyDescent="0.3">
      <c r="C163" s="12">
        <v>148</v>
      </c>
      <c r="D163" s="12">
        <v>1</v>
      </c>
      <c r="E163" s="12"/>
    </row>
    <row r="164" spans="3:5" x14ac:dyDescent="0.3">
      <c r="C164" s="12">
        <v>149</v>
      </c>
      <c r="D164" s="12">
        <v>3</v>
      </c>
      <c r="E164" s="12" t="s">
        <v>495</v>
      </c>
    </row>
    <row r="165" spans="3:5" x14ac:dyDescent="0.3">
      <c r="C165" s="12">
        <v>150</v>
      </c>
      <c r="D165" s="12">
        <v>3</v>
      </c>
      <c r="E165" s="12" t="s">
        <v>495</v>
      </c>
    </row>
    <row r="166" spans="3:5" x14ac:dyDescent="0.3">
      <c r="C166" s="12">
        <v>151</v>
      </c>
      <c r="D166" s="12">
        <v>3</v>
      </c>
      <c r="E166" s="12" t="s">
        <v>495</v>
      </c>
    </row>
    <row r="167" spans="3:5" x14ac:dyDescent="0.3">
      <c r="C167" s="12">
        <v>152</v>
      </c>
      <c r="D167" s="12">
        <v>3</v>
      </c>
      <c r="E167" s="12" t="s">
        <v>495</v>
      </c>
    </row>
    <row r="168" spans="3:5" x14ac:dyDescent="0.3">
      <c r="C168" s="12">
        <v>153</v>
      </c>
      <c r="D168" s="12">
        <v>2</v>
      </c>
      <c r="E168" s="12"/>
    </row>
    <row r="169" spans="3:5" x14ac:dyDescent="0.3">
      <c r="C169" s="12">
        <v>154</v>
      </c>
      <c r="D169" s="12">
        <v>3</v>
      </c>
      <c r="E169" s="12" t="s">
        <v>495</v>
      </c>
    </row>
    <row r="170" spans="3:5" x14ac:dyDescent="0.3">
      <c r="C170" s="12">
        <v>155</v>
      </c>
      <c r="D170" s="12">
        <v>1</v>
      </c>
      <c r="E170" s="12"/>
    </row>
    <row r="171" spans="3:5" x14ac:dyDescent="0.3">
      <c r="C171" s="12">
        <v>156</v>
      </c>
      <c r="D171" s="12">
        <v>3</v>
      </c>
      <c r="E171" s="12" t="s">
        <v>495</v>
      </c>
    </row>
    <row r="172" spans="3:5" x14ac:dyDescent="0.3">
      <c r="C172" s="12">
        <v>157</v>
      </c>
      <c r="D172" s="12">
        <v>2</v>
      </c>
      <c r="E172" s="12"/>
    </row>
    <row r="173" spans="3:5" x14ac:dyDescent="0.3">
      <c r="C173" s="12">
        <v>158</v>
      </c>
      <c r="D173" s="12">
        <v>3</v>
      </c>
      <c r="E173" s="12" t="s">
        <v>495</v>
      </c>
    </row>
    <row r="174" spans="3:5" x14ac:dyDescent="0.3">
      <c r="C174" s="12">
        <v>159</v>
      </c>
      <c r="D174" s="12">
        <v>2</v>
      </c>
      <c r="E174" s="12"/>
    </row>
    <row r="175" spans="3:5" x14ac:dyDescent="0.3">
      <c r="C175" s="12">
        <v>160</v>
      </c>
      <c r="D175" s="12">
        <v>1</v>
      </c>
      <c r="E175" s="12"/>
    </row>
    <row r="176" spans="3:5" x14ac:dyDescent="0.3">
      <c r="C176" s="12">
        <v>161</v>
      </c>
      <c r="D176" s="12">
        <v>2</v>
      </c>
      <c r="E176" s="12"/>
    </row>
    <row r="177" spans="3:5" x14ac:dyDescent="0.3">
      <c r="C177" s="12">
        <v>162</v>
      </c>
      <c r="D177" s="12">
        <v>2</v>
      </c>
      <c r="E177" s="12"/>
    </row>
    <row r="178" spans="3:5" x14ac:dyDescent="0.3">
      <c r="C178" s="12">
        <v>163</v>
      </c>
      <c r="D178" s="12">
        <v>2</v>
      </c>
      <c r="E178" s="12"/>
    </row>
    <row r="179" spans="3:5" x14ac:dyDescent="0.3">
      <c r="C179" s="12">
        <v>164</v>
      </c>
      <c r="D179" s="12">
        <v>2</v>
      </c>
      <c r="E179" s="12"/>
    </row>
    <row r="180" spans="3:5" x14ac:dyDescent="0.3">
      <c r="C180" s="12">
        <v>165</v>
      </c>
      <c r="D180" s="12">
        <v>2</v>
      </c>
      <c r="E180" s="12"/>
    </row>
    <row r="181" spans="3:5" x14ac:dyDescent="0.3">
      <c r="C181" s="12">
        <v>166</v>
      </c>
      <c r="D181" s="12">
        <v>2</v>
      </c>
      <c r="E181" s="12"/>
    </row>
    <row r="182" spans="3:5" x14ac:dyDescent="0.3">
      <c r="C182" s="12">
        <v>167</v>
      </c>
      <c r="D182" s="12">
        <v>3</v>
      </c>
      <c r="E182" s="12" t="s">
        <v>495</v>
      </c>
    </row>
    <row r="183" spans="3:5" x14ac:dyDescent="0.3">
      <c r="C183" s="12">
        <v>168</v>
      </c>
      <c r="D183" s="12">
        <v>2</v>
      </c>
      <c r="E183" s="12"/>
    </row>
    <row r="184" spans="3:5" x14ac:dyDescent="0.3">
      <c r="C184" s="12">
        <v>169</v>
      </c>
      <c r="D184" s="12">
        <v>2</v>
      </c>
      <c r="E184" s="12"/>
    </row>
    <row r="185" spans="3:5" x14ac:dyDescent="0.3">
      <c r="C185" s="12">
        <v>170</v>
      </c>
      <c r="D185" s="12">
        <v>3</v>
      </c>
      <c r="E185" s="12" t="s">
        <v>495</v>
      </c>
    </row>
    <row r="186" spans="3:5" x14ac:dyDescent="0.3">
      <c r="C186" s="12">
        <v>171</v>
      </c>
      <c r="D186" s="12">
        <v>1</v>
      </c>
      <c r="E186" s="12"/>
    </row>
    <row r="187" spans="3:5" x14ac:dyDescent="0.3">
      <c r="C187" s="12">
        <v>172</v>
      </c>
      <c r="D187" s="12">
        <v>3</v>
      </c>
      <c r="E187" s="12" t="s">
        <v>495</v>
      </c>
    </row>
    <row r="188" spans="3:5" x14ac:dyDescent="0.3">
      <c r="C188" s="12">
        <v>173</v>
      </c>
      <c r="D188" s="12">
        <v>3</v>
      </c>
      <c r="E188" s="12" t="s">
        <v>495</v>
      </c>
    </row>
    <row r="189" spans="3:5" x14ac:dyDescent="0.3">
      <c r="C189" s="12">
        <v>174</v>
      </c>
      <c r="D189" s="12">
        <v>2</v>
      </c>
      <c r="E189" s="12"/>
    </row>
    <row r="190" spans="3:5" x14ac:dyDescent="0.3">
      <c r="C190" s="12">
        <v>175</v>
      </c>
      <c r="D190" s="12">
        <v>3</v>
      </c>
      <c r="E190" s="12" t="s">
        <v>495</v>
      </c>
    </row>
    <row r="191" spans="3:5" x14ac:dyDescent="0.3">
      <c r="C191" s="12">
        <v>176</v>
      </c>
      <c r="D191" s="12">
        <v>1</v>
      </c>
      <c r="E191" s="12"/>
    </row>
    <row r="192" spans="3:5" x14ac:dyDescent="0.3">
      <c r="C192" s="12">
        <v>177</v>
      </c>
      <c r="D192" s="12">
        <v>3</v>
      </c>
      <c r="E192" s="12" t="s">
        <v>495</v>
      </c>
    </row>
    <row r="193" spans="3:5" x14ac:dyDescent="0.3">
      <c r="C193" s="12">
        <v>178</v>
      </c>
      <c r="D193" s="12">
        <v>1</v>
      </c>
      <c r="E193" s="12"/>
    </row>
    <row r="194" spans="3:5" x14ac:dyDescent="0.3">
      <c r="C194" s="12">
        <v>179</v>
      </c>
      <c r="D194" s="12">
        <v>1</v>
      </c>
      <c r="E194" s="12"/>
    </row>
    <row r="195" spans="3:5" x14ac:dyDescent="0.3">
      <c r="C195" s="12">
        <v>180</v>
      </c>
      <c r="D195" s="12">
        <v>2</v>
      </c>
      <c r="E195" s="12"/>
    </row>
    <row r="196" spans="3:5" x14ac:dyDescent="0.3">
      <c r="C196" s="12">
        <v>181</v>
      </c>
      <c r="D196" s="12">
        <v>3</v>
      </c>
      <c r="E196" s="12" t="s">
        <v>495</v>
      </c>
    </row>
    <row r="197" spans="3:5" x14ac:dyDescent="0.3">
      <c r="C197" s="12">
        <v>182</v>
      </c>
      <c r="D197" s="12">
        <v>3</v>
      </c>
      <c r="E197" s="12" t="s">
        <v>495</v>
      </c>
    </row>
    <row r="198" spans="3:5" x14ac:dyDescent="0.3">
      <c r="C198" s="12">
        <v>183</v>
      </c>
      <c r="D198" s="12">
        <v>3</v>
      </c>
      <c r="E198" s="12" t="s">
        <v>495</v>
      </c>
    </row>
    <row r="199" spans="3:5" x14ac:dyDescent="0.3">
      <c r="C199" s="12">
        <v>184</v>
      </c>
      <c r="D199" s="12">
        <v>2</v>
      </c>
      <c r="E199" s="12"/>
    </row>
    <row r="200" spans="3:5" x14ac:dyDescent="0.3">
      <c r="C200" s="12">
        <v>185</v>
      </c>
      <c r="D200" s="12">
        <v>3</v>
      </c>
      <c r="E200" s="12" t="s">
        <v>495</v>
      </c>
    </row>
    <row r="201" spans="3:5" x14ac:dyDescent="0.3">
      <c r="C201" s="12">
        <v>186</v>
      </c>
      <c r="D201" s="12">
        <v>2</v>
      </c>
      <c r="E201" s="12"/>
    </row>
    <row r="202" spans="3:5" x14ac:dyDescent="0.3">
      <c r="C202" s="12">
        <v>187</v>
      </c>
      <c r="D202" s="12">
        <v>3</v>
      </c>
      <c r="E202" s="12" t="s">
        <v>495</v>
      </c>
    </row>
    <row r="203" spans="3:5" x14ac:dyDescent="0.3">
      <c r="C203" s="12">
        <v>188</v>
      </c>
      <c r="D203" s="12">
        <v>1</v>
      </c>
      <c r="E203" s="12"/>
    </row>
    <row r="204" spans="3:5" x14ac:dyDescent="0.3">
      <c r="C204" s="12">
        <v>189</v>
      </c>
      <c r="D204" s="12">
        <v>3</v>
      </c>
      <c r="E204" s="12" t="s">
        <v>495</v>
      </c>
    </row>
    <row r="205" spans="3:5" x14ac:dyDescent="0.3">
      <c r="C205" s="12">
        <v>190</v>
      </c>
      <c r="D205" s="12">
        <v>3</v>
      </c>
      <c r="E205" s="12" t="s">
        <v>495</v>
      </c>
    </row>
    <row r="206" spans="3:5" x14ac:dyDescent="0.3">
      <c r="C206" s="12">
        <v>191</v>
      </c>
      <c r="D206" s="12">
        <v>3</v>
      </c>
      <c r="E206" s="12" t="s">
        <v>495</v>
      </c>
    </row>
    <row r="207" spans="3:5" x14ac:dyDescent="0.3">
      <c r="C207" s="12">
        <v>192</v>
      </c>
      <c r="D207" s="12">
        <v>3</v>
      </c>
      <c r="E207" s="12" t="s">
        <v>495</v>
      </c>
    </row>
    <row r="208" spans="3:5" x14ac:dyDescent="0.3">
      <c r="C208" s="12">
        <v>193</v>
      </c>
      <c r="D208" s="12">
        <v>3</v>
      </c>
      <c r="E208" s="12" t="s">
        <v>495</v>
      </c>
    </row>
    <row r="209" spans="3:5" x14ac:dyDescent="0.3">
      <c r="C209" s="12">
        <v>194</v>
      </c>
      <c r="D209" s="12">
        <v>3</v>
      </c>
      <c r="E209" s="12" t="s">
        <v>495</v>
      </c>
    </row>
    <row r="210" spans="3:5" x14ac:dyDescent="0.3">
      <c r="C210" s="12">
        <v>195</v>
      </c>
      <c r="D210" s="12">
        <v>3</v>
      </c>
      <c r="E210" s="12" t="s">
        <v>495</v>
      </c>
    </row>
    <row r="211" spans="3:5" x14ac:dyDescent="0.3">
      <c r="C211" s="12">
        <v>196</v>
      </c>
      <c r="D211" s="12">
        <v>3</v>
      </c>
      <c r="E211" s="12" t="s">
        <v>495</v>
      </c>
    </row>
    <row r="212" spans="3:5" x14ac:dyDescent="0.3">
      <c r="C212" s="12">
        <v>197</v>
      </c>
      <c r="D212" s="12">
        <v>1</v>
      </c>
      <c r="E212" s="12"/>
    </row>
    <row r="213" spans="3:5" x14ac:dyDescent="0.3">
      <c r="C213" s="12">
        <v>198</v>
      </c>
      <c r="D213" s="12">
        <v>2</v>
      </c>
      <c r="E213" s="12"/>
    </row>
    <row r="214" spans="3:5" x14ac:dyDescent="0.3">
      <c r="C214" s="12">
        <v>199</v>
      </c>
      <c r="D214" s="12">
        <v>3</v>
      </c>
      <c r="E214" s="12" t="s">
        <v>495</v>
      </c>
    </row>
    <row r="215" spans="3:5" x14ac:dyDescent="0.3">
      <c r="C215" s="12">
        <v>200</v>
      </c>
      <c r="D215" s="12">
        <v>3</v>
      </c>
      <c r="E215" s="12" t="s">
        <v>495</v>
      </c>
    </row>
    <row r="216" spans="3:5" x14ac:dyDescent="0.3">
      <c r="C216" s="12">
        <v>201</v>
      </c>
      <c r="D216" s="12">
        <v>2</v>
      </c>
      <c r="E216" s="12"/>
    </row>
    <row r="217" spans="3:5" x14ac:dyDescent="0.3">
      <c r="C217" s="12">
        <v>202</v>
      </c>
      <c r="D217" s="12">
        <v>3</v>
      </c>
      <c r="E217" s="12" t="s">
        <v>495</v>
      </c>
    </row>
    <row r="218" spans="3:5" x14ac:dyDescent="0.3">
      <c r="C218" s="12">
        <v>203</v>
      </c>
      <c r="D218" s="12">
        <v>3</v>
      </c>
      <c r="E218" s="12" t="s">
        <v>495</v>
      </c>
    </row>
    <row r="219" spans="3:5" x14ac:dyDescent="0.3">
      <c r="C219" s="12">
        <v>204</v>
      </c>
      <c r="D219" s="12">
        <v>3</v>
      </c>
      <c r="E219" s="12" t="s">
        <v>495</v>
      </c>
    </row>
    <row r="220" spans="3:5" x14ac:dyDescent="0.3">
      <c r="C220" s="12">
        <v>205</v>
      </c>
      <c r="D220" s="12">
        <v>3</v>
      </c>
      <c r="E220" s="12" t="s">
        <v>495</v>
      </c>
    </row>
    <row r="221" spans="3:5" x14ac:dyDescent="0.3">
      <c r="C221" s="12">
        <v>206</v>
      </c>
      <c r="D221" s="12">
        <v>3</v>
      </c>
      <c r="E221" s="12" t="s">
        <v>495</v>
      </c>
    </row>
    <row r="222" spans="3:5" x14ac:dyDescent="0.3">
      <c r="C222" s="12">
        <v>207</v>
      </c>
      <c r="D222" s="12">
        <v>3</v>
      </c>
      <c r="E222" s="12" t="s">
        <v>495</v>
      </c>
    </row>
    <row r="223" spans="3:5" x14ac:dyDescent="0.3">
      <c r="C223" s="12">
        <v>208</v>
      </c>
      <c r="D223" s="12">
        <v>3</v>
      </c>
      <c r="E223" s="12" t="s">
        <v>495</v>
      </c>
    </row>
    <row r="224" spans="3:5" x14ac:dyDescent="0.3">
      <c r="C224" s="12">
        <v>209</v>
      </c>
      <c r="D224" s="12">
        <v>2</v>
      </c>
      <c r="E224" s="12"/>
    </row>
    <row r="225" spans="3:5" x14ac:dyDescent="0.3">
      <c r="C225" s="12">
        <v>210</v>
      </c>
      <c r="D225" s="12">
        <v>3</v>
      </c>
      <c r="E225" s="12" t="s">
        <v>495</v>
      </c>
    </row>
    <row r="226" spans="3:5" x14ac:dyDescent="0.3">
      <c r="C226" s="12">
        <v>211</v>
      </c>
      <c r="D226" s="12">
        <v>3</v>
      </c>
      <c r="E226" s="12" t="s">
        <v>495</v>
      </c>
    </row>
    <row r="227" spans="3:5" x14ac:dyDescent="0.3">
      <c r="C227" s="12">
        <v>262</v>
      </c>
      <c r="D227" s="12">
        <v>3</v>
      </c>
      <c r="E227" s="12" t="s">
        <v>495</v>
      </c>
    </row>
    <row r="228" spans="3:5" x14ac:dyDescent="0.3">
      <c r="C228" s="12">
        <v>263</v>
      </c>
      <c r="D228" s="12">
        <v>3</v>
      </c>
      <c r="E228" s="12" t="s">
        <v>495</v>
      </c>
    </row>
    <row r="229" spans="3:5" x14ac:dyDescent="0.3">
      <c r="C229" s="12">
        <v>264</v>
      </c>
      <c r="D229" s="12">
        <v>3</v>
      </c>
      <c r="E229" s="12" t="s">
        <v>495</v>
      </c>
    </row>
    <row r="230" spans="3:5" x14ac:dyDescent="0.3">
      <c r="C230" s="12">
        <v>265</v>
      </c>
      <c r="D230" s="12">
        <v>3</v>
      </c>
      <c r="E230" s="12" t="s">
        <v>495</v>
      </c>
    </row>
    <row r="231" spans="3:5" x14ac:dyDescent="0.3">
      <c r="C231" s="12">
        <v>266</v>
      </c>
      <c r="D231" s="12">
        <v>3</v>
      </c>
      <c r="E231" s="12" t="s">
        <v>495</v>
      </c>
    </row>
    <row r="232" spans="3:5" x14ac:dyDescent="0.3">
      <c r="C232" s="12">
        <v>267</v>
      </c>
      <c r="D232" s="12">
        <v>2</v>
      </c>
      <c r="E232" s="12"/>
    </row>
    <row r="233" spans="3:5" x14ac:dyDescent="0.3">
      <c r="C233" s="12">
        <v>268</v>
      </c>
      <c r="D233" s="12">
        <v>3</v>
      </c>
      <c r="E233" s="12" t="s">
        <v>495</v>
      </c>
    </row>
    <row r="234" spans="3:5" x14ac:dyDescent="0.3">
      <c r="C234" s="12">
        <v>269</v>
      </c>
      <c r="D234" s="12">
        <v>3</v>
      </c>
      <c r="E234" s="12" t="s">
        <v>495</v>
      </c>
    </row>
    <row r="235" spans="3:5" x14ac:dyDescent="0.3">
      <c r="C235" s="12">
        <v>270</v>
      </c>
      <c r="D235" s="12">
        <v>2</v>
      </c>
      <c r="E235" s="12"/>
    </row>
    <row r="236" spans="3:5" x14ac:dyDescent="0.3">
      <c r="C236" s="12">
        <v>271</v>
      </c>
      <c r="D236" s="12">
        <v>2</v>
      </c>
      <c r="E236" s="12"/>
    </row>
    <row r="237" spans="3:5" x14ac:dyDescent="0.3">
      <c r="C237" s="12">
        <v>272</v>
      </c>
      <c r="D237" s="12">
        <v>3</v>
      </c>
      <c r="E237" s="12" t="s">
        <v>495</v>
      </c>
    </row>
    <row r="238" spans="3:5" x14ac:dyDescent="0.3">
      <c r="C238" s="12">
        <v>273</v>
      </c>
      <c r="D238" s="12">
        <v>3</v>
      </c>
      <c r="E238" s="12" t="s">
        <v>495</v>
      </c>
    </row>
    <row r="239" spans="3:5" x14ac:dyDescent="0.3">
      <c r="C239" s="12">
        <v>274</v>
      </c>
      <c r="D239" s="12">
        <v>3</v>
      </c>
      <c r="E239" s="12" t="s">
        <v>495</v>
      </c>
    </row>
    <row r="240" spans="3:5" x14ac:dyDescent="0.3">
      <c r="C240" s="12">
        <v>275</v>
      </c>
      <c r="D240" s="12">
        <v>3</v>
      </c>
      <c r="E240" s="12" t="s">
        <v>495</v>
      </c>
    </row>
    <row r="241" spans="3:5" x14ac:dyDescent="0.3">
      <c r="C241" s="12">
        <v>276</v>
      </c>
      <c r="D241" s="12">
        <v>3</v>
      </c>
      <c r="E241" s="12" t="s">
        <v>495</v>
      </c>
    </row>
    <row r="242" spans="3:5" x14ac:dyDescent="0.3">
      <c r="C242" s="12">
        <v>277</v>
      </c>
      <c r="D242" s="12">
        <v>2</v>
      </c>
      <c r="E242" s="12"/>
    </row>
    <row r="243" spans="3:5" x14ac:dyDescent="0.3">
      <c r="C243" s="12">
        <v>278</v>
      </c>
      <c r="D243" s="12">
        <v>3</v>
      </c>
      <c r="E243" s="12" t="s">
        <v>495</v>
      </c>
    </row>
    <row r="244" spans="3:5" x14ac:dyDescent="0.3">
      <c r="C244" s="12">
        <v>279</v>
      </c>
      <c r="D244" s="12">
        <v>3</v>
      </c>
      <c r="E244" s="12" t="s">
        <v>495</v>
      </c>
    </row>
    <row r="245" spans="3:5" x14ac:dyDescent="0.3">
      <c r="C245" s="12">
        <v>280</v>
      </c>
      <c r="D245" s="12">
        <v>3</v>
      </c>
      <c r="E245" s="12" t="s">
        <v>495</v>
      </c>
    </row>
    <row r="246" spans="3:5" x14ac:dyDescent="0.3">
      <c r="C246" s="12">
        <v>281</v>
      </c>
      <c r="D246" s="12">
        <v>3</v>
      </c>
      <c r="E246" s="12" t="s">
        <v>495</v>
      </c>
    </row>
    <row r="247" spans="3:5" x14ac:dyDescent="0.3">
      <c r="C247" s="12">
        <v>282</v>
      </c>
      <c r="D247" s="12">
        <v>3</v>
      </c>
      <c r="E247" s="12" t="s">
        <v>495</v>
      </c>
    </row>
    <row r="248" spans="3:5" x14ac:dyDescent="0.3">
      <c r="C248" s="12">
        <v>283</v>
      </c>
      <c r="D248" s="12">
        <v>3</v>
      </c>
      <c r="E248" s="12" t="s">
        <v>495</v>
      </c>
    </row>
    <row r="249" spans="3:5" x14ac:dyDescent="0.3">
      <c r="C249" s="12">
        <v>284</v>
      </c>
      <c r="D249" s="12">
        <v>3</v>
      </c>
      <c r="E249" s="12" t="s">
        <v>495</v>
      </c>
    </row>
    <row r="250" spans="3:5" x14ac:dyDescent="0.3">
      <c r="C250" s="12">
        <v>285</v>
      </c>
      <c r="D250" s="12">
        <v>3</v>
      </c>
      <c r="E250" s="12" t="s">
        <v>495</v>
      </c>
    </row>
    <row r="251" spans="3:5" x14ac:dyDescent="0.3">
      <c r="C251" s="12">
        <v>286</v>
      </c>
      <c r="D251" s="12">
        <v>3</v>
      </c>
      <c r="E251" s="12" t="s">
        <v>495</v>
      </c>
    </row>
    <row r="252" spans="3:5" x14ac:dyDescent="0.3">
      <c r="C252" s="12">
        <v>287</v>
      </c>
      <c r="D252" s="12">
        <v>2</v>
      </c>
      <c r="E252" s="12"/>
    </row>
    <row r="253" spans="3:5" x14ac:dyDescent="0.3">
      <c r="C253" s="12">
        <v>288</v>
      </c>
      <c r="D253" s="12">
        <v>3</v>
      </c>
      <c r="E253" s="12" t="s">
        <v>495</v>
      </c>
    </row>
    <row r="254" spans="3:5" x14ac:dyDescent="0.3">
      <c r="C254" s="12">
        <v>289</v>
      </c>
      <c r="D254" s="12">
        <v>3</v>
      </c>
      <c r="E254" s="12" t="s">
        <v>495</v>
      </c>
    </row>
    <row r="255" spans="3:5" x14ac:dyDescent="0.3">
      <c r="C255" s="12">
        <v>290</v>
      </c>
      <c r="D255" s="12">
        <v>3</v>
      </c>
      <c r="E255" s="12" t="s">
        <v>495</v>
      </c>
    </row>
    <row r="256" spans="3:5" x14ac:dyDescent="0.3">
      <c r="C256" s="12">
        <v>291</v>
      </c>
      <c r="D256" s="12">
        <v>3</v>
      </c>
      <c r="E256" s="12" t="s">
        <v>495</v>
      </c>
    </row>
    <row r="257" spans="3:5" x14ac:dyDescent="0.3">
      <c r="C257" s="12">
        <v>292</v>
      </c>
      <c r="D257" s="12">
        <v>3</v>
      </c>
      <c r="E257" s="12" t="s">
        <v>495</v>
      </c>
    </row>
    <row r="258" spans="3:5" x14ac:dyDescent="0.3">
      <c r="C258" s="12">
        <v>293</v>
      </c>
      <c r="D258" s="12">
        <v>3</v>
      </c>
      <c r="E258" s="12" t="s">
        <v>495</v>
      </c>
    </row>
    <row r="259" spans="3:5" x14ac:dyDescent="0.3">
      <c r="C259" s="12">
        <v>294</v>
      </c>
      <c r="D259" s="12">
        <v>3</v>
      </c>
      <c r="E259" s="12" t="s">
        <v>495</v>
      </c>
    </row>
    <row r="260" spans="3:5" x14ac:dyDescent="0.3">
      <c r="C260" s="12">
        <v>295</v>
      </c>
      <c r="D260" s="12">
        <v>3</v>
      </c>
      <c r="E260" s="12" t="s">
        <v>495</v>
      </c>
    </row>
    <row r="261" spans="3:5" x14ac:dyDescent="0.3">
      <c r="C261" s="12">
        <v>296</v>
      </c>
      <c r="D261" s="12">
        <v>3</v>
      </c>
      <c r="E261" s="12" t="s">
        <v>495</v>
      </c>
    </row>
    <row r="262" spans="3:5" x14ac:dyDescent="0.3">
      <c r="C262" s="12">
        <v>297</v>
      </c>
      <c r="D262" s="12">
        <v>3</v>
      </c>
      <c r="E262" s="12" t="s">
        <v>495</v>
      </c>
    </row>
    <row r="263" spans="3:5" x14ac:dyDescent="0.3">
      <c r="C263" s="12">
        <v>298</v>
      </c>
      <c r="D263" s="12">
        <v>3</v>
      </c>
      <c r="E263" s="12" t="s">
        <v>495</v>
      </c>
    </row>
    <row r="264" spans="3:5" x14ac:dyDescent="0.3">
      <c r="C264" s="12">
        <v>299</v>
      </c>
      <c r="D264" s="12">
        <v>3</v>
      </c>
      <c r="E264" s="12" t="s">
        <v>495</v>
      </c>
    </row>
    <row r="265" spans="3:5" x14ac:dyDescent="0.3">
      <c r="C265" s="12">
        <v>300</v>
      </c>
      <c r="D265" s="12">
        <v>3</v>
      </c>
      <c r="E265" s="12" t="s">
        <v>495</v>
      </c>
    </row>
    <row r="266" spans="3:5" x14ac:dyDescent="0.3">
      <c r="C266" s="12">
        <v>301</v>
      </c>
      <c r="D266" s="12">
        <v>3</v>
      </c>
      <c r="E266" s="12" t="s">
        <v>495</v>
      </c>
    </row>
    <row r="267" spans="3:5" x14ac:dyDescent="0.3">
      <c r="C267" s="12">
        <v>302</v>
      </c>
      <c r="D267" s="12">
        <v>3</v>
      </c>
      <c r="E267" s="12" t="s">
        <v>495</v>
      </c>
    </row>
    <row r="268" spans="3:5" x14ac:dyDescent="0.3">
      <c r="C268" s="12">
        <v>303</v>
      </c>
      <c r="D268" s="12">
        <v>3</v>
      </c>
      <c r="E268" s="12" t="s">
        <v>495</v>
      </c>
    </row>
    <row r="269" spans="3:5" x14ac:dyDescent="0.3">
      <c r="C269" s="12">
        <v>304</v>
      </c>
      <c r="D269" s="12">
        <v>3</v>
      </c>
      <c r="E269" s="12" t="s">
        <v>495</v>
      </c>
    </row>
    <row r="270" spans="3:5" x14ac:dyDescent="0.3">
      <c r="C270" s="12">
        <v>305</v>
      </c>
      <c r="D270" s="12">
        <v>3</v>
      </c>
      <c r="E270" s="12" t="s">
        <v>495</v>
      </c>
    </row>
    <row r="271" spans="3:5" x14ac:dyDescent="0.3">
      <c r="C271" s="12">
        <v>306</v>
      </c>
      <c r="D271" s="12">
        <v>3</v>
      </c>
      <c r="E271" s="12" t="s">
        <v>495</v>
      </c>
    </row>
    <row r="272" spans="3:5" x14ac:dyDescent="0.3">
      <c r="C272" s="12">
        <v>307</v>
      </c>
      <c r="D272" s="12">
        <v>3</v>
      </c>
      <c r="E272" s="12" t="s">
        <v>495</v>
      </c>
    </row>
    <row r="273" spans="3:5" x14ac:dyDescent="0.3">
      <c r="C273" s="12">
        <v>308</v>
      </c>
      <c r="D273" s="12">
        <v>3</v>
      </c>
      <c r="E273" s="12" t="s">
        <v>495</v>
      </c>
    </row>
    <row r="274" spans="3:5" x14ac:dyDescent="0.3">
      <c r="C274" s="12">
        <v>309</v>
      </c>
      <c r="D274" s="12">
        <v>3</v>
      </c>
      <c r="E274" s="12" t="s">
        <v>495</v>
      </c>
    </row>
    <row r="275" spans="3:5" x14ac:dyDescent="0.3">
      <c r="C275" s="12">
        <v>310</v>
      </c>
      <c r="D275" s="12">
        <v>2</v>
      </c>
      <c r="E275" s="12"/>
    </row>
    <row r="276" spans="3:5" x14ac:dyDescent="0.3">
      <c r="C276" s="12">
        <v>311</v>
      </c>
      <c r="D276" s="12">
        <v>3</v>
      </c>
      <c r="E276" s="12" t="s">
        <v>495</v>
      </c>
    </row>
    <row r="277" spans="3:5" x14ac:dyDescent="0.3">
      <c r="C277" s="12">
        <v>312</v>
      </c>
      <c r="D277" s="12">
        <v>3</v>
      </c>
      <c r="E277" s="12" t="s">
        <v>495</v>
      </c>
    </row>
    <row r="278" spans="3:5" x14ac:dyDescent="0.3">
      <c r="C278" s="12">
        <v>313</v>
      </c>
      <c r="D278" s="12">
        <v>3</v>
      </c>
      <c r="E278" s="12" t="s">
        <v>495</v>
      </c>
    </row>
    <row r="279" spans="3:5" x14ac:dyDescent="0.3">
      <c r="C279" s="12">
        <v>314</v>
      </c>
      <c r="D279" s="12">
        <v>3</v>
      </c>
      <c r="E279" s="12" t="s">
        <v>495</v>
      </c>
    </row>
    <row r="280" spans="3:5" x14ac:dyDescent="0.3">
      <c r="C280" s="12">
        <v>315</v>
      </c>
      <c r="D280" s="12">
        <v>3</v>
      </c>
      <c r="E280" s="12" t="s">
        <v>495</v>
      </c>
    </row>
    <row r="281" spans="3:5" x14ac:dyDescent="0.3">
      <c r="C281" s="12">
        <v>316</v>
      </c>
      <c r="D281" s="12">
        <v>3</v>
      </c>
      <c r="E281" s="12" t="s">
        <v>495</v>
      </c>
    </row>
    <row r="282" spans="3:5" x14ac:dyDescent="0.3">
      <c r="C282" s="12">
        <v>317</v>
      </c>
      <c r="D282" s="12">
        <v>3</v>
      </c>
      <c r="E282" s="12" t="s">
        <v>495</v>
      </c>
    </row>
    <row r="283" spans="3:5" x14ac:dyDescent="0.3">
      <c r="C283" s="12">
        <v>318</v>
      </c>
      <c r="D283" s="12">
        <v>3</v>
      </c>
      <c r="E283" s="12" t="s">
        <v>495</v>
      </c>
    </row>
    <row r="284" spans="3:5" x14ac:dyDescent="0.3">
      <c r="C284" s="12">
        <v>319</v>
      </c>
      <c r="D284" s="12">
        <v>3</v>
      </c>
      <c r="E284" s="12" t="s">
        <v>495</v>
      </c>
    </row>
    <row r="285" spans="3:5" x14ac:dyDescent="0.3">
      <c r="C285" s="12">
        <v>320</v>
      </c>
      <c r="D285" s="12">
        <v>3</v>
      </c>
      <c r="E285" s="12" t="s">
        <v>495</v>
      </c>
    </row>
    <row r="286" spans="3:5" x14ac:dyDescent="0.3">
      <c r="C286" s="12">
        <v>321</v>
      </c>
      <c r="D286" s="12">
        <v>2</v>
      </c>
      <c r="E286" s="12"/>
    </row>
    <row r="287" spans="3:5" x14ac:dyDescent="0.3">
      <c r="C287" s="12">
        <v>322</v>
      </c>
      <c r="D287" s="12">
        <v>3</v>
      </c>
      <c r="E287" s="12" t="s">
        <v>495</v>
      </c>
    </row>
    <row r="288" spans="3:5" x14ac:dyDescent="0.3">
      <c r="C288" s="12">
        <v>212</v>
      </c>
      <c r="D288" s="12">
        <v>1</v>
      </c>
      <c r="E288" s="12"/>
    </row>
    <row r="289" spans="3:5" x14ac:dyDescent="0.3">
      <c r="C289" s="12">
        <v>213</v>
      </c>
      <c r="D289" s="12">
        <v>3</v>
      </c>
      <c r="E289" s="12" t="s">
        <v>495</v>
      </c>
    </row>
    <row r="290" spans="3:5" x14ac:dyDescent="0.3">
      <c r="C290" s="12">
        <v>214</v>
      </c>
      <c r="D290" s="12">
        <v>3</v>
      </c>
      <c r="E290" s="12" t="s">
        <v>495</v>
      </c>
    </row>
    <row r="291" spans="3:5" x14ac:dyDescent="0.3">
      <c r="C291" s="12">
        <v>215</v>
      </c>
      <c r="D291" s="12">
        <v>2</v>
      </c>
      <c r="E291" s="12"/>
    </row>
    <row r="292" spans="3:5" x14ac:dyDescent="0.3">
      <c r="C292" s="12">
        <v>216</v>
      </c>
      <c r="D292" s="12">
        <v>2</v>
      </c>
      <c r="E292" s="12"/>
    </row>
    <row r="293" spans="3:5" x14ac:dyDescent="0.3">
      <c r="C293" s="12">
        <v>217</v>
      </c>
      <c r="D293" s="12">
        <v>2</v>
      </c>
      <c r="E293" s="12"/>
    </row>
    <row r="294" spans="3:5" x14ac:dyDescent="0.3">
      <c r="C294" s="12">
        <v>218</v>
      </c>
      <c r="D294" s="12">
        <v>3</v>
      </c>
      <c r="E294" s="12" t="s">
        <v>495</v>
      </c>
    </row>
    <row r="295" spans="3:5" x14ac:dyDescent="0.3">
      <c r="C295" s="12">
        <v>219</v>
      </c>
      <c r="D295" s="12">
        <v>3</v>
      </c>
      <c r="E295" s="12" t="s">
        <v>495</v>
      </c>
    </row>
    <row r="296" spans="3:5" x14ac:dyDescent="0.3">
      <c r="C296" s="12">
        <v>220</v>
      </c>
      <c r="D296" s="12">
        <v>2</v>
      </c>
      <c r="E296" s="12"/>
    </row>
    <row r="297" spans="3:5" x14ac:dyDescent="0.3">
      <c r="C297" s="12">
        <v>221</v>
      </c>
      <c r="D297" s="12">
        <v>1</v>
      </c>
      <c r="E297" s="12"/>
    </row>
    <row r="298" spans="3:5" x14ac:dyDescent="0.3">
      <c r="C298" s="12">
        <v>222</v>
      </c>
      <c r="D298" s="12">
        <v>2</v>
      </c>
      <c r="E298" s="12"/>
    </row>
    <row r="299" spans="3:5" x14ac:dyDescent="0.3">
      <c r="C299" s="12">
        <v>223</v>
      </c>
      <c r="D299" s="12">
        <v>1</v>
      </c>
      <c r="E299" s="12"/>
    </row>
    <row r="300" spans="3:5" x14ac:dyDescent="0.3">
      <c r="C300" s="12">
        <v>224</v>
      </c>
      <c r="D300" s="12">
        <v>2</v>
      </c>
      <c r="E300" s="12"/>
    </row>
    <row r="301" spans="3:5" x14ac:dyDescent="0.3">
      <c r="C301" s="12">
        <v>225</v>
      </c>
      <c r="D301" s="12">
        <v>2</v>
      </c>
      <c r="E301" s="12"/>
    </row>
    <row r="302" spans="3:5" x14ac:dyDescent="0.3">
      <c r="C302" s="12">
        <v>226</v>
      </c>
      <c r="D302" s="12">
        <v>2</v>
      </c>
      <c r="E302" s="12"/>
    </row>
    <row r="303" spans="3:5" x14ac:dyDescent="0.3">
      <c r="C303" s="12">
        <v>227</v>
      </c>
      <c r="D303" s="12">
        <v>1</v>
      </c>
      <c r="E303" s="12"/>
    </row>
    <row r="304" spans="3:5" x14ac:dyDescent="0.3">
      <c r="C304" s="12">
        <v>228</v>
      </c>
      <c r="D304" s="12">
        <v>2</v>
      </c>
      <c r="E304" s="12"/>
    </row>
    <row r="305" spans="3:5" x14ac:dyDescent="0.3">
      <c r="C305" s="12">
        <v>229</v>
      </c>
      <c r="D305" s="12">
        <v>1</v>
      </c>
      <c r="E305" s="12"/>
    </row>
    <row r="306" spans="3:5" x14ac:dyDescent="0.3">
      <c r="C306" s="12">
        <v>230</v>
      </c>
      <c r="D306" s="12">
        <v>2</v>
      </c>
      <c r="E306" s="12"/>
    </row>
    <row r="307" spans="3:5" x14ac:dyDescent="0.3">
      <c r="C307" s="12">
        <v>231</v>
      </c>
      <c r="D307" s="12">
        <v>1</v>
      </c>
      <c r="E307" s="12"/>
    </row>
    <row r="308" spans="3:5" x14ac:dyDescent="0.3">
      <c r="C308" s="12">
        <v>232</v>
      </c>
      <c r="D308" s="12">
        <v>1</v>
      </c>
      <c r="E308" s="12"/>
    </row>
    <row r="309" spans="3:5" x14ac:dyDescent="0.3">
      <c r="C309" s="12">
        <v>233</v>
      </c>
      <c r="D309" s="12">
        <v>1</v>
      </c>
      <c r="E309" s="12"/>
    </row>
    <row r="310" spans="3:5" x14ac:dyDescent="0.3">
      <c r="C310" s="12">
        <v>234</v>
      </c>
      <c r="D310" s="12">
        <v>1</v>
      </c>
      <c r="E310" s="12"/>
    </row>
    <row r="311" spans="3:5" x14ac:dyDescent="0.3">
      <c r="C311" s="12">
        <v>235</v>
      </c>
      <c r="D311" s="12">
        <v>1</v>
      </c>
      <c r="E3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Giá cầu thủ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Dân Phạm</cp:lastModifiedBy>
  <dcterms:modified xsi:type="dcterms:W3CDTF">2026-10-23T14:11:50Z</dcterms:modified>
</cp:coreProperties>
</file>